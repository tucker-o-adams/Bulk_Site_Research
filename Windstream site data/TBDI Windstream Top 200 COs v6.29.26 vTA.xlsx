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627b71dd8293f6/Documents/Claude/Projects/TBDI Modeling/Mireye/"/>
    </mc:Choice>
  </mc:AlternateContent>
  <xr:revisionPtr revIDLastSave="290" documentId="8_{6B5B4756-E28D-4467-A9BD-3DD56DAACC95}" xr6:coauthVersionLast="47" xr6:coauthVersionMax="47" xr10:uidLastSave="{BAC6ABF7-30A1-4033-80D8-A601B8D79C2C}"/>
  <bookViews>
    <workbookView xWindow="28680" yWindow="-120" windowWidth="29040" windowHeight="17520" tabRatio="787" activeTab="5" xr2:uid="{8019D235-7837-4440-B9C1-EB1506318CC3}"/>
  </bookViews>
  <sheets>
    <sheet name="Top 200 COs" sheetId="1" r:id="rId1"/>
    <sheet name="Top 50" sheetId="5" r:id="rId2"/>
    <sheet name="Mireye Site Screen" sheetId="7" r:id="rId3"/>
    <sheet name="COs_Asset_List" sheetId="3" r:id="rId4"/>
    <sheet name="WS_Top200_Existing_Power" sheetId="8" r:id="rId5"/>
    <sheet name="Site detail lookup" sheetId="9" r:id="rId6"/>
    <sheet name="WS_Sites_Parcel_Sizes_FINAL" sheetId="10" r:id="rId7"/>
    <sheet name="WS_Top200_Transm_Dist_2" sheetId="13" r:id="rId8"/>
  </sheets>
  <definedNames>
    <definedName name="_xlnm._FilterDatabase" localSheetId="5" hidden="1">'Site detail lookup'!$B$2:$P$47</definedName>
    <definedName name="_xlnm._FilterDatabase" localSheetId="0" hidden="1">'Top 200 COs'!$A$1:$AJ$201</definedName>
    <definedName name="_xlnm._FilterDatabase" localSheetId="1" hidden="1">'Top 50'!$A$6:$AO$55</definedName>
    <definedName name="_xlnm._FilterDatabase" localSheetId="4" hidden="1">WS_Top200_Existing_Power!$A$1:$E$201</definedName>
    <definedName name="_xlnm._FilterDatabase" localSheetId="7" hidden="1">WS_Top200_Transm_Dist_2!$A$2:$X$202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7" i="9" l="1"/>
  <c r="M46" i="9"/>
  <c r="M45" i="9"/>
  <c r="M44" i="9"/>
  <c r="M43" i="9"/>
  <c r="M42" i="9"/>
  <c r="M41" i="9"/>
  <c r="M40" i="9"/>
  <c r="M39" i="9"/>
  <c r="M38" i="9"/>
  <c r="M37" i="9"/>
  <c r="M36" i="9"/>
  <c r="M35" i="9"/>
  <c r="M34" i="9"/>
  <c r="M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M5" i="9"/>
  <c r="M4" i="9"/>
  <c r="M3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K34" i="9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K4" i="9"/>
  <c r="K3" i="9"/>
  <c r="L47" i="9"/>
  <c r="L46" i="9"/>
  <c r="L45" i="9"/>
  <c r="L44" i="9"/>
  <c r="L43" i="9"/>
  <c r="L42" i="9"/>
  <c r="L41" i="9"/>
  <c r="L40" i="9"/>
  <c r="L39" i="9"/>
  <c r="L38" i="9"/>
  <c r="L37" i="9"/>
  <c r="L36" i="9"/>
  <c r="L35" i="9"/>
  <c r="L34" i="9"/>
  <c r="L33" i="9"/>
  <c r="L32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L4" i="9"/>
  <c r="L3" i="9"/>
  <c r="R47" i="9"/>
  <c r="Q47" i="9"/>
  <c r="P47" i="9"/>
  <c r="O47" i="9"/>
  <c r="R46" i="9"/>
  <c r="Q46" i="9"/>
  <c r="P46" i="9"/>
  <c r="O46" i="9"/>
  <c r="R45" i="9"/>
  <c r="Q45" i="9"/>
  <c r="P45" i="9"/>
  <c r="O45" i="9"/>
  <c r="R44" i="9"/>
  <c r="Q44" i="9"/>
  <c r="P44" i="9"/>
  <c r="O44" i="9"/>
  <c r="R43" i="9"/>
  <c r="Q43" i="9"/>
  <c r="P43" i="9"/>
  <c r="O43" i="9"/>
  <c r="R42" i="9"/>
  <c r="Q42" i="9"/>
  <c r="P42" i="9"/>
  <c r="O42" i="9"/>
  <c r="R41" i="9"/>
  <c r="Q41" i="9"/>
  <c r="P41" i="9"/>
  <c r="O41" i="9"/>
  <c r="R40" i="9"/>
  <c r="Q40" i="9"/>
  <c r="P40" i="9"/>
  <c r="O40" i="9"/>
  <c r="R39" i="9"/>
  <c r="Q39" i="9"/>
  <c r="P39" i="9"/>
  <c r="O39" i="9"/>
  <c r="R38" i="9"/>
  <c r="Q38" i="9"/>
  <c r="P38" i="9"/>
  <c r="O38" i="9"/>
  <c r="R37" i="9"/>
  <c r="Q37" i="9"/>
  <c r="P37" i="9"/>
  <c r="O37" i="9"/>
  <c r="R36" i="9"/>
  <c r="Q36" i="9"/>
  <c r="P36" i="9"/>
  <c r="O36" i="9"/>
  <c r="R35" i="9"/>
  <c r="Q35" i="9"/>
  <c r="P35" i="9"/>
  <c r="O35" i="9"/>
  <c r="R34" i="9"/>
  <c r="Q34" i="9"/>
  <c r="P34" i="9"/>
  <c r="O34" i="9"/>
  <c r="R33" i="9"/>
  <c r="Q33" i="9"/>
  <c r="P33" i="9"/>
  <c r="O33" i="9"/>
  <c r="R32" i="9"/>
  <c r="Q32" i="9"/>
  <c r="P32" i="9"/>
  <c r="O32" i="9"/>
  <c r="R31" i="9"/>
  <c r="Q31" i="9"/>
  <c r="P31" i="9"/>
  <c r="O31" i="9"/>
  <c r="R30" i="9"/>
  <c r="Q30" i="9"/>
  <c r="P30" i="9"/>
  <c r="O30" i="9"/>
  <c r="R29" i="9"/>
  <c r="Q29" i="9"/>
  <c r="P29" i="9"/>
  <c r="O29" i="9"/>
  <c r="R28" i="9"/>
  <c r="Q28" i="9"/>
  <c r="P28" i="9"/>
  <c r="O28" i="9"/>
  <c r="R27" i="9"/>
  <c r="Q27" i="9"/>
  <c r="P27" i="9"/>
  <c r="O27" i="9"/>
  <c r="R26" i="9"/>
  <c r="Q26" i="9"/>
  <c r="P26" i="9"/>
  <c r="O26" i="9"/>
  <c r="R25" i="9"/>
  <c r="Q25" i="9"/>
  <c r="P25" i="9"/>
  <c r="O25" i="9"/>
  <c r="R24" i="9"/>
  <c r="Q24" i="9"/>
  <c r="P24" i="9"/>
  <c r="O24" i="9"/>
  <c r="R23" i="9"/>
  <c r="Q23" i="9"/>
  <c r="P23" i="9"/>
  <c r="O23" i="9"/>
  <c r="R22" i="9"/>
  <c r="Q22" i="9"/>
  <c r="P22" i="9"/>
  <c r="O22" i="9"/>
  <c r="R21" i="9"/>
  <c r="Q21" i="9"/>
  <c r="P21" i="9"/>
  <c r="O21" i="9"/>
  <c r="R20" i="9"/>
  <c r="Q20" i="9"/>
  <c r="P20" i="9"/>
  <c r="O20" i="9"/>
  <c r="R19" i="9"/>
  <c r="Q19" i="9"/>
  <c r="P19" i="9"/>
  <c r="O19" i="9"/>
  <c r="R18" i="9"/>
  <c r="Q18" i="9"/>
  <c r="P18" i="9"/>
  <c r="O18" i="9"/>
  <c r="R17" i="9"/>
  <c r="Q17" i="9"/>
  <c r="P17" i="9"/>
  <c r="O17" i="9"/>
  <c r="R16" i="9"/>
  <c r="Q16" i="9"/>
  <c r="P16" i="9"/>
  <c r="O16" i="9"/>
  <c r="R15" i="9"/>
  <c r="Q15" i="9"/>
  <c r="P15" i="9"/>
  <c r="O15" i="9"/>
  <c r="R14" i="9"/>
  <c r="Q14" i="9"/>
  <c r="P14" i="9"/>
  <c r="O14" i="9"/>
  <c r="R13" i="9"/>
  <c r="Q13" i="9"/>
  <c r="P13" i="9"/>
  <c r="O13" i="9"/>
  <c r="R12" i="9"/>
  <c r="Q12" i="9"/>
  <c r="P12" i="9"/>
  <c r="O12" i="9"/>
  <c r="R11" i="9"/>
  <c r="Q11" i="9"/>
  <c r="P11" i="9"/>
  <c r="O11" i="9"/>
  <c r="R10" i="9"/>
  <c r="Q10" i="9"/>
  <c r="P10" i="9"/>
  <c r="O10" i="9"/>
  <c r="R9" i="9"/>
  <c r="Q9" i="9"/>
  <c r="P9" i="9"/>
  <c r="O9" i="9"/>
  <c r="R8" i="9"/>
  <c r="Q8" i="9"/>
  <c r="P8" i="9"/>
  <c r="O8" i="9"/>
  <c r="R7" i="9"/>
  <c r="Q7" i="9"/>
  <c r="P7" i="9"/>
  <c r="O7" i="9"/>
  <c r="R6" i="9"/>
  <c r="Q6" i="9"/>
  <c r="P6" i="9"/>
  <c r="O6" i="9"/>
  <c r="R5" i="9"/>
  <c r="Q5" i="9"/>
  <c r="P5" i="9"/>
  <c r="O5" i="9"/>
  <c r="R4" i="9"/>
  <c r="Q4" i="9"/>
  <c r="P4" i="9"/>
  <c r="O4" i="9"/>
  <c r="O3" i="9"/>
  <c r="R3" i="9"/>
  <c r="Q3" i="9"/>
  <c r="P3" i="9"/>
  <c r="J47" i="9"/>
  <c r="J45" i="9"/>
  <c r="J41" i="9"/>
  <c r="J40" i="9"/>
  <c r="J37" i="9"/>
  <c r="J36" i="9"/>
  <c r="J35" i="9"/>
  <c r="J34" i="9"/>
  <c r="J33" i="9"/>
  <c r="J32" i="9"/>
  <c r="J31" i="9"/>
  <c r="J30" i="9"/>
  <c r="J27" i="9"/>
  <c r="J26" i="9"/>
  <c r="J25" i="9"/>
  <c r="J24" i="9"/>
  <c r="J21" i="9"/>
  <c r="J20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J5" i="9"/>
  <c r="J4" i="9"/>
  <c r="J3" i="9"/>
  <c r="I19" i="9"/>
  <c r="E2" i="8" l="1"/>
  <c r="E3" i="8"/>
  <c r="E4" i="8"/>
  <c r="E5" i="8"/>
  <c r="E6" i="8"/>
  <c r="E7" i="8"/>
  <c r="E8" i="8"/>
  <c r="F2" i="8" s="1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AP45" i="5"/>
  <c r="AP42" i="5"/>
  <c r="AP40" i="5"/>
  <c r="AP39" i="5"/>
  <c r="AP37" i="5"/>
  <c r="AP30" i="5"/>
  <c r="AP28" i="5"/>
  <c r="AP10" i="5"/>
  <c r="AO45" i="5"/>
  <c r="AO42" i="5"/>
  <c r="AO40" i="5"/>
  <c r="AO39" i="5"/>
  <c r="AO37" i="5"/>
  <c r="AO30" i="5"/>
  <c r="AO28" i="5"/>
  <c r="AO10" i="5"/>
  <c r="AP55" i="5"/>
  <c r="AP36" i="5"/>
  <c r="AP35" i="5"/>
  <c r="AP34" i="5"/>
  <c r="AP32" i="5"/>
  <c r="AP23" i="5"/>
  <c r="AP7" i="5"/>
  <c r="AJ55" i="5"/>
  <c r="AJ54" i="5"/>
  <c r="AJ53" i="5"/>
  <c r="AJ52" i="5"/>
  <c r="AJ51" i="5"/>
  <c r="AJ50" i="5"/>
  <c r="AJ49" i="5"/>
  <c r="AJ48" i="5"/>
  <c r="AJ47" i="5"/>
  <c r="AJ46" i="5"/>
  <c r="AJ45" i="5"/>
  <c r="AJ44" i="5"/>
  <c r="AJ43" i="5"/>
  <c r="AJ42" i="5"/>
  <c r="AJ41" i="5"/>
  <c r="AJ40" i="5"/>
  <c r="AJ39" i="5"/>
  <c r="AJ38" i="5"/>
  <c r="AJ37" i="5"/>
  <c r="AJ36" i="5"/>
  <c r="AJ35" i="5"/>
  <c r="AJ34" i="5"/>
  <c r="AJ33" i="5"/>
  <c r="AJ32" i="5"/>
  <c r="AJ31" i="5"/>
  <c r="AJ30" i="5"/>
  <c r="AJ29" i="5"/>
  <c r="AJ28" i="5"/>
  <c r="AJ27" i="5"/>
  <c r="AJ26" i="5"/>
  <c r="AJ25" i="5"/>
  <c r="AJ24" i="5"/>
  <c r="AJ23" i="5"/>
  <c r="AJ22" i="5"/>
  <c r="AJ21" i="5"/>
  <c r="AJ20" i="5"/>
  <c r="AJ19" i="5"/>
  <c r="AJ18" i="5"/>
  <c r="AJ17" i="5"/>
  <c r="AJ16" i="5"/>
  <c r="AJ15" i="5"/>
  <c r="AJ14" i="5"/>
  <c r="AJ13" i="5"/>
  <c r="AJ12" i="5"/>
  <c r="AJ11" i="5"/>
  <c r="AJ10" i="5"/>
  <c r="AJ9" i="5"/>
  <c r="AJ8" i="5"/>
  <c r="AJ7" i="5"/>
  <c r="K3" i="7"/>
  <c r="K4" i="7"/>
  <c r="K5" i="7"/>
  <c r="K6" i="7"/>
  <c r="K7" i="7"/>
  <c r="K8" i="7"/>
  <c r="K9" i="7"/>
  <c r="K10" i="7"/>
  <c r="K11" i="7"/>
  <c r="AJ2" i="1"/>
  <c r="AJ201" i="1"/>
  <c r="AJ200" i="1"/>
  <c r="AJ199" i="1"/>
  <c r="AJ198" i="1"/>
  <c r="AJ197" i="1"/>
  <c r="AJ196" i="1"/>
  <c r="AJ195" i="1"/>
  <c r="AJ194" i="1"/>
  <c r="AJ193" i="1"/>
  <c r="AJ192" i="1"/>
  <c r="AJ189" i="1"/>
  <c r="AJ188" i="1"/>
  <c r="AJ187" i="1"/>
  <c r="AJ186" i="1"/>
  <c r="AJ185" i="1"/>
  <c r="AJ184" i="1"/>
  <c r="AJ183" i="1"/>
  <c r="AJ182" i="1"/>
  <c r="AJ181" i="1"/>
  <c r="AJ180" i="1"/>
  <c r="AJ179" i="1"/>
  <c r="AJ178" i="1"/>
  <c r="AJ177" i="1"/>
  <c r="AJ176" i="1"/>
  <c r="AJ175" i="1"/>
  <c r="AJ174" i="1"/>
  <c r="AJ173" i="1"/>
  <c r="AJ172" i="1"/>
  <c r="AJ171" i="1"/>
  <c r="AJ170" i="1"/>
  <c r="AJ168" i="1"/>
  <c r="AJ167" i="1"/>
  <c r="AJ166" i="1"/>
  <c r="AJ165" i="1"/>
  <c r="AJ164" i="1"/>
  <c r="AJ163" i="1"/>
  <c r="AJ162" i="1"/>
  <c r="AJ161" i="1"/>
  <c r="AJ160" i="1"/>
  <c r="AJ159" i="1"/>
  <c r="AJ158" i="1"/>
  <c r="AJ157" i="1"/>
  <c r="AJ156" i="1"/>
  <c r="AJ155" i="1"/>
  <c r="AJ154" i="1"/>
  <c r="AJ153" i="1"/>
  <c r="AJ152" i="1"/>
  <c r="AJ151" i="1"/>
  <c r="AJ150" i="1"/>
  <c r="AJ149" i="1"/>
  <c r="AJ148" i="1"/>
  <c r="AJ147" i="1"/>
  <c r="AJ146" i="1"/>
  <c r="AJ145" i="1"/>
  <c r="AJ144" i="1"/>
  <c r="AJ143" i="1"/>
  <c r="AJ142" i="1"/>
  <c r="AJ141" i="1"/>
  <c r="AJ140" i="1"/>
  <c r="AJ139" i="1"/>
  <c r="AJ138" i="1"/>
  <c r="AJ137" i="1"/>
  <c r="AJ136" i="1"/>
  <c r="AJ135" i="1"/>
  <c r="AJ134" i="1"/>
  <c r="AJ133" i="1"/>
  <c r="AJ132" i="1"/>
  <c r="AJ131" i="1"/>
  <c r="AJ130" i="1"/>
  <c r="AJ129" i="1"/>
  <c r="AJ128" i="1"/>
  <c r="AJ127" i="1"/>
  <c r="AJ125" i="1"/>
  <c r="AJ124" i="1"/>
  <c r="AJ123" i="1"/>
  <c r="AJ122" i="1"/>
  <c r="AJ120" i="1"/>
  <c r="AJ119" i="1"/>
  <c r="AJ118" i="1"/>
  <c r="AJ117" i="1"/>
  <c r="AJ116" i="1"/>
  <c r="AJ115" i="1"/>
  <c r="AJ114" i="1"/>
  <c r="AJ113" i="1"/>
  <c r="AJ112" i="1"/>
  <c r="AJ110" i="1"/>
  <c r="AJ109" i="1"/>
  <c r="AJ108" i="1"/>
  <c r="AJ107" i="1"/>
  <c r="AJ106" i="1"/>
  <c r="AJ105" i="1"/>
  <c r="AJ104" i="1"/>
  <c r="AJ103" i="1"/>
  <c r="AJ102" i="1"/>
  <c r="AJ101" i="1"/>
  <c r="AJ100" i="1"/>
  <c r="AJ99" i="1"/>
  <c r="AJ98" i="1"/>
  <c r="AJ97" i="1"/>
  <c r="AJ96" i="1"/>
  <c r="AJ95" i="1"/>
  <c r="AJ94" i="1"/>
  <c r="AJ93" i="1"/>
  <c r="AJ92" i="1"/>
  <c r="AJ91" i="1"/>
  <c r="AJ90" i="1"/>
  <c r="AJ89" i="1"/>
  <c r="AJ88" i="1"/>
  <c r="AJ87" i="1"/>
  <c r="AJ86" i="1"/>
  <c r="AJ85" i="1"/>
  <c r="AJ84" i="1"/>
  <c r="AJ83" i="1"/>
  <c r="AJ82" i="1"/>
  <c r="AJ81" i="1"/>
  <c r="AJ80" i="1"/>
  <c r="AJ79" i="1"/>
  <c r="AJ78" i="1"/>
  <c r="AJ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8" i="1"/>
  <c r="AJ57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2" i="1"/>
  <c r="AJ41" i="1"/>
  <c r="AJ40" i="1"/>
  <c r="AJ39" i="1"/>
  <c r="AJ38" i="1"/>
  <c r="AJ37" i="1"/>
  <c r="AJ35" i="1"/>
  <c r="AJ34" i="1"/>
  <c r="AJ33" i="1"/>
  <c r="AJ32" i="1"/>
  <c r="AJ31" i="1"/>
  <c r="AJ30" i="1"/>
  <c r="AJ29" i="1"/>
  <c r="AJ28" i="1"/>
  <c r="AJ27" i="1"/>
  <c r="AJ26" i="1"/>
  <c r="AJ24" i="1"/>
  <c r="AJ23" i="1"/>
  <c r="AJ22" i="1"/>
  <c r="AJ20" i="1"/>
  <c r="AJ19" i="1"/>
  <c r="AJ18" i="1"/>
  <c r="AJ17" i="1"/>
  <c r="AJ15" i="1"/>
  <c r="AJ14" i="1"/>
  <c r="AJ13" i="1"/>
  <c r="AJ12" i="1"/>
  <c r="AJ11" i="1"/>
  <c r="AJ10" i="1"/>
  <c r="AJ9" i="1"/>
  <c r="AJ8" i="1"/>
  <c r="AJ7" i="1"/>
  <c r="AJ6" i="1"/>
  <c r="AJ5" i="1"/>
  <c r="AJ4" i="1"/>
  <c r="AJ3" i="1"/>
  <c r="F3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2" authorId="0" shapeId="0" xr:uid="{92EFD949-D197-41FA-A3FF-668EEF767989}">
      <text>
        <r>
          <rPr>
            <sz val="10"/>
            <rFont val="Arial"/>
            <family val="2"/>
          </rPr>
          <t>Only NRFDOHXA (Northfield, OH) has a drawn parcel boundary in the KMZ. Every other placemark is a bare point, so acreage cannot be derived from the supplied files. Yellow cells are for you to fill in.</t>
        </r>
      </text>
    </comment>
    <comment ref="K2" authorId="0" shapeId="0" xr:uid="{4E589097-22B3-4C50-B9CC-47773B70C601}">
      <text>
        <r>
          <rPr>
            <sz val="10"/>
            <rFont val="Arial"/>
            <family val="2"/>
          </rPr>
          <t>SG4 describes the portfolio as carrying "a legacy tenant that requires 1-4 racks via a Sales-Leaseback model". Portfolio-wide, NOT a per-site rack count.</t>
        </r>
      </text>
    </comment>
    <comment ref="L2" authorId="0" shapeId="0" xr:uid="{35D8ED17-4F26-4CE1-A315-A5D5CD5C9C4E}">
      <text>
        <r>
          <rPr>
            <sz val="10"/>
            <rFont val="Arial"/>
            <family val="2"/>
          </rPr>
          <t>SG4 states "2 to 10 MW Sites" for the portfolio. Portfolio-wide range.</t>
        </r>
      </text>
    </comment>
    <comment ref="M2" authorId="0" shapeId="0" xr:uid="{D0409FAD-8355-42F8-8536-9E0E86A13A21}">
      <text>
        <r>
          <rPr>
            <sz val="10"/>
            <rFont val="Arial"/>
            <family val="2"/>
          </rPr>
          <t>No facility square footage exists in the source workbook for these sites. The only SF figure in the file is 500,000 SF, belonging to the unrelated SG2 - OKC opportunity.</t>
        </r>
      </text>
    </comment>
  </commentList>
</comments>
</file>

<file path=xl/sharedStrings.xml><?xml version="1.0" encoding="utf-8"?>
<sst xmlns="http://schemas.openxmlformats.org/spreadsheetml/2006/main" count="16562" uniqueCount="4398">
  <si>
    <t>CLLI</t>
  </si>
  <si>
    <t>Site_Number</t>
  </si>
  <si>
    <t>Land_Ownership</t>
  </si>
  <si>
    <t>Asset_Type</t>
  </si>
  <si>
    <t>Primary_Use</t>
  </si>
  <si>
    <t>Secondary_Use</t>
  </si>
  <si>
    <t>LAT</t>
  </si>
  <si>
    <t>LONG</t>
  </si>
  <si>
    <t>Address</t>
  </si>
  <si>
    <t>City</t>
  </si>
  <si>
    <t>State</t>
  </si>
  <si>
    <t>Lease_ID</t>
  </si>
  <si>
    <t>REIT_ID</t>
  </si>
  <si>
    <t>Ownership</t>
  </si>
  <si>
    <t>Entity_Name</t>
  </si>
  <si>
    <t>ABS_Category</t>
  </si>
  <si>
    <t>Owned</t>
  </si>
  <si>
    <t>Building</t>
  </si>
  <si>
    <t>Central Office</t>
  </si>
  <si>
    <t>AL</t>
  </si>
  <si>
    <t>REIT_ILEC</t>
  </si>
  <si>
    <t>Windstream Alabama| LLC</t>
  </si>
  <si>
    <t>ABS 2</t>
  </si>
  <si>
    <t>LEDSALXA</t>
  </si>
  <si>
    <t>WNS1345</t>
  </si>
  <si>
    <t>Warehouse</t>
  </si>
  <si>
    <t>8372 1St Avenue Southeast</t>
  </si>
  <si>
    <t>Leeds</t>
  </si>
  <si>
    <t>ON068-AL-009</t>
  </si>
  <si>
    <t>LEDSALXB</t>
  </si>
  <si>
    <t>WNS1346</t>
  </si>
  <si>
    <t>920 Park Avenue</t>
  </si>
  <si>
    <t>Moody</t>
  </si>
  <si>
    <t>ON068-AL-005</t>
  </si>
  <si>
    <t>Switch</t>
  </si>
  <si>
    <t>AR</t>
  </si>
  <si>
    <t>Windstream Arkansas| LLC</t>
  </si>
  <si>
    <t>ABS 1</t>
  </si>
  <si>
    <t>WIN_ILEC</t>
  </si>
  <si>
    <t>CRSTARXA</t>
  </si>
  <si>
    <t>WNS1356</t>
  </si>
  <si>
    <t>104 West 6th Avenue</t>
  </si>
  <si>
    <t>Crossett</t>
  </si>
  <si>
    <t>ON202-AR-063</t>
  </si>
  <si>
    <t>DLRKARXA</t>
  </si>
  <si>
    <t>WNS1358</t>
  </si>
  <si>
    <t>Leased/Easement</t>
  </si>
  <si>
    <t>13 Dallas 311</t>
  </si>
  <si>
    <t>Dalark</t>
  </si>
  <si>
    <t>ON202-AR-1001</t>
  </si>
  <si>
    <t>Georgia Windstream| LLC</t>
  </si>
  <si>
    <t>FRDYARXA</t>
  </si>
  <si>
    <t>WNS1367</t>
  </si>
  <si>
    <t>308 North Oak Street</t>
  </si>
  <si>
    <t>Fordyce</t>
  </si>
  <si>
    <t>ON202-AR-067</t>
  </si>
  <si>
    <t>Greenbrier</t>
  </si>
  <si>
    <t>GNBRARXA</t>
  </si>
  <si>
    <t>WNS1370</t>
  </si>
  <si>
    <t>9 South Broadview Street</t>
  </si>
  <si>
    <t>ON202-AR-013</t>
  </si>
  <si>
    <t>Harrison</t>
  </si>
  <si>
    <t>HRSNARXA</t>
  </si>
  <si>
    <t>202 Graham Street</t>
  </si>
  <si>
    <t>B202322</t>
  </si>
  <si>
    <t>Perry</t>
  </si>
  <si>
    <t>SHRDARXA</t>
  </si>
  <si>
    <t>WNS1404</t>
  </si>
  <si>
    <t>209 East Center</t>
  </si>
  <si>
    <t>Sheridan</t>
  </si>
  <si>
    <t>ON202-AR-065</t>
  </si>
  <si>
    <t>VILNARXA</t>
  </si>
  <si>
    <t>Vilonia</t>
  </si>
  <si>
    <t>1078 Main Street</t>
  </si>
  <si>
    <t>ON202-AR-044</t>
  </si>
  <si>
    <t>WFRKARXA</t>
  </si>
  <si>
    <t>WNS1411</t>
  </si>
  <si>
    <t>265 Wheeler Street</t>
  </si>
  <si>
    <t>West Fork</t>
  </si>
  <si>
    <t>ON202-AR-045</t>
  </si>
  <si>
    <t>Alachua</t>
  </si>
  <si>
    <t>FL</t>
  </si>
  <si>
    <t>Windstream Florida| Inc.</t>
  </si>
  <si>
    <t>ALCHFLXA</t>
  </si>
  <si>
    <t>WNS1426</t>
  </si>
  <si>
    <t>14600 Main St</t>
  </si>
  <si>
    <t>ON047-FL-003</t>
  </si>
  <si>
    <t>WNS1425</t>
  </si>
  <si>
    <t>13715 West County Road 235</t>
  </si>
  <si>
    <t>B047051</t>
  </si>
  <si>
    <t>14600 Main Street</t>
  </si>
  <si>
    <t>ON047-FL-1002</t>
  </si>
  <si>
    <t>BRFRFLXA</t>
  </si>
  <si>
    <t>Branford</t>
  </si>
  <si>
    <t>108 Drane St Nw| Branford| FL| 32008</t>
  </si>
  <si>
    <t>ON047-FL-001</t>
  </si>
  <si>
    <t>TBD</t>
  </si>
  <si>
    <t>CLHNFLXA</t>
  </si>
  <si>
    <t>WNS1430</t>
  </si>
  <si>
    <t>45403 Green Avenue</t>
  </si>
  <si>
    <t>Callahan</t>
  </si>
  <si>
    <t>ON047-FL-010</t>
  </si>
  <si>
    <t>HLRDFLXA</t>
  </si>
  <si>
    <t>WNS1438</t>
  </si>
  <si>
    <t>3745 Pecan Street</t>
  </si>
  <si>
    <t>Hilliard</t>
  </si>
  <si>
    <t>ON047-FL-023</t>
  </si>
  <si>
    <t>Jasper</t>
  </si>
  <si>
    <t>Lake City</t>
  </si>
  <si>
    <t>Live Oak</t>
  </si>
  <si>
    <t>LVOKFLXA</t>
  </si>
  <si>
    <t>WNS1448</t>
  </si>
  <si>
    <t>206 White Avenue SE</t>
  </si>
  <si>
    <t>ON047-FL-1012</t>
  </si>
  <si>
    <t>Mayo</t>
  </si>
  <si>
    <t>MAYOFLXA</t>
  </si>
  <si>
    <t>WNS1450</t>
  </si>
  <si>
    <t>153 Northwest Crawford Street</t>
  </si>
  <si>
    <t>ON047-FL-032</t>
  </si>
  <si>
    <t>Melrose</t>
  </si>
  <si>
    <t>GA</t>
  </si>
  <si>
    <t>Windstream Georgia Communications| LLC</t>
  </si>
  <si>
    <t>ADELGAXA</t>
  </si>
  <si>
    <t>WNS1464</t>
  </si>
  <si>
    <t>106 North Parrish Avenue</t>
  </si>
  <si>
    <t>Adel</t>
  </si>
  <si>
    <t>ON042-GA-002</t>
  </si>
  <si>
    <t>Windstream Standard| LLC</t>
  </si>
  <si>
    <t>CRNLGA01</t>
  </si>
  <si>
    <t>WNS0048</t>
  </si>
  <si>
    <t>2000 Communications Boulevard</t>
  </si>
  <si>
    <t>Baldwin</t>
  </si>
  <si>
    <t>B040009</t>
  </si>
  <si>
    <t>BLVIGABW</t>
  </si>
  <si>
    <t>WNS3282</t>
  </si>
  <si>
    <t>40 River Road Connector</t>
  </si>
  <si>
    <t>Blairsville</t>
  </si>
  <si>
    <t>B040040</t>
  </si>
  <si>
    <t>BLKLGAXA</t>
  </si>
  <si>
    <t>WNS0261</t>
  </si>
  <si>
    <t>15166 River St</t>
  </si>
  <si>
    <t>Blakely</t>
  </si>
  <si>
    <t>ON049-GA-1001</t>
  </si>
  <si>
    <t>Windstream Georgia Telephone</t>
  </si>
  <si>
    <t>Windstream Georgia| LLC</t>
  </si>
  <si>
    <t>CAIRGAXA</t>
  </si>
  <si>
    <t>WNS1480</t>
  </si>
  <si>
    <t>48 2nd Avenue</t>
  </si>
  <si>
    <t>Cairo</t>
  </si>
  <si>
    <t>ON041-GA-023</t>
  </si>
  <si>
    <t>Canton</t>
  </si>
  <si>
    <t>CNTNGAXA</t>
  </si>
  <si>
    <t>WNS1482</t>
  </si>
  <si>
    <t>190 South Church Street</t>
  </si>
  <si>
    <t>ON042-GA-105</t>
  </si>
  <si>
    <t>CNVLGAXA</t>
  </si>
  <si>
    <t>WNS1487</t>
  </si>
  <si>
    <t>109 Gunn Road</t>
  </si>
  <si>
    <t>Centerville</t>
  </si>
  <si>
    <t>ON041-GA-006</t>
  </si>
  <si>
    <t>CHWOGAXA</t>
  </si>
  <si>
    <t>WNS1488</t>
  </si>
  <si>
    <t>220 North 2nd Avenue</t>
  </si>
  <si>
    <t>Chatsworth</t>
  </si>
  <si>
    <t>ON042-GA-095</t>
  </si>
  <si>
    <t>Clarkesville</t>
  </si>
  <si>
    <t>CLVLGAXA</t>
  </si>
  <si>
    <t>WNS1489</t>
  </si>
  <si>
    <t>390 Jefferson Street</t>
  </si>
  <si>
    <t>ON040-GA-020</t>
  </si>
  <si>
    <t>CLEVGAXA</t>
  </si>
  <si>
    <t>WNS1491</t>
  </si>
  <si>
    <t>158 West Kytle Street</t>
  </si>
  <si>
    <t>Cleveland</t>
  </si>
  <si>
    <t>ON040-GA-120</t>
  </si>
  <si>
    <t>CMRCGAXA</t>
  </si>
  <si>
    <t>WNS1495</t>
  </si>
  <si>
    <t>45 Georgia Avenue</t>
  </si>
  <si>
    <t>Commerce</t>
  </si>
  <si>
    <t>ON041-GA-001</t>
  </si>
  <si>
    <t>Coolidge</t>
  </si>
  <si>
    <t>CRNLGAXA</t>
  </si>
  <si>
    <t>WNS3179</t>
  </si>
  <si>
    <t>350 North Main Street</t>
  </si>
  <si>
    <t>Cornelia</t>
  </si>
  <si>
    <t>ON040-GA-117</t>
  </si>
  <si>
    <t>DHLNGAXA</t>
  </si>
  <si>
    <t>WNS1498</t>
  </si>
  <si>
    <t>200 Boyd Circle</t>
  </si>
  <si>
    <t>Dahlonega</t>
  </si>
  <si>
    <t>ON040-GA-047</t>
  </si>
  <si>
    <t>DLTNGAXD</t>
  </si>
  <si>
    <t>WNS1500</t>
  </si>
  <si>
    <t>350 Cross Plains Blvd</t>
  </si>
  <si>
    <t>Dalton</t>
  </si>
  <si>
    <t>ON042-GA-036</t>
  </si>
  <si>
    <t>DWSNGAXA</t>
  </si>
  <si>
    <t>WNS1504</t>
  </si>
  <si>
    <t>163 Stonewall Street NE</t>
  </si>
  <si>
    <t>Dawson</t>
  </si>
  <si>
    <t>ON042-GA-106</t>
  </si>
  <si>
    <t>DNVLGAXA</t>
  </si>
  <si>
    <t>WNS1509</t>
  </si>
  <si>
    <t>202 Knox Street</t>
  </si>
  <si>
    <t>Donalsonville</t>
  </si>
  <si>
    <t>ON043-GA-009</t>
  </si>
  <si>
    <t>Tower</t>
  </si>
  <si>
    <t>FTZGGAXA</t>
  </si>
  <si>
    <t>WNS1514</t>
  </si>
  <si>
    <t>110 East Central</t>
  </si>
  <si>
    <t>Fitzgerald</t>
  </si>
  <si>
    <t>ON042-GA-132</t>
  </si>
  <si>
    <t>FLTNGAXA</t>
  </si>
  <si>
    <t>WNS1515</t>
  </si>
  <si>
    <t>201 East Martin Street</t>
  </si>
  <si>
    <t>Folkston</t>
  </si>
  <si>
    <t>ON043-GA-053</t>
  </si>
  <si>
    <t>Windstream Accucomm Telecommunications| LLC</t>
  </si>
  <si>
    <t>HWSSGAXA</t>
  </si>
  <si>
    <t>WNS1525</t>
  </si>
  <si>
    <t>228 North Main Street</t>
  </si>
  <si>
    <t>Hiawassee</t>
  </si>
  <si>
    <t>ON040-GA-01048</t>
  </si>
  <si>
    <t>IRTNGAXA</t>
  </si>
  <si>
    <t>WNS1529</t>
  </si>
  <si>
    <t>113 Wriley Road</t>
  </si>
  <si>
    <t>Irwinton</t>
  </si>
  <si>
    <t>ON044-GA-003</t>
  </si>
  <si>
    <t>JSPRGAXA</t>
  </si>
  <si>
    <t>WNS1532</t>
  </si>
  <si>
    <t>69 Stegall Drive</t>
  </si>
  <si>
    <t>ON042-GA-051</t>
  </si>
  <si>
    <t>LFYTGAXA</t>
  </si>
  <si>
    <t>WNS1536</t>
  </si>
  <si>
    <t>105 Cherokee Street</t>
  </si>
  <si>
    <t>Lafayette</t>
  </si>
  <si>
    <t>ON043-GA-019</t>
  </si>
  <si>
    <t>LAVNGAXA</t>
  </si>
  <si>
    <t>WNS1538</t>
  </si>
  <si>
    <t>5801 Vickery Street</t>
  </si>
  <si>
    <t>Lavonia</t>
  </si>
  <si>
    <t>ON042-GA-053</t>
  </si>
  <si>
    <t>MNCHGAXA</t>
  </si>
  <si>
    <t>WNS1542</t>
  </si>
  <si>
    <t>212 2nd Street</t>
  </si>
  <si>
    <t>Manchester</t>
  </si>
  <si>
    <t>ON042-GA-133</t>
  </si>
  <si>
    <t>MCRAGAXA</t>
  </si>
  <si>
    <t>WNS1545</t>
  </si>
  <si>
    <t>8 East Oak Street</t>
  </si>
  <si>
    <t>McRae</t>
  </si>
  <si>
    <t>ON042-GA-097</t>
  </si>
  <si>
    <t>MDVLGAXA</t>
  </si>
  <si>
    <t>WNS1550</t>
  </si>
  <si>
    <t>750 North Jefferson Street</t>
  </si>
  <si>
    <t>Milledgeville</t>
  </si>
  <si>
    <t>ON042-GA-103</t>
  </si>
  <si>
    <t>MONRGAXA</t>
  </si>
  <si>
    <t>WNS1551</t>
  </si>
  <si>
    <t>129 East Highland Avenue</t>
  </si>
  <si>
    <t>Monroe</t>
  </si>
  <si>
    <t>ON042-GA-109</t>
  </si>
  <si>
    <t>MONRGAXB</t>
  </si>
  <si>
    <t>WNS0397</t>
  </si>
  <si>
    <t>3375 GA-11</t>
  </si>
  <si>
    <t>ON042-GA-01050</t>
  </si>
  <si>
    <t>MTZMGAXA</t>
  </si>
  <si>
    <t>WNS1552</t>
  </si>
  <si>
    <t>111 Drayton Street</t>
  </si>
  <si>
    <t>Montezuma</t>
  </si>
  <si>
    <t>ON042-GA-098</t>
  </si>
  <si>
    <t>MLTRGA05</t>
  </si>
  <si>
    <t>WNS0398</t>
  </si>
  <si>
    <t>282 Industrial Drive</t>
  </si>
  <si>
    <t>Moultrie</t>
  </si>
  <si>
    <t>B042274</t>
  </si>
  <si>
    <t>MLTRGAXA</t>
  </si>
  <si>
    <t>WNS1556</t>
  </si>
  <si>
    <t>216 4th Street SE</t>
  </si>
  <si>
    <t>ON042-GA-131</t>
  </si>
  <si>
    <t>Mount Vernon</t>
  </si>
  <si>
    <t>NSVLGAXA</t>
  </si>
  <si>
    <t>WNS1558</t>
  </si>
  <si>
    <t>203 South Bartow Street</t>
  </si>
  <si>
    <t>Nashville</t>
  </si>
  <si>
    <t>ON042-GA-068</t>
  </si>
  <si>
    <t>PRRYGAAI</t>
  </si>
  <si>
    <t>WNS3437</t>
  </si>
  <si>
    <t>2031 US HWY 41 S</t>
  </si>
  <si>
    <t>B042265</t>
  </si>
  <si>
    <t>PRRYGAXA</t>
  </si>
  <si>
    <t>WNS1566</t>
  </si>
  <si>
    <t>910 Main Street</t>
  </si>
  <si>
    <t>ON042-GA-073</t>
  </si>
  <si>
    <t>PITSGAXA</t>
  </si>
  <si>
    <t>WNS1568</t>
  </si>
  <si>
    <t>108 7Th Ave W</t>
  </si>
  <si>
    <t>Pitts</t>
  </si>
  <si>
    <t>ON043-GA-031</t>
  </si>
  <si>
    <t>SUVLGAXA</t>
  </si>
  <si>
    <t>WNS1584</t>
  </si>
  <si>
    <t>66 West Washington Street</t>
  </si>
  <si>
    <t>Summerville</t>
  </si>
  <si>
    <t>ON042-GA-080</t>
  </si>
  <si>
    <t>SYVNGAXA</t>
  </si>
  <si>
    <t>WNS1585</t>
  </si>
  <si>
    <t>303 East Ogeechee Street</t>
  </si>
  <si>
    <t>Sylvania</t>
  </si>
  <si>
    <t>ON043-GA-044</t>
  </si>
  <si>
    <t>Thomaston</t>
  </si>
  <si>
    <t>THTNGAXA</t>
  </si>
  <si>
    <t>WNS3198</t>
  </si>
  <si>
    <t>118 East Gordon Street</t>
  </si>
  <si>
    <t>ON043-GA-064</t>
  </si>
  <si>
    <t>THTNGAXB</t>
  </si>
  <si>
    <t>WNS3284</t>
  </si>
  <si>
    <t>1444 Highway 19 N</t>
  </si>
  <si>
    <t>ON043-GA-067</t>
  </si>
  <si>
    <t>TRINGAXA</t>
  </si>
  <si>
    <t>WNS1588</t>
  </si>
  <si>
    <t>207 Allgood Street</t>
  </si>
  <si>
    <t>Trion</t>
  </si>
  <si>
    <t>ON042-GA-086</t>
  </si>
  <si>
    <t>WNDRGAXA</t>
  </si>
  <si>
    <t>WNS1594</t>
  </si>
  <si>
    <t>74 Woodlawn Avenue</t>
  </si>
  <si>
    <t>Winder</t>
  </si>
  <si>
    <t>ON042-GA-092</t>
  </si>
  <si>
    <t>IA</t>
  </si>
  <si>
    <t>Windstream Iowa Communications| Inc.</t>
  </si>
  <si>
    <t>WNS0433</t>
  </si>
  <si>
    <t>240 5th Street</t>
  </si>
  <si>
    <t>Ainsworth</t>
  </si>
  <si>
    <t>ON132-IA-1004</t>
  </si>
  <si>
    <t>ALBIIAXO</t>
  </si>
  <si>
    <t>WNS0435</t>
  </si>
  <si>
    <t>202 Washington Avenue E</t>
  </si>
  <si>
    <t>Albia</t>
  </si>
  <si>
    <t>ON132-IA-1009</t>
  </si>
  <si>
    <t>ADBNIAXO</t>
  </si>
  <si>
    <t>WNS1601</t>
  </si>
  <si>
    <t>620 LEROY</t>
  </si>
  <si>
    <t>Audubon</t>
  </si>
  <si>
    <t>ON132-IA-1023</t>
  </si>
  <si>
    <t>CNVLIAXO</t>
  </si>
  <si>
    <t>WNS0461</t>
  </si>
  <si>
    <t>236 West Maple Street</t>
  </si>
  <si>
    <t>ON132-IA-1064</t>
  </si>
  <si>
    <t>CHRTIAXC</t>
  </si>
  <si>
    <t>WNS1606</t>
  </si>
  <si>
    <t>220 North Grand Chariton</t>
  </si>
  <si>
    <t>Chariton</t>
  </si>
  <si>
    <t>ON132-IA-1068</t>
  </si>
  <si>
    <t>CLRDIAXT</t>
  </si>
  <si>
    <t>WNS1607</t>
  </si>
  <si>
    <t>115 West Chestnut Street</t>
  </si>
  <si>
    <t>Clarinda</t>
  </si>
  <si>
    <t>ON132-IA-1078</t>
  </si>
  <si>
    <t>Columbus Junction</t>
  </si>
  <si>
    <t>WNS3288</t>
  </si>
  <si>
    <t>326 Hilltop Drive</t>
  </si>
  <si>
    <t>B0133029</t>
  </si>
  <si>
    <t>CRESIAXO</t>
  </si>
  <si>
    <t>WNS1610</t>
  </si>
  <si>
    <t>118 2nd Avenue W</t>
  </si>
  <si>
    <t>Cresco</t>
  </si>
  <si>
    <t>ON132-IA-1101</t>
  </si>
  <si>
    <t>CETNIAXC</t>
  </si>
  <si>
    <t>WNS0057</t>
  </si>
  <si>
    <t>117 North Elm Street</t>
  </si>
  <si>
    <t>Creston</t>
  </si>
  <si>
    <t>B0133037</t>
  </si>
  <si>
    <t>Delta</t>
  </si>
  <si>
    <t>DNSNIAXO</t>
  </si>
  <si>
    <t>WNS0481</t>
  </si>
  <si>
    <t>517 Elm Street</t>
  </si>
  <si>
    <t>Donnellson</t>
  </si>
  <si>
    <t>ON132-IA-2120</t>
  </si>
  <si>
    <t>DYVLIAXO</t>
  </si>
  <si>
    <t>WNS1624</t>
  </si>
  <si>
    <t>116 2nd Street</t>
  </si>
  <si>
    <t>Dyersville</t>
  </si>
  <si>
    <t>ON132-IA-2127</t>
  </si>
  <si>
    <t>EDWDIAXO</t>
  </si>
  <si>
    <t>Edgewood</t>
  </si>
  <si>
    <t>ON132-IA-2130</t>
  </si>
  <si>
    <t>105 E MAIN</t>
  </si>
  <si>
    <t>EMBGIAXP</t>
  </si>
  <si>
    <t>Emmetsburg</t>
  </si>
  <si>
    <t>WNS3292</t>
  </si>
  <si>
    <t>1301 10th Street</t>
  </si>
  <si>
    <t>B0133032</t>
  </si>
  <si>
    <t>FRFDIAXC</t>
  </si>
  <si>
    <t>WNS1627</t>
  </si>
  <si>
    <t>204 West Broadway</t>
  </si>
  <si>
    <t>Fairfield</t>
  </si>
  <si>
    <t>ON132-IA-1150</t>
  </si>
  <si>
    <t>FRCYIAXO</t>
  </si>
  <si>
    <t>WNS0504</t>
  </si>
  <si>
    <t>145 West L Street</t>
  </si>
  <si>
    <t>Forest City</t>
  </si>
  <si>
    <t>ON132-IA-1162</t>
  </si>
  <si>
    <t>Greenfield</t>
  </si>
  <si>
    <t>WNS3295</t>
  </si>
  <si>
    <t>South Townline Road</t>
  </si>
  <si>
    <t>B0133013</t>
  </si>
  <si>
    <t>GRNLIAXC</t>
  </si>
  <si>
    <t>WNS1631</t>
  </si>
  <si>
    <t>1010 Main Street</t>
  </si>
  <si>
    <t>Grinnell</t>
  </si>
  <si>
    <t>ON132-IA-1181</t>
  </si>
  <si>
    <t>HLCRIAXP</t>
  </si>
  <si>
    <t>WNS1638</t>
  </si>
  <si>
    <t>5778 MAPLE RD</t>
  </si>
  <si>
    <t>Holy Cross</t>
  </si>
  <si>
    <t>B0133018</t>
  </si>
  <si>
    <t>Alley East Of 129 Maston St</t>
  </si>
  <si>
    <t>Jolley</t>
  </si>
  <si>
    <t>ON132-IA-1204</t>
  </si>
  <si>
    <t>1690 Kennedy</t>
  </si>
  <si>
    <t>Knoxviile</t>
  </si>
  <si>
    <t>ON132-IA-01180</t>
  </si>
  <si>
    <t>KNVLIAXC</t>
  </si>
  <si>
    <t>WNS0529</t>
  </si>
  <si>
    <t>108 East Marion Street</t>
  </si>
  <si>
    <t>Knoxville</t>
  </si>
  <si>
    <t>ON132-IA-1211</t>
  </si>
  <si>
    <t>WNS3298</t>
  </si>
  <si>
    <t>606 North Godfrey Lane</t>
  </si>
  <si>
    <t>ON132-IA-1112</t>
  </si>
  <si>
    <t>LKCYIAXO</t>
  </si>
  <si>
    <t>WNS0532</t>
  </si>
  <si>
    <t>106 East Washington</t>
  </si>
  <si>
    <t>ON132-IA-1214</t>
  </si>
  <si>
    <t>MNCHIAWH</t>
  </si>
  <si>
    <t>WNS1645</t>
  </si>
  <si>
    <t>1614 230Th Street</t>
  </si>
  <si>
    <t>B0133017</t>
  </si>
  <si>
    <t>MNCHIAXO</t>
  </si>
  <si>
    <t>WNS1646</t>
  </si>
  <si>
    <t>107 East Fayette Street</t>
  </si>
  <si>
    <t>ON132-IA-1178</t>
  </si>
  <si>
    <t>MRNGIAXO</t>
  </si>
  <si>
    <t>WNS1648</t>
  </si>
  <si>
    <t>151 East Hilton</t>
  </si>
  <si>
    <t>Marengo</t>
  </si>
  <si>
    <t>ON132-IA-1190</t>
  </si>
  <si>
    <t>MLRSIAXO</t>
  </si>
  <si>
    <t>ON132-IA-1213</t>
  </si>
  <si>
    <t>105 TRINITY AVE</t>
  </si>
  <si>
    <t>MORVIAIC</t>
  </si>
  <si>
    <t>Moravia</t>
  </si>
  <si>
    <t>ON132-IA-1283</t>
  </si>
  <si>
    <t>10435 160th Ave</t>
  </si>
  <si>
    <t>MTAYIAXC</t>
  </si>
  <si>
    <t>WNS0579</t>
  </si>
  <si>
    <t>300 South Taylor</t>
  </si>
  <si>
    <t>Mount Ayr</t>
  </si>
  <si>
    <t>ON132-IA-1244</t>
  </si>
  <si>
    <t>Mount Pleasant</t>
  </si>
  <si>
    <t>MNPLIAXC</t>
  </si>
  <si>
    <t>WNS1653</t>
  </si>
  <si>
    <t>101 West Madison</t>
  </si>
  <si>
    <t>ON132-IA-1245</t>
  </si>
  <si>
    <t>NEVDIAXC</t>
  </si>
  <si>
    <t>WNS1654</t>
  </si>
  <si>
    <t>635 J Avenue</t>
  </si>
  <si>
    <t>Nevada</t>
  </si>
  <si>
    <t>ON132-IA-1252</t>
  </si>
  <si>
    <t>NHTNIAXC</t>
  </si>
  <si>
    <t>WNS1655</t>
  </si>
  <si>
    <t>201 East Main</t>
  </si>
  <si>
    <t>New Hampton</t>
  </si>
  <si>
    <t>ON132-IA-1253</t>
  </si>
  <si>
    <t>WNS3303</t>
  </si>
  <si>
    <t>627 North Pleasant Hill Avenue</t>
  </si>
  <si>
    <t>ON132-IA-1113</t>
  </si>
  <si>
    <t>NWTNIAXC</t>
  </si>
  <si>
    <t>WNS1656</t>
  </si>
  <si>
    <t>115 S Second Ave W</t>
  </si>
  <si>
    <t>Newton</t>
  </si>
  <si>
    <t>ON132-IA-01178</t>
  </si>
  <si>
    <t>PERSIAXP</t>
  </si>
  <si>
    <t>Persia</t>
  </si>
  <si>
    <t>B0133020</t>
  </si>
  <si>
    <t>Alley Behind 103 Main Street</t>
  </si>
  <si>
    <t>Riverside</t>
  </si>
  <si>
    <t>Seymour</t>
  </si>
  <si>
    <t>TPTNIAXO</t>
  </si>
  <si>
    <t>WNS1668</t>
  </si>
  <si>
    <t>506 Meridian</t>
  </si>
  <si>
    <t>Tipton</t>
  </si>
  <si>
    <t>ON132-IA-1081</t>
  </si>
  <si>
    <t>Toledo</t>
  </si>
  <si>
    <t>TOLDIAXO</t>
  </si>
  <si>
    <t>WNS1669</t>
  </si>
  <si>
    <t>1201 South County Road</t>
  </si>
  <si>
    <t>ON132-IA-1082</t>
  </si>
  <si>
    <t>TRARIAXO</t>
  </si>
  <si>
    <t>WNS1670</t>
  </si>
  <si>
    <t>505 3rd Street</t>
  </si>
  <si>
    <t>Traer</t>
  </si>
  <si>
    <t>ON132-IA-1085</t>
  </si>
  <si>
    <t>WASHIAXO</t>
  </si>
  <si>
    <t>WNS1674</t>
  </si>
  <si>
    <t>217 East 2nd Street</t>
  </si>
  <si>
    <t>Washington</t>
  </si>
  <si>
    <t>ON132-IA-1038</t>
  </si>
  <si>
    <t>WLBGIAXO</t>
  </si>
  <si>
    <t>WNS1676</t>
  </si>
  <si>
    <t>105 West Welsh</t>
  </si>
  <si>
    <t>Williamsburg</t>
  </si>
  <si>
    <t>ON132-IA-1019</t>
  </si>
  <si>
    <t>ALBYKYXA</t>
  </si>
  <si>
    <t>WNS1699</t>
  </si>
  <si>
    <t>400 N Washington</t>
  </si>
  <si>
    <t>Albany</t>
  </si>
  <si>
    <t>KY</t>
  </si>
  <si>
    <t>ON219-KY-001</t>
  </si>
  <si>
    <t>Windstream Kentucky East| LLC</t>
  </si>
  <si>
    <t>Ashland</t>
  </si>
  <si>
    <t>ASLDKYXA</t>
  </si>
  <si>
    <t>WNS1701</t>
  </si>
  <si>
    <t>619 15th Street</t>
  </si>
  <si>
    <t>B2193221111</t>
  </si>
  <si>
    <t>MEDSKYXA</t>
  </si>
  <si>
    <t>WNS1703</t>
  </si>
  <si>
    <t>9216 Highway 60</t>
  </si>
  <si>
    <t>ON216-KY-002</t>
  </si>
  <si>
    <t>Barbourville</t>
  </si>
  <si>
    <t>BBVLKYXA</t>
  </si>
  <si>
    <t>WNS1705</t>
  </si>
  <si>
    <t>207 South Main Street</t>
  </si>
  <si>
    <t>ON220-KY-003</t>
  </si>
  <si>
    <t>Berea</t>
  </si>
  <si>
    <t>BEREKYXA</t>
  </si>
  <si>
    <t>WNS1709</t>
  </si>
  <si>
    <t>310 Center Street</t>
  </si>
  <si>
    <t>ON219-KY-003</t>
  </si>
  <si>
    <t>160 Old Highway 11</t>
  </si>
  <si>
    <t>BETHEL</t>
  </si>
  <si>
    <t>ON219-KY-060</t>
  </si>
  <si>
    <t>BRHDKYXA</t>
  </si>
  <si>
    <t>BRODHEAD</t>
  </si>
  <si>
    <t>4297 Highway 70</t>
  </si>
  <si>
    <t>ON220-KY-038</t>
  </si>
  <si>
    <t>BKVLKYXA</t>
  </si>
  <si>
    <t>WNS1712</t>
  </si>
  <si>
    <t>202 Madison St</t>
  </si>
  <si>
    <t>Brooksville</t>
  </si>
  <si>
    <t>ON220-KY-091</t>
  </si>
  <si>
    <t>BRSDKYXA</t>
  </si>
  <si>
    <t>WNS1715</t>
  </si>
  <si>
    <t>53 E French Ave 03</t>
  </si>
  <si>
    <t>BURNSIDE</t>
  </si>
  <si>
    <t>ON219-KY-007</t>
  </si>
  <si>
    <t>Campbellsville</t>
  </si>
  <si>
    <t>CMVLKYXA</t>
  </si>
  <si>
    <t>WNS1718</t>
  </si>
  <si>
    <t>303 E Broadway</t>
  </si>
  <si>
    <t>ON219-KY-008</t>
  </si>
  <si>
    <t>CMLDKYXA</t>
  </si>
  <si>
    <t>WNS1724</t>
  </si>
  <si>
    <t>309 Main Street</t>
  </si>
  <si>
    <t>Cumberland</t>
  </si>
  <si>
    <t>ON220-KY-011</t>
  </si>
  <si>
    <t>EVRSKYXA</t>
  </si>
  <si>
    <t>WNS1728</t>
  </si>
  <si>
    <t>159 E. Main St</t>
  </si>
  <si>
    <t>EVARTS</t>
  </si>
  <si>
    <t>ON220-KY-014</t>
  </si>
  <si>
    <t>RSSLKYXB</t>
  </si>
  <si>
    <t>WNS1730</t>
  </si>
  <si>
    <t>2400 Argillite Road</t>
  </si>
  <si>
    <t>FLATWOODS</t>
  </si>
  <si>
    <t>ON219-KY-015</t>
  </si>
  <si>
    <t>FMBGKYXA</t>
  </si>
  <si>
    <t>WNS1732</t>
  </si>
  <si>
    <t>226 West Water Street</t>
  </si>
  <si>
    <t>FLEMINGSBURG</t>
  </si>
  <si>
    <t>ON219-KY-016</t>
  </si>
  <si>
    <t>GNUPKYXA</t>
  </si>
  <si>
    <t>WNS1737</t>
  </si>
  <si>
    <t>304 Laurel St.</t>
  </si>
  <si>
    <t>Greenup</t>
  </si>
  <si>
    <t>ON219-KY-020</t>
  </si>
  <si>
    <t>HZRDKYXA</t>
  </si>
  <si>
    <t>WNS1739</t>
  </si>
  <si>
    <t>101 Winterberry Drive</t>
  </si>
  <si>
    <t>Hazard</t>
  </si>
  <si>
    <t>ON219-KY-021</t>
  </si>
  <si>
    <t>LTFDKYXA</t>
  </si>
  <si>
    <t>WNS1752</t>
  </si>
  <si>
    <t>399 N Cannon Dr BLDG A</t>
  </si>
  <si>
    <t>Leitchfield</t>
  </si>
  <si>
    <t>ON219-KY-025</t>
  </si>
  <si>
    <t>Network Property</t>
  </si>
  <si>
    <t>Monticello</t>
  </si>
  <si>
    <t>MNTIKYXA</t>
  </si>
  <si>
    <t>WNS1775</t>
  </si>
  <si>
    <t>45 Huffaker Street</t>
  </si>
  <si>
    <t>ON219-KY-032</t>
  </si>
  <si>
    <t>MRHDKYXA</t>
  </si>
  <si>
    <t>WNS1776</t>
  </si>
  <si>
    <t>154 East 2nd Street</t>
  </si>
  <si>
    <t>Morehead</t>
  </si>
  <si>
    <t>ON219-KY-033</t>
  </si>
  <si>
    <t>MTVRKYXA</t>
  </si>
  <si>
    <t>WNS1780</t>
  </si>
  <si>
    <t>80 West Main St</t>
  </si>
  <si>
    <t>ON999-KY-01021</t>
  </si>
  <si>
    <t>NCVLKYXA</t>
  </si>
  <si>
    <t>WNS1784</t>
  </si>
  <si>
    <t>105 North York Street</t>
  </si>
  <si>
    <t>Nicholasville</t>
  </si>
  <si>
    <t>ON219-KY-035</t>
  </si>
  <si>
    <t>OLHLKYXA</t>
  </si>
  <si>
    <t>WNS1785</t>
  </si>
  <si>
    <t>133 Mills Street</t>
  </si>
  <si>
    <t>Olive Hill</t>
  </si>
  <si>
    <t>ON219-KY-036</t>
  </si>
  <si>
    <t>OWVLKYXA</t>
  </si>
  <si>
    <t>WNS1787</t>
  </si>
  <si>
    <t>148 Treadway Street</t>
  </si>
  <si>
    <t>OWINGSVILLE</t>
  </si>
  <si>
    <t>ON219-KY-037</t>
  </si>
  <si>
    <t>SHPVKYXA</t>
  </si>
  <si>
    <t>WNS1795</t>
  </si>
  <si>
    <t>144 South Buckman Street</t>
  </si>
  <si>
    <t>Sheperdsville</t>
  </si>
  <si>
    <t>ON221-KY-002</t>
  </si>
  <si>
    <t>SHDNKYXA</t>
  </si>
  <si>
    <t>WNS1801</t>
  </si>
  <si>
    <t>21 1st Street</t>
  </si>
  <si>
    <t>SONORA</t>
  </si>
  <si>
    <t>ON219-KY-041</t>
  </si>
  <si>
    <t>VNBGKYXA</t>
  </si>
  <si>
    <t>WNS1806</t>
  </si>
  <si>
    <t>403 Fairlane Dr.</t>
  </si>
  <si>
    <t>Vanceburg</t>
  </si>
  <si>
    <t>ON219-KY-045</t>
  </si>
  <si>
    <t>ZNTNKYXA</t>
  </si>
  <si>
    <t>WNS1811</t>
  </si>
  <si>
    <t>135 Windy Hill Spur</t>
  </si>
  <si>
    <t>Zoneton</t>
  </si>
  <si>
    <t>ON0221-KY-001</t>
  </si>
  <si>
    <t>Windstream Kentucky West| LLC</t>
  </si>
  <si>
    <t>ABRDNCXA</t>
  </si>
  <si>
    <t>WNS1899</t>
  </si>
  <si>
    <t>211 North Poplar Street</t>
  </si>
  <si>
    <t>Aberdeen</t>
  </si>
  <si>
    <t>NC</t>
  </si>
  <si>
    <t>ON017-NC-003</t>
  </si>
  <si>
    <t>Windstream North Carolina| LLC</t>
  </si>
  <si>
    <t>ALBMNCXA</t>
  </si>
  <si>
    <t>WNS1901</t>
  </si>
  <si>
    <t>250 North 1st Street</t>
  </si>
  <si>
    <t>Albemarle</t>
  </si>
  <si>
    <t>B018200</t>
  </si>
  <si>
    <t>Windstream Concord Telephone| LLC</t>
  </si>
  <si>
    <t>CHGVNCXA</t>
  </si>
  <si>
    <t>WNS1906</t>
  </si>
  <si>
    <t>1525 South Main Street</t>
  </si>
  <si>
    <t>China Grove</t>
  </si>
  <si>
    <t>B018190</t>
  </si>
  <si>
    <t>NRWDNCXA</t>
  </si>
  <si>
    <t>WNS1925</t>
  </si>
  <si>
    <t>238 North Main Street</t>
  </si>
  <si>
    <t>Norwood</t>
  </si>
  <si>
    <t>ON017-NC-026</t>
  </si>
  <si>
    <t>GRQYNCXA</t>
  </si>
  <si>
    <t>WNS1932</t>
  </si>
  <si>
    <t>8145 Highway 52</t>
  </si>
  <si>
    <t>Rockwell</t>
  </si>
  <si>
    <t>ON017-NC-032</t>
  </si>
  <si>
    <t>OH</t>
  </si>
  <si>
    <t>Windstream Western Reserve| Inc.</t>
  </si>
  <si>
    <t>AURROHXA</t>
  </si>
  <si>
    <t>WNS2239</t>
  </si>
  <si>
    <t>27 East  Garfield Road</t>
  </si>
  <si>
    <t>Aurora</t>
  </si>
  <si>
    <t>ON080-OH-001</t>
  </si>
  <si>
    <t>BNBGOHXA</t>
  </si>
  <si>
    <t>WNS1052</t>
  </si>
  <si>
    <t>8425 Baindridge Road</t>
  </si>
  <si>
    <t>Bainbridge</t>
  </si>
  <si>
    <t>ON080-OH-003</t>
  </si>
  <si>
    <t>FRVWOHXA</t>
  </si>
  <si>
    <t>WNS2241</t>
  </si>
  <si>
    <t>32699 Old National Road</t>
  </si>
  <si>
    <t>Barnesville</t>
  </si>
  <si>
    <t>ON080-OH-041</t>
  </si>
  <si>
    <t>CECLOHXA</t>
  </si>
  <si>
    <t>WNS2243</t>
  </si>
  <si>
    <t>105 North Main Street</t>
  </si>
  <si>
    <t>CECIL</t>
  </si>
  <si>
    <t>ON158-OH-020</t>
  </si>
  <si>
    <t>Windstream Ohio| LLC</t>
  </si>
  <si>
    <t>CHRDOHXA</t>
  </si>
  <si>
    <t>WNS2244</t>
  </si>
  <si>
    <t>205 South Hambden Street</t>
  </si>
  <si>
    <t>Chardon</t>
  </si>
  <si>
    <t>ON080-OH-044</t>
  </si>
  <si>
    <t>CLSTOHXA</t>
  </si>
  <si>
    <t>WNS2248</t>
  </si>
  <si>
    <t>25038 Royalton Road</t>
  </si>
  <si>
    <t>Columbia Station</t>
  </si>
  <si>
    <t>ON158-OH-001</t>
  </si>
  <si>
    <t>DELTOHXA</t>
  </si>
  <si>
    <t>WNS2259</t>
  </si>
  <si>
    <t>201 Monroe Street</t>
  </si>
  <si>
    <t>ON158-OH-003</t>
  </si>
  <si>
    <t>ELYROHXA</t>
  </si>
  <si>
    <t>WNS2262</t>
  </si>
  <si>
    <t>363 3rd Street</t>
  </si>
  <si>
    <t>Elyria</t>
  </si>
  <si>
    <t>B158010</t>
  </si>
  <si>
    <t>ELYROHXB</t>
  </si>
  <si>
    <t>WNS2263</t>
  </si>
  <si>
    <t>400 Abbe Norht Road</t>
  </si>
  <si>
    <t>ON158-OH-005</t>
  </si>
  <si>
    <t>ELYROHXE</t>
  </si>
  <si>
    <t>WNS2264</t>
  </si>
  <si>
    <t>41786 Griswald Road</t>
  </si>
  <si>
    <t>ON158-OH-004</t>
  </si>
  <si>
    <t>GENVOHXA</t>
  </si>
  <si>
    <t>WNS2267</t>
  </si>
  <si>
    <t>37 South Forest Street</t>
  </si>
  <si>
    <t>Geneva</t>
  </si>
  <si>
    <t>ON080-OH-040</t>
  </si>
  <si>
    <t>GRVIOHXA</t>
  </si>
  <si>
    <t>WNS2268</t>
  </si>
  <si>
    <t>131 East Broadway</t>
  </si>
  <si>
    <t>Granville</t>
  </si>
  <si>
    <t>ON158-OH-023</t>
  </si>
  <si>
    <t>HIRMOHXA</t>
  </si>
  <si>
    <t>WNS2272</t>
  </si>
  <si>
    <t>11677 Hayden Street Rear</t>
  </si>
  <si>
    <t>Hiram</t>
  </si>
  <si>
    <t>ON080-OH-013</t>
  </si>
  <si>
    <t>HDSNOHXA</t>
  </si>
  <si>
    <t>WNS2275</t>
  </si>
  <si>
    <t>245 North Main Street</t>
  </si>
  <si>
    <t>Hudson</t>
  </si>
  <si>
    <t>ON080-OH-043</t>
  </si>
  <si>
    <t>HDSNOHXB</t>
  </si>
  <si>
    <t>WNS1063</t>
  </si>
  <si>
    <t>1300 Terex Road</t>
  </si>
  <si>
    <t>ON080-OH-015</t>
  </si>
  <si>
    <t>KNTNOHXA</t>
  </si>
  <si>
    <t>WNS2278</t>
  </si>
  <si>
    <t>225 West Columbus Street</t>
  </si>
  <si>
    <t>Kenton</t>
  </si>
  <si>
    <t>ON158-OH-025</t>
  </si>
  <si>
    <t>KGVLOHXA</t>
  </si>
  <si>
    <t>WNS2279</t>
  </si>
  <si>
    <t>3124 Main Street</t>
  </si>
  <si>
    <t>KINGSVILLE</t>
  </si>
  <si>
    <t>ON080-OH-017</t>
  </si>
  <si>
    <t>ELYROHXD</t>
  </si>
  <si>
    <t>WNS1065</t>
  </si>
  <si>
    <t>12045 State Route 301</t>
  </si>
  <si>
    <t>LaGrange</t>
  </si>
  <si>
    <t>ON158-OH-009</t>
  </si>
  <si>
    <t>MDSNOHXA</t>
  </si>
  <si>
    <t>WNS2282</t>
  </si>
  <si>
    <t>2740 Hubbard Road</t>
  </si>
  <si>
    <t>MADISON</t>
  </si>
  <si>
    <t>ON080-OH-019</t>
  </si>
  <si>
    <t>HETHOHXA</t>
  </si>
  <si>
    <t>WNS2292</t>
  </si>
  <si>
    <t>1046 Harris Avenue</t>
  </si>
  <si>
    <t>Newark</t>
  </si>
  <si>
    <t>ON158-OH-012</t>
  </si>
  <si>
    <t>NWRKOHXA</t>
  </si>
  <si>
    <t>WNS2289</t>
  </si>
  <si>
    <t>66 North 4th Street</t>
  </si>
  <si>
    <t>ON158-OH-024</t>
  </si>
  <si>
    <t>NWRKOHXB</t>
  </si>
  <si>
    <t>WNS2290</t>
  </si>
  <si>
    <t>320 Deo Drive</t>
  </si>
  <si>
    <t>ON158-OH-013</t>
  </si>
  <si>
    <t>NWRKOHXC</t>
  </si>
  <si>
    <t>WNS2294</t>
  </si>
  <si>
    <t>214 Neal Avenue</t>
  </si>
  <si>
    <t>ON158-OH-015</t>
  </si>
  <si>
    <t>NWRKOHXD</t>
  </si>
  <si>
    <t>WNS2291</t>
  </si>
  <si>
    <t>7322 Dorsey Mill Road Southeast</t>
  </si>
  <si>
    <t>ON158-OH-014</t>
  </si>
  <si>
    <t>NRVLOHXA</t>
  </si>
  <si>
    <t>WNS1068</t>
  </si>
  <si>
    <t>6874 Avon Belden Road</t>
  </si>
  <si>
    <t>North Ridgeville</t>
  </si>
  <si>
    <t>ON158-OH-016</t>
  </si>
  <si>
    <t>NRFDOHXA</t>
  </si>
  <si>
    <t>WNS2297</t>
  </si>
  <si>
    <t>54 Leonard Avenue</t>
  </si>
  <si>
    <t>Northfield</t>
  </si>
  <si>
    <t>B080033</t>
  </si>
  <si>
    <t>PLNGOHXA</t>
  </si>
  <si>
    <t>WNS2300</t>
  </si>
  <si>
    <t>117 West Harrison Street</t>
  </si>
  <si>
    <t>Paulding</t>
  </si>
  <si>
    <t>ON158-OH-026</t>
  </si>
  <si>
    <t>PNSLOHXA</t>
  </si>
  <si>
    <t>WNS2301</t>
  </si>
  <si>
    <t>1515 State Route 303</t>
  </si>
  <si>
    <t>Peninsula</t>
  </si>
  <si>
    <t>ON080-OH-027</t>
  </si>
  <si>
    <t>PRRYOHXA</t>
  </si>
  <si>
    <t>WNS2302</t>
  </si>
  <si>
    <t>4165 Main Street</t>
  </si>
  <si>
    <t>PERRY</t>
  </si>
  <si>
    <t>ON080-OH-028</t>
  </si>
  <si>
    <t>PWPNOHXA</t>
  </si>
  <si>
    <t>WNS2305</t>
  </si>
  <si>
    <t>101 Ben Avenue</t>
  </si>
  <si>
    <t>Powhatan Point</t>
  </si>
  <si>
    <t>ON080-OH-030</t>
  </si>
  <si>
    <t>QKCYOHXA</t>
  </si>
  <si>
    <t>WNS2306</t>
  </si>
  <si>
    <t>181 Broadway Street</t>
  </si>
  <si>
    <t>Quaker City</t>
  </si>
  <si>
    <t>ON080-OH-042</t>
  </si>
  <si>
    <t>4676 West Streetsboro Road</t>
  </si>
  <si>
    <t>Richfield</t>
  </si>
  <si>
    <t>ON080-OH-1004</t>
  </si>
  <si>
    <t>2684 East Aurora Road</t>
  </si>
  <si>
    <t>Twinsburg</t>
  </si>
  <si>
    <t>ON080-OH-1006</t>
  </si>
  <si>
    <t>2684 Route 82</t>
  </si>
  <si>
    <t>ON080-OH-037</t>
  </si>
  <si>
    <t>ASHTOHXA</t>
  </si>
  <si>
    <t>WNS2238</t>
  </si>
  <si>
    <t>4616 Park Avenue</t>
  </si>
  <si>
    <t>WYMAN</t>
  </si>
  <si>
    <t>B080053</t>
  </si>
  <si>
    <t>OK</t>
  </si>
  <si>
    <t>Windstream Oklahoma| LLC</t>
  </si>
  <si>
    <t>Valor Telecommunications of Texas| LLC</t>
  </si>
  <si>
    <t>BRAROKXA</t>
  </si>
  <si>
    <t>WNS2324</t>
  </si>
  <si>
    <t>114 West Broadway</t>
  </si>
  <si>
    <t>Broken Arrow</t>
  </si>
  <si>
    <t>ON200-OK-005</t>
  </si>
  <si>
    <t>BRAROKXC</t>
  </si>
  <si>
    <t>WNS2325</t>
  </si>
  <si>
    <t>5301 South Elm Place W</t>
  </si>
  <si>
    <t>ON200-OK-007</t>
  </si>
  <si>
    <t>BRAROKXD</t>
  </si>
  <si>
    <t>WNS2327</t>
  </si>
  <si>
    <t>201 East Omaha Street</t>
  </si>
  <si>
    <t>ON200-OK-009</t>
  </si>
  <si>
    <t>BRAROKXE</t>
  </si>
  <si>
    <t>WNS2326</t>
  </si>
  <si>
    <t>1025 North 84th Street</t>
  </si>
  <si>
    <t>ON200-OK-008</t>
  </si>
  <si>
    <t>Oklahoma Windstream| LLC</t>
  </si>
  <si>
    <t>CHTHOKXD</t>
  </si>
  <si>
    <t>Checotah</t>
  </si>
  <si>
    <t>115 Northwest 1st Street</t>
  </si>
  <si>
    <t>ON200-OK-010</t>
  </si>
  <si>
    <t>COWTOKXB</t>
  </si>
  <si>
    <t>WNS2335</t>
  </si>
  <si>
    <t>124 West Sycamore Street</t>
  </si>
  <si>
    <t>Coweta</t>
  </si>
  <si>
    <t>ON200-OK-011</t>
  </si>
  <si>
    <t>Poteau</t>
  </si>
  <si>
    <t>POTEOKAY</t>
  </si>
  <si>
    <t>WNS1096</t>
  </si>
  <si>
    <t>201 Kerr Ave</t>
  </si>
  <si>
    <t>B208115</t>
  </si>
  <si>
    <t>POTEOKXA</t>
  </si>
  <si>
    <t>WNS2358</t>
  </si>
  <si>
    <t>310 Clayton Avenue</t>
  </si>
  <si>
    <t>ON208-OK-004</t>
  </si>
  <si>
    <t>PRCLOKXA</t>
  </si>
  <si>
    <t>WNS2360</t>
  </si>
  <si>
    <t>319 West Apache</t>
  </si>
  <si>
    <t>Purcell</t>
  </si>
  <si>
    <t>ON200-OK-028</t>
  </si>
  <si>
    <t>STWLOKXA</t>
  </si>
  <si>
    <t>WNS2368</t>
  </si>
  <si>
    <t>116 South 1st Street</t>
  </si>
  <si>
    <t>Stilwell</t>
  </si>
  <si>
    <t>ON208-OK-007</t>
  </si>
  <si>
    <t>TCMSOKXB</t>
  </si>
  <si>
    <t>WNS2370</t>
  </si>
  <si>
    <t>112 East Park Street</t>
  </si>
  <si>
    <t>Tecumseh</t>
  </si>
  <si>
    <t>ON200-OK-035</t>
  </si>
  <si>
    <t>BRAROKXB</t>
  </si>
  <si>
    <t>WNS2371</t>
  </si>
  <si>
    <t>7200 S Mingo Rd</t>
  </si>
  <si>
    <t>Tulsa</t>
  </si>
  <si>
    <t>ON200-OK-006</t>
  </si>
  <si>
    <t>Vian</t>
  </si>
  <si>
    <t>109 Blackstone St</t>
  </si>
  <si>
    <t>ON208-OK-008</t>
  </si>
  <si>
    <t>WGNROKXD</t>
  </si>
  <si>
    <t>WNS2375</t>
  </si>
  <si>
    <t>Rear Of 812 E. Cherokee</t>
  </si>
  <si>
    <t>Wagoner</t>
  </si>
  <si>
    <t>ON200-OK-036</t>
  </si>
  <si>
    <t>TX</t>
  </si>
  <si>
    <t>Texas Windstream| LLC</t>
  </si>
  <si>
    <t>ANDRTXXA</t>
  </si>
  <si>
    <t>WNS2514</t>
  </si>
  <si>
    <t>112 Southwest 1st</t>
  </si>
  <si>
    <t>Andrews</t>
  </si>
  <si>
    <t>ON400-TX-012</t>
  </si>
  <si>
    <t>Windstream Communications Kerrville| LLC</t>
  </si>
  <si>
    <t>101 East Tate</t>
  </si>
  <si>
    <t>Brownfield</t>
  </si>
  <si>
    <t>ON400-TX-1001</t>
  </si>
  <si>
    <t>Valor</t>
  </si>
  <si>
    <t>CLDGTXXA</t>
  </si>
  <si>
    <t>WNS2557</t>
  </si>
  <si>
    <t>102 S Second</t>
  </si>
  <si>
    <t>ON209-TX-002</t>
  </si>
  <si>
    <t>Windstream Sugar Land| Inc.</t>
  </si>
  <si>
    <t>DLHRTXXA</t>
  </si>
  <si>
    <t>WNS2567</t>
  </si>
  <si>
    <t>601 Denver Avenue</t>
  </si>
  <si>
    <t>Dalhart</t>
  </si>
  <si>
    <t>ON400-TX-049</t>
  </si>
  <si>
    <t>DMMTTXXA</t>
  </si>
  <si>
    <t>WNS2575</t>
  </si>
  <si>
    <t>113 Northeast 2nd Street</t>
  </si>
  <si>
    <t>Dimmitt</t>
  </si>
  <si>
    <t>ON400-TX-057</t>
  </si>
  <si>
    <t>DUMSTXXA</t>
  </si>
  <si>
    <t>WNS2579</t>
  </si>
  <si>
    <t>116 West 7th Street</t>
  </si>
  <si>
    <t>Dumas</t>
  </si>
  <si>
    <t>ON400-TX-060</t>
  </si>
  <si>
    <t>WTWDTXXA</t>
  </si>
  <si>
    <t>WNS2619</t>
  </si>
  <si>
    <t>24500 Waterwood Parkway</t>
  </si>
  <si>
    <t>Huntsville</t>
  </si>
  <si>
    <t>ON209-TX-004</t>
  </si>
  <si>
    <t>Kerrville</t>
  </si>
  <si>
    <t>KRVLTXXA</t>
  </si>
  <si>
    <t>WNS2631</t>
  </si>
  <si>
    <t>812 Water Street</t>
  </si>
  <si>
    <t>ON810-TX-009</t>
  </si>
  <si>
    <t>LAMSTXXA</t>
  </si>
  <si>
    <t>WNS2635</t>
  </si>
  <si>
    <t>313 South 1st Street</t>
  </si>
  <si>
    <t>Lamesa</t>
  </si>
  <si>
    <t>LVLDTXXA</t>
  </si>
  <si>
    <t>WNS2638</t>
  </si>
  <si>
    <t>506 Avenue I</t>
  </si>
  <si>
    <t>Levelland</t>
  </si>
  <si>
    <t>ON400-01-054</t>
  </si>
  <si>
    <t>LTFDTXXA</t>
  </si>
  <si>
    <t>WNS2640</t>
  </si>
  <si>
    <t>600 East 5th Street</t>
  </si>
  <si>
    <t>Littlefield</t>
  </si>
  <si>
    <t>MMPHTXXA</t>
  </si>
  <si>
    <t>WNS2654</t>
  </si>
  <si>
    <t>721 West Noel Street</t>
  </si>
  <si>
    <t>Memphis</t>
  </si>
  <si>
    <t>ON400-TX-112</t>
  </si>
  <si>
    <t>NCNATXXA</t>
  </si>
  <si>
    <t>WNS2673</t>
  </si>
  <si>
    <t>117 East Oak Street</t>
  </si>
  <si>
    <t>Nocona</t>
  </si>
  <si>
    <t>ON131-TX-018</t>
  </si>
  <si>
    <t>Pecos</t>
  </si>
  <si>
    <t>PECSTXXB</t>
  </si>
  <si>
    <t>WNS2681</t>
  </si>
  <si>
    <t>924 West Daggett Street</t>
  </si>
  <si>
    <t>PYTNTXXA</t>
  </si>
  <si>
    <t>WNS2683</t>
  </si>
  <si>
    <t>301 South Amherst Street</t>
  </si>
  <si>
    <t>Perryton</t>
  </si>
  <si>
    <t>ON400-TX-196</t>
  </si>
  <si>
    <t>TRNYTXXH</t>
  </si>
  <si>
    <t>WNS1293</t>
  </si>
  <si>
    <t>75 FRONT ST @ F.M. 980 Riverside TX 77367 US</t>
  </si>
  <si>
    <t>O400-TX-053672</t>
  </si>
  <si>
    <t>SYMRTXXA</t>
  </si>
  <si>
    <t>WNS2709</t>
  </si>
  <si>
    <t>400 North Main Street</t>
  </si>
  <si>
    <t>ON400-TX-197</t>
  </si>
  <si>
    <t>SGLDTXXD</t>
  </si>
  <si>
    <t>WNS2722</t>
  </si>
  <si>
    <t>1850 Austin Parkway</t>
  </si>
  <si>
    <t>Sugar Land</t>
  </si>
  <si>
    <t>ON209-TX-013</t>
  </si>
  <si>
    <t>SGLDTXXE</t>
  </si>
  <si>
    <t>WNS2726</t>
  </si>
  <si>
    <t>12626 Dairy Ashford Road</t>
  </si>
  <si>
    <t>ON209-TX-014</t>
  </si>
  <si>
    <t>SWNYTXXA</t>
  </si>
  <si>
    <t>WNS2733</t>
  </si>
  <si>
    <t>202 Pecan Street</t>
  </si>
  <si>
    <t>Sweeny</t>
  </si>
  <si>
    <t>ON209-TX-019</t>
  </si>
  <si>
    <t>KOIOS - BSM 2025</t>
  </si>
  <si>
    <t>KOIOS - UTILITIES 2025</t>
  </si>
  <si>
    <t>Site Photo Link</t>
  </si>
  <si>
    <t>https://sitefotos.com/vpics/guestmapdev?b2k2p1</t>
  </si>
  <si>
    <t>https://sitefotos.com/vpics/guestmapdev?e8r6u8</t>
  </si>
  <si>
    <t>https://sitefotos.com/vpics/guestmapdev?c3u3s6</t>
  </si>
  <si>
    <t>https://sitefotos.com/vpics/guestmapdev?g7s2j2</t>
  </si>
  <si>
    <t>https://sitefotos.com/vpics/guestmapdev?s8m2q1</t>
  </si>
  <si>
    <t>https://sitefotos.com/vpics/guestmapdev?r2b1n1</t>
  </si>
  <si>
    <t>https://sitefotos.com/vpics/guestmapdev?t5n6n8</t>
  </si>
  <si>
    <t>https://sitefotos.com/vpics/guestmapdev?o3b5r8</t>
  </si>
  <si>
    <t>https://www.sitefotos.com/vpics/guestmapdev?c3k1y8</t>
  </si>
  <si>
    <t>https://www.sitefotos.com/vpics/guestmapdev?e6u3n8</t>
  </si>
  <si>
    <t>https://www.sitefotos.com/vpics/guestmapdev?w3a6l4</t>
  </si>
  <si>
    <t>https://www.google.com/maps/place/41%C2%B000'26.5%22N+91%C2%B057'57.0%22W/@41.0073621,-91.966477,205m/data=!3m2!1e3!4b1!4m4!3m3!8m2!3d41.0073611!4d-91.9658333?entry=ttu&amp;amp;g_ep=EgoyMDI1MTExNy4wIKXMDSoASAFQAw%3D%3D"&gt;Google Maps&lt;/a&gt;</t>
  </si>
  <si>
    <t>https://www.sitefotos.com/vpics/guestmapdev?k0s2d2</t>
  </si>
  <si>
    <t>https://www.sitefotos.com/vpics/guestmapdev?c7s5f8</t>
  </si>
  <si>
    <t>https://www.sitefotos.com/vpics/guestmapdev?i8a4g2</t>
  </si>
  <si>
    <t>https://www.sitefotos.com/vpics/guestmapdev?m1a0e7</t>
  </si>
  <si>
    <t>https://www.sitefotos.com/vpics/guestmapdev?h4e6x2</t>
  </si>
  <si>
    <t>https://www.sitefotos.com/vpics/guestmapdev?l3o7d4</t>
  </si>
  <si>
    <t>https://www.sitefotos.com/vpics/guestmapdev?s3a4q4</t>
  </si>
  <si>
    <t>https://www.sitefotos.com/vpics/guestmapdev?n7d4v5</t>
  </si>
  <si>
    <t>https://www.sitefotos.com/vpics/guestmapdev?m6f5w8</t>
  </si>
  <si>
    <t>https://www.sitefotos.com/vpics/guestmapdev?j0g8g4</t>
  </si>
  <si>
    <t>https://www.sitefotos.com/vpics/guestmapdev?l2v3o8</t>
  </si>
  <si>
    <t>https://www.sitefotos.com/vpics/guestmapdev?e0l4c5</t>
  </si>
  <si>
    <t>https://www.sitefotos.com/vpics/guestmapdev?u3c3c6</t>
  </si>
  <si>
    <t>https://www.google.com/maps/place/41%C2%B013'05.3%22N+84%C2%B036'07.7%22W/@41.218151,-84.6027937,124m/data=!3m2!1e3!4b1!4m4!3m3!8m2!3d41.21815!4d-84.60215?entry=ttu&amp;amp;g_ep=EgoyMDI1MTEyMy4xIKXMDSoASAFQAw%3D%3D"&gt;Google Maps&lt;/a&gt;</t>
  </si>
  <si>
    <t>https://www.sitefotos.com/vpics/guestmapdev?k0u2x5</t>
  </si>
  <si>
    <t>https://www.sitefotos.com/vpics/guestmapdev?d2f7d8</t>
  </si>
  <si>
    <t>https://www.sitefotos.com/vpics/guestmapdev?n4b2c1</t>
  </si>
  <si>
    <t>https://www.sitefotos.com/vpics/guestmapdev?j7p7u8</t>
  </si>
  <si>
    <t>https://www.sitefotos.com/vpics/guestmapdev?d8r3s3</t>
  </si>
  <si>
    <t>https://www.sitefotos.com/vpics/guestmapdev?o8d4a1</t>
  </si>
  <si>
    <t>https://www.sitefotos.com/vpics/guestmapdev?s6n7d8</t>
  </si>
  <si>
    <t>https://www.sitefotos.com/vpics/guestmapdev?r8u6a6</t>
  </si>
  <si>
    <t>https://www.sitefotos.com/vpics/guestmapdev?d7e0t1</t>
  </si>
  <si>
    <t>https://www.sitefotos.com/vpics/guestmapdev?p8i4p5</t>
  </si>
  <si>
    <t>https://www.sitefotos.com/vpics/guestmapdev?q1f1l4</t>
  </si>
  <si>
    <t>https://www.sitefotos.com/vpics/guestmapdev?p2x4k3</t>
  </si>
  <si>
    <t>https://www.sitefotos.com/vpics/guestmapdev?r2t1s4</t>
  </si>
  <si>
    <t>https://www.sitefotos.com/vpics/guestmapdev?q8o0x5</t>
  </si>
  <si>
    <t>https://www.sitefotos.com/vpics/guestmapdev?o1u5k7</t>
  </si>
  <si>
    <t>https://www.sitefotos.com/vpics/guestmapdev?l4h2w4</t>
  </si>
  <si>
    <t>https://www.sitefotos.com/vpics/guestmapdev?g6g7v3</t>
  </si>
  <si>
    <t>https://www.sitefotos.com/vpics/guestmapdev?m6m1a4</t>
  </si>
  <si>
    <t>https://www.sitefotos.com/vpics/guestmapdev?s0w1s8</t>
  </si>
  <si>
    <t>https://www.sitefotos.com/vpics/guestmapdev?l0i8t2</t>
  </si>
  <si>
    <t>https://www.sitefotos.com/vpics/guestmapdev?p2h0f6</t>
  </si>
  <si>
    <t>https://www.sitefotos.com/vpics/guestmapdev?k4a1l3</t>
  </si>
  <si>
    <t>https://www.sitefotos.com/vpics/guestmapdev?e8d1r3</t>
  </si>
  <si>
    <t>https://www.sitefotos.com/vpics/guestmapdev?i7m7q2</t>
  </si>
  <si>
    <t>KOIOS - BSM 2026</t>
  </si>
  <si>
    <t>KOIOS - UTILITIES 2026</t>
  </si>
  <si>
    <t>https://www.google.com/maps/place/Kinetic+Fiber+Internet+-+Leeds,+AL/@33.5437994,-86.544579,122m/data=!3m1!1e3!4m12!1m5!3m4!2zMzPCsDMyJzM3LjUiTiA4NsKwMzInMzguOSJX!8m2!3d33.54375!4d-86.54415!3m5!1s0x889a4da4998c95e9:0x11c2307e37c41fd5!8m2!3d33.5436989!4d-86.5443555!16s%2Fg%2F1s04fts47?entry=ttu&amp;amp;g_ep=EgoyMDI2MDIyMi4wIKXMDSoASAFQAw%3D%3D"&gt;Google Maps&lt;/a&gt;</t>
  </si>
  <si>
    <t>https://www.google.com/maps/place/33%C2%B035'36.4%22N+86%C2%B029'54.7%22W/@33.5934571,-86.4991794,173m/data=!3m2!1e3!4b1!4m4!3m3!8m2!3d33.593456!4d-86.4985357?entry=ttu&amp;amp;g_ep=EgoyMDI2MDIyMi4wIKXMDSoASAFQAw%3D%3D"&gt;Google Maps&lt;/a&gt;</t>
  </si>
  <si>
    <t>https://www.google.com/maps/place/41%C2%B051'03.1%22N+88%C2%B002'03.8%22W/@41.8508658,-88.035025,122m/data=!3m2!1e3!4b1!4m4!3m3!8m2!3d41.8508648!4d-88.0343813?entry=ttu&amp;amp;g_ep=EgoyMDI2MDMwMi4wIKXMDSoASAFQAw%3D%3D"&gt;Google Maps&lt;/a&gt;</t>
  </si>
  <si>
    <t>https://www.google.com/maps/place/104+W+6th+Ave,+Crossett,+AR+71635/@33.1285045,-91.9626419,114m/data=!3m1!1e3!4m12!1m5!3m4!2zMzPCsDA3JzQyLjYiTiA5McKwNTcnNDQuNCJX!8m2!3d33.1285!4d-91.96232!3m5!1s0x862dd7165e613c93:0x9d6fd601f14e7437!8m2!3d33.1284789!4d-91.9623317!16s%2Fg%2F11c1hc9zn8?entry=ttu&amp;amp;g_ep=EgoyMDI1MTExNy4wIKXMDSoASAFQAw%3D%3D"&gt;Google Maps&lt;/a&gt;</t>
  </si>
  <si>
    <t>https://www.google.com/maps/place/11+Dallas+311,+Arkadelphia,+AR+71923/@34.0381252,-92.887999,225m/data=!3m2!1e3!4b1!4m6!3m5!1s0x8632e92e3ea991cb:0xb86be4a0c450aca2!8m2!3d34.0381241!4d-92.8873553!16s%2Fg%2F11dzn71cvv?entry=ttu&amp;amp;g_ep=EgoyMDI1MTExNy4wIKXMDSoASAFQAw%3D%3D"&gt;Google Maps&lt;/a&gt;</t>
  </si>
  <si>
    <t>https://www.sitefotos.com/vpics/guestmapdev?e6n6n6</t>
  </si>
  <si>
    <t>https://www.sitefotos.com/vpics/guestmapdev?e4o1u0</t>
  </si>
  <si>
    <t>https://www.sitefotos.com/vpics/guestmapdev?o8a8x4</t>
  </si>
  <si>
    <t>https://www.google.com/maps/place/29%C2%B048'08.1%22N+82%C2%B029'32.7%22W/@29.8022512,-82.4930604,236m/data=!3m2!1e3!4b1!4m4!3m3!8m2!3d29.80225!4d-82.4924167?entry=ttu&amp;amp;g_ep=EgoyMDI2MDIyNC4wIKXMDSoASAFQAw%3D%3D"&gt;Google Maps&lt;/a&gt;</t>
  </si>
  <si>
    <t>https://www.sitefotos.com/vpics/guestmapdev?a8t0p1</t>
  </si>
  <si>
    <t>https://www.sitefotos.com/vpics/guestmapdev?e6c1h3</t>
  </si>
  <si>
    <t>https://www.google.com/maps/place/29%C2%B047'21.9%22N+82%C2%B029'45.1%22W/@29.7894179,-82.4965048,236m/data=!3m2!1e3!4b1!4m4!3m3!8m2!3d29.7894167!4d-82.4958611?entry=ttu&amp;amp;g_ep=EgoyMDI2MDIyNC4wIKXMDSoASAFQAw%3D%3D"&gt;Google Maps&lt;/a&gt;</t>
  </si>
  <si>
    <t>https://www.google.com/maps/place/34%C2%B002'16.7%22N+94%C2%B020'31.6%22W/@34.0379733,-94.3427548,136m/data=!3m2!1e3!4b1!4m4!3m3!8m2!3d34.0379722!4d-94.3421111?entry=ttu&amp;amp;g_ep=EgoyMDI2MDMwMS4xIKXMDSoASAFQAw%3D%3D"&gt;Google Maps&lt;/a&gt;</t>
  </si>
  <si>
    <t>https://www.google.com/maps/place/30%C2%B033'51.7%22N+81%C2%B049'53.1%22W/@30.5643623,-81.8320604,234m/data=!3m2!1e3!4b1!4m4!3m3!8m2!3d30.5643611!4d-81.8314167?entry=ttu&amp;amp;g_ep=EgoyMDI2MDIyNC4wIKXMDSoASAFQAw%3D%3D"&gt;Google Maps&lt;/a&gt;</t>
  </si>
  <si>
    <t>https://www.google.com/maps/place/30%C2%B041'23.0%22N+81%C2%B055'07.3%22W/@30.6897234,-81.9193381,234m/data=!3m2!1e3!4b1!4m4!3m3!8m2!3d30.6897222!4d-81.9186944?entry=ttu&amp;amp;g_ep=EgoyMDI2MDIyNC4wIKXMDSoASAFQAw%3D%3D"&gt;Google Maps&lt;/a&gt;</t>
  </si>
  <si>
    <t>https://www.google.com/maps/place/30%C2%B017'38.3%22N+82%C2%B058'56.0%22W/@30.2939734,-82.9828659,179m/data=!3m2!1e3!4b1!4m4!3m3!8m2!3d30.2939722!4d-82.9822222?entry=ttu&amp;amp;g_ep=EgoyMDI2MDIyNC4wIKXMDSoASAFQAw%3D%3D"&gt;Google Maps&lt;/a&gt;</t>
  </si>
  <si>
    <t>https://www.google.com/maps/place/153+NW+Crawford+St,+Mayo,+FL+32066/@30.0542213,-83.1769053,235m/data=!3m2!1e3!4b1!4m6!3m5!1s0x88eecbed82a913b9:0x979775c6de9bea5c!8m2!3d30.0542201!4d-83.1762616!16s%2Fg%2F11d_vtw9rc?entry=ttu&amp;amp;g_ep=EgoyMDI2MDEyOC4wIKXMDSoASAFQAw%3D%3D"&gt;Google Maps&lt;/a&gt;</t>
  </si>
  <si>
    <t>https://sitefotos.com/vpics/guestmapdev?t8c7i4</t>
  </si>
  <si>
    <t>https://sitefotos.com/vpics/guestmapdev?g4t5f6</t>
  </si>
  <si>
    <t>https://sitefotos.com/vpics/guestmapdev?w0s7t4</t>
  </si>
  <si>
    <t>https://sitefotos.com/vpics/guestmapdev?m8q5k5</t>
  </si>
  <si>
    <t>https://sitefotos.com/vpics/guestmapdev?a6c5j7</t>
  </si>
  <si>
    <t>https://www.google.com/maps/place/Kinetic+Fiber+Internet+-+Canton+GA/@34.2301179,-84.4892039,112m/data=!3m1!1e3!4m15!1m8!3m7!1s0x88f565bbe68ef9af:0xbf14ffe07e1ed3ad!2s206+Longview+St,+Canton,+GA+30114!3b1!8m2!3d34.2301135!4d-84.488882!16s%2Fg%2F11l0nhqjn7!3m5!1s0x88f6c7e1263eea59:0x4040cd808668f9ea!8m2!3d34.2300248!4d-84.4881739!16s%2Fg%2F1vc6f7d_?entry=ttu&amp;amp;g_ep=EgoyMDI1MTExNy4wIKXMDSoASAFQAw%3D%3D"&gt;Google Maps&lt;/a&gt;</t>
  </si>
  <si>
    <t>https://sitefotos.com/vpics/guestmapdev?j1r0g2</t>
  </si>
  <si>
    <t>https://sitefotos.com/vpics/guestmapdev?e5b4u1</t>
  </si>
  <si>
    <t>https://sitefotos.com/vpics/guestmapdev?o0d4c1</t>
  </si>
  <si>
    <t>https://sitefotos.com/vpics/guestmapdev?s4s3u5</t>
  </si>
  <si>
    <t>https://sitefotos.com/vpics/guestmapdev?l1c4e5</t>
  </si>
  <si>
    <t>https://sitefotos.com/vpics/guestmapdev?l8t2l3</t>
  </si>
  <si>
    <t>https://sitefotos.com/vpics/guestmapdev?t2s2j3</t>
  </si>
  <si>
    <t>https://sitefotos.com/vpics/guestmapdev?a1r2b1</t>
  </si>
  <si>
    <t>https://sitefotos.com/vpics/guestmapdev?d0w8f0</t>
  </si>
  <si>
    <t>https://sitefotos.com/vpics/guestmapdev?j8t5r2</t>
  </si>
  <si>
    <t>https://sitefotos.com/vpics/guestmapdev?i1c5i5</t>
  </si>
  <si>
    <t>https://sitefotos.com/vpics/guestmapdev?s5r0m4</t>
  </si>
  <si>
    <t>https://www.sitefotos.com/vpics/guestmapdev?c5a5g6</t>
  </si>
  <si>
    <t>https://www.google.com/maps/place/3375+GA-11,+Monroe,+GA+30656/@33.8905049,-83.7205933,226m/data=!3m2!1e3!4b1!4m6!3m5!1s0x88f5db77d56dfa87:0x273261ea0cd03aa7!8m2!3d33.8905038!4d-83.7199496!16s%2Fg%2F11bw4cc7y6?entry=ttu&amp;amp;g_ep=EgoyMDI1MTAyMi4wIKXMDSoASAFQAw%3D%3D"&gt;Google Maps&lt;/a&gt;</t>
  </si>
  <si>
    <t>https://sitefotos.com/vpics/guestmapdev?w3l2c4</t>
  </si>
  <si>
    <t>https://www.sitefotos.com/vpics/guestmapdev?g0p7o8</t>
  </si>
  <si>
    <t>https://sitefotos.com/vpics/guestmapdev?u2o1q0</t>
  </si>
  <si>
    <t>https://sitefotos.com/vpics/guestmapdev?x1h4l5</t>
  </si>
  <si>
    <t>https://www.sitefotos.com/vpics/guestmapdev?u0q0e1</t>
  </si>
  <si>
    <t>https://sitefotos.com/vpics/guestmapdev?g3t5o5</t>
  </si>
  <si>
    <t>https://sitefotos.com/vpics/guestmapdev?b5u5a7</t>
  </si>
  <si>
    <t>https://www.sitefotos.com/vpics/guestmapdev?s3o8q2</t>
  </si>
  <si>
    <t>https://sitefotos.com/vpics/guestmapdev?k5r6j4</t>
  </si>
  <si>
    <t>https://sitefotos.com/vpics/guestmapdev?g0b7l2</t>
  </si>
  <si>
    <t>https://sitefotos.com/vpics/guestmapdev?e2e4v6</t>
  </si>
  <si>
    <t>https://sitefotos.com/vpics/guestmapdev?d6s5u7</t>
  </si>
  <si>
    <t>https://sitefotos.com/vpics/guestmapdev?s0q8i7</t>
  </si>
  <si>
    <t>https://www.sitefotos.com/vpics/guestmapdev?u7n0l8</t>
  </si>
  <si>
    <t>https://www.sitefotos.com/vpics/guestmapdev?o6h7v3</t>
  </si>
  <si>
    <t>https://www.sitefotos.com/vpics/guestmapdev?s0n5g1</t>
  </si>
  <si>
    <t>https://www.google.com/maps/place/43%C2%B022'26.2%22N+92%C2%B007'02.4%22W/@43.3739454,-92.117977,197m/data=!3m2!1e3!4b1!4m4!3m3!8m2!3d43.3739444!4d-92.1173333?entry=ttu&amp;amp;g_ep=EgoyMDI1MTExNy4wIKXMDSoASAFQAw%3D%3D"&gt;Google Maps&lt;/a&gt;</t>
  </si>
  <si>
    <t>https://www.sitefotos.com/vpics/guestmapdev?q0g2p5</t>
  </si>
  <si>
    <t>https://www.google.com/maps/place/40%C2%B038'34.2%22N+91%C2%B033'55.4%22W/@40.6428343,-91.5660326,206m/data=!3m2!1e3!4b1!4m4!3m3!8m2!3d40.6428333!4d-91.5653889?entry=ttu&amp;amp;g_ep=EgoyMDI1MTAyNi4wIKXMDSoASAFQAw%3D%3D"&gt;Google Maps&lt;/a&gt;</t>
  </si>
  <si>
    <t>https://www.sitefotos.com/vpics/guestmapdev?s1u7o1</t>
  </si>
  <si>
    <t>https://www.google.com/maps/place/42%C2%B035'44.2%22N+90%C2%B059'45.6%22W/@42.5956377,-90.9958579,800m/data=!3m1!1e3!4m4!3m3!8m2!3d42.595608!4d-90.995998?entry=ttu&amp;amp;g_ep=EgoyMDI1MTAyNi4wIKXMDSoASAFQAw%3D%3D"&gt;Google Maps&lt;/a&gt;</t>
  </si>
  <si>
    <t>https://www.sitefotos.com/vpics/guestmapdev?a0r4l8</t>
  </si>
  <si>
    <t>https://www.sitefotos.com/vpics/guestmapdev?h4y8s2</t>
  </si>
  <si>
    <t>https://www.google.com/maps/place/42%C2%B029'03.8%22N+91%C2%B027'27.7%22W/@42.484381,-91.4583267,153m/data=!3m2!1e3!4b1!4m4!3m3!8m2!3d42.48438!4d-91.457683?entry=ttu&amp;amp;g_ep=EgoyMDI2MDIyNC4wIKXMDSoASAFQAw%3D%3D"&gt;Google Maps&lt;/a&gt;</t>
  </si>
  <si>
    <t>https://www.sitefotos.com/vpics/guestmapdev?q3o4r0</t>
  </si>
  <si>
    <t>https://www.sitefotos.com/vpics/guestmapdev?n6s2h3</t>
  </si>
  <si>
    <t>https://www.sitefotos.com/vpics/guestmapdev?v2o0r3</t>
  </si>
  <si>
    <t>https://www.sitefotos.com/vpics/guestmapdev?g6y0i0</t>
  </si>
  <si>
    <t>https://www.sitefotos.com/vpics/guestmapdev?j6s7c1</t>
  </si>
  <si>
    <t>https://www.sitefotos.com/vpics/guestmapdev?h7c8f3</t>
  </si>
  <si>
    <t>https://www.sitefotos.com/vpics/guestmapdev?c2k3m2</t>
  </si>
  <si>
    <t>https://www.sitefotos.com/vpics/guestmapdev?r3f5f4</t>
  </si>
  <si>
    <t>https://www.google.com/maps/place/4949+Summer+Shade+Rd,+Summer+Shade,+KY+42166/@36.8759171,-85.6601021,3a,37.5y,191.64h,87.75t/data=!3m7!1e1!3m5!1svrYjBVqy23or2j3c9KfHwQ!2e0!6shttps:%2F%2Fstreetviewpixels-pa.googleapis.com%2Fv1%2Fthumbnail%3Fcb_client%3Dmaps_sv.tactile%26w%3D900%26h%3D600%26pitch%3D2.2512462931385926%26panoid%3DvrYjBVqy23or2j3c9KfHwQ%26yaw%3D191.63699463385655!7i16384!8i8192!4m6!3m5!1s0x8866358a744ec2cf:0xf0cf40749a9898c2!8m2!3d36.875317!4d-85.6604178!16s%2Fg%2F11gwmr6b4p?entry=ttu&amp;amp;g_ep=EgoyMDI1MDkxNC4wIKXMDSoASAFQAw%3D%3D"&gt;Google Maps&lt;/a&gt;</t>
  </si>
  <si>
    <t>https://www.sitefotos.com/vpics/guestmapdev?j0l6w3</t>
  </si>
  <si>
    <t>https://www.sitefotos.com/vpics/guestmapdev?q6e1d4</t>
  </si>
  <si>
    <t>https://www.sitefotos.com/vpics/guestmapdev?j4y4w6</t>
  </si>
  <si>
    <t>https://www.google.com/maps/place/37%C2%B020'33.3%22N+85%C2%B020'38.1%22W/@37.3425844,-85.3445604,216m/data=!3m1!1e3!4m4!3m3!8m2!3d37.3425833!4d-85.3439167?entry=ttu&amp;amp;g_ep=EgoyMDI1MTExNy4wIKXMDSoASAFQAw%3D%3D"&gt;Google Maps&lt;/a&gt;</t>
  </si>
  <si>
    <t>https://www.sitefotos.com/vpics/guestmapdev?i1x5l6</t>
  </si>
  <si>
    <t>https://www.sitefotos.com/vpics/guestmapdev?b4f3l3</t>
  </si>
  <si>
    <t>https://www.sitefotos.com/vpics/guestmapdev?p0q8s1</t>
  </si>
  <si>
    <t>https://www.sitefotos.com/vpics/guestmapdev?h2t4s4</t>
  </si>
  <si>
    <t>https://www.sitefotos.com/vpics/guestmapdev?j4e7p2</t>
  </si>
  <si>
    <t>https://www.sitefotos.com/vpics/guestmapdev?i6e5b4</t>
  </si>
  <si>
    <t>https://www.sitefotos.com/vpics/guestmapdev?s0e4v5</t>
  </si>
  <si>
    <t>https://www.sitefotos.com/vpics/guestmapdev?j0d2o5</t>
  </si>
  <si>
    <t>https://www.sitefotos.com/vpics/guestmapdev?q5b1t3</t>
  </si>
  <si>
    <t>https://www.sitefotos.com/vpics/guestmapdev?c6r5d8</t>
  </si>
  <si>
    <t>https://www.sitefotos.com/vpics/guestmapdev?e7q8w5</t>
  </si>
  <si>
    <t>https://www.sitefotos.com/vpics/guestmapdev?y8p7k1</t>
  </si>
  <si>
    <t>https://www.sitefotos.com/vpics/guestmapdev?e1m1j2</t>
  </si>
  <si>
    <t>https://www.sitefotos.com/vpics/guestmapdev?e7m7j1</t>
  </si>
  <si>
    <t>https://www.sitefotos.com/vpics/guestmapdev?j8c3r5</t>
  </si>
  <si>
    <t>https://www.sitefotos.com/vpics/guestmapdev?p6d7s4</t>
  </si>
  <si>
    <t>https://www.sitefotos.com/vpics/guestmapdev?w7t7y6</t>
  </si>
  <si>
    <t>https://www.sitefotos.com/vpics/guestmapdev?n7j7q5</t>
  </si>
  <si>
    <t>https://www.sitefotos.com/vpics/guestmapdev?g8w0j7</t>
  </si>
  <si>
    <t>https://www.google.com/maps/place/8425+Bainbridge+Rd,+Chagrin+Falls,+OH+44023/@41.385724,-81.3409919,102m/data=!3m1!1e3!4m12!1m5!3m4!2zNDHCsDIzJzA4LjYiTiA4McKwMjAnMjYuNCJX!8m2!3d41.38572!4d-81.34067!3m5!1s0x88311a7811e73ce9:0x8ae504c98819a4a0!8m2!3d41.3857038!4d-81.3406819!16s%2Fg%2F11b8v5dgqb?entry=ttu&amp;amp;g_ep=EgoyMDI1MTAwNy4wIKXMDSoASAFQAw%3D%3D"&gt;Google Maps&lt;/a&gt;</t>
  </si>
  <si>
    <t>https://www.sitefotos.com/vpics/guestmapdev?x4v1m2</t>
  </si>
  <si>
    <t>https://www.sitefotos.com/vpics/guestmapdev?u4j5r8</t>
  </si>
  <si>
    <t>https://www.sitefotos.com/vpics/guestmapdev?o5u2t0</t>
  </si>
  <si>
    <t>https://www.sitefotos.com/vpics/guestmapdev?i3h7y0</t>
  </si>
  <si>
    <t>https://www.sitefotos.com/vpics/guestmapdev?s7j1g2</t>
  </si>
  <si>
    <t>https://www.sitefotos.com/vpics/guestmapdev?t8f6t7</t>
  </si>
  <si>
    <t>https://www.sitefotos.com/vpics/guestmapdev?a0g2a6</t>
  </si>
  <si>
    <t>https://sitefotos.com/vpics/guestmapdev?f1y0i4</t>
  </si>
  <si>
    <t>https://sitefotos.com/vpics/guestmapdev?u6l0o6</t>
  </si>
  <si>
    <t>https://www.sitefotos.com/vpics/guestmapdev?u1a0v7</t>
  </si>
  <si>
    <t>https://www.sitefotos.com/vpics/guestmapdev?d4k5f1</t>
  </si>
  <si>
    <t>https://www.sitefotos.com/vpics/guestmapdev?d8y7j6</t>
  </si>
  <si>
    <t>https://www.sitefotos.com/vpics/guestmapdev?t7h6c8</t>
  </si>
  <si>
    <t>https://www.sitefotos.com/vpics/guestmapdev?q4k0k6</t>
  </si>
  <si>
    <t>https://www.sitefotos.com/vpics/guestmapdev?s7v1i6</t>
  </si>
  <si>
    <t>https://www.sitefotos.com/vpics/guestmapdev?v7g8x1</t>
  </si>
  <si>
    <t>https://www.sitefotos.com/vpics/guestmapdev?u6h7y2</t>
  </si>
  <si>
    <t>https://www.sitefotos.com/vpics/guestmapdev?s1l7c0</t>
  </si>
  <si>
    <t>https://www.google.com/maps/place/130+Howell+Dr,+Elizabethtown,+KY+42701/@37.7137354,-85.8271202,860m/data=!3m2!1e3!4b1!4m6!3m5!1s0x8868ef14cb372ebf:0xa1909efe4828c1f5!8m2!3d37.7137312!4d-85.8245453!16s%2Fg%2F11bw4nx7h4?entry=ttu&amp;amp;g_ep=EgoyMDI2MDIwNC4wIKXMDSoASAFQAw%3D%3D"&gt;Google Maps&lt;/a&gt;</t>
  </si>
  <si>
    <t>https://www.sitefotos.com/vpics/guestmapdev?w7d2n3</t>
  </si>
  <si>
    <t>https://www.sitefotos.com/vpics/guestmapdev?w6y5t8</t>
  </si>
  <si>
    <t>https://www.sitefotos.com/vpics/guestmapdev?r3s8e2</t>
  </si>
  <si>
    <t>https://www.sitefotos.com/vpics/guestmapdev?v4r7w8</t>
  </si>
  <si>
    <t>https://www.sitefotos.com/vpics/guestmapdev?i8w0l5</t>
  </si>
  <si>
    <t>https://www.sitefotos.com/vpics/guestmapdev?r3x0w5</t>
  </si>
  <si>
    <t>https://www.sitefotos.com/vpics/guestmapdev?l3n8d0</t>
  </si>
  <si>
    <t>https://www.sitefotos.com/vpics/guestmapdev?r4h2u6</t>
  </si>
  <si>
    <t>https://www.sitefotos.com/vpics/guestmapdev?i3c0y4</t>
  </si>
  <si>
    <t>https://www.sitefotos.com/vpics/guestmapdev?g2e5m3</t>
  </si>
  <si>
    <t>https://www.sitefotos.com/vpics/guestmapdev?k0a0n2</t>
  </si>
  <si>
    <t>https://www.sitefotos.com/vpics/guestmapdev?a5w4m1</t>
  </si>
  <si>
    <t>https://www.sitefotos.com/vpics/guestmapdev?o7m6y8</t>
  </si>
  <si>
    <t>https://www.sitefotos.com/vpics/guestmapdev?w3k5x0</t>
  </si>
  <si>
    <t>https://www.sitefotos.com/vpics/guestmapdev?l7a4o1</t>
  </si>
  <si>
    <t>https://www.sitefotos.com/vpics/guestmapdev?x7r0j2</t>
  </si>
  <si>
    <t>https://www.google.com/maps/place/29%C2%B035'09.9%22N+95%C2%B037'14.6%22W/@29.5860919,-95.6213714,236m/data=!3m2!1e3!4b1!4m4!3m3!8m2!3d29.5860907!4d-95.6207277?entry=ttu&amp;amp;g_ep=EgoyMDI2MDIyNC4wIKXMDSoASAFQAw%3D%3D"&gt;Google Maps&lt;/a&gt;</t>
  </si>
  <si>
    <t>https://www.sitefotos.com/vpics/guestmapdev?k6p1p5</t>
  </si>
  <si>
    <t>Square Ft-Interior</t>
  </si>
  <si>
    <t>Rack Count</t>
  </si>
  <si>
    <t>KIN COPPER_SUBS</t>
  </si>
  <si>
    <t>KIN FIBER_SUBS</t>
  </si>
  <si>
    <t>KIN TOTAL_SUBS</t>
  </si>
  <si>
    <t>Drop MRR</t>
  </si>
  <si>
    <t>Drop MRR (Non OM)</t>
  </si>
  <si>
    <t>Pass Through MRR</t>
  </si>
  <si>
    <t>Drop MRR Total</t>
  </si>
  <si>
    <t>COLO_MRR</t>
  </si>
  <si>
    <t>Overall MRR Total</t>
  </si>
  <si>
    <t>no</t>
  </si>
  <si>
    <t>yes</t>
  </si>
  <si>
    <t>ALCHFL01</t>
  </si>
  <si>
    <t>ALCHFLAJ</t>
  </si>
  <si>
    <t>JLLYIAXE</t>
  </si>
  <si>
    <t>KNVLIAXD</t>
  </si>
  <si>
    <t>Min LEASE_ID - ExecutionDate</t>
  </si>
  <si>
    <t>CLLI - A</t>
  </si>
  <si>
    <t>Asset Name</t>
  </si>
  <si>
    <t>Asset Model</t>
  </si>
  <si>
    <t>SIZE (BTUs)</t>
  </si>
  <si>
    <t>KW</t>
  </si>
  <si>
    <t>DATE INSTALLED</t>
  </si>
  <si>
    <t>Age</t>
  </si>
  <si>
    <t>Useful Life</t>
  </si>
  <si>
    <t>Within Useful Life?</t>
  </si>
  <si>
    <t>FIXED/PORTABLE</t>
  </si>
  <si>
    <t>FUEL SYSTEM</t>
  </si>
  <si>
    <t>Generator Run Time (Hours)</t>
  </si>
  <si>
    <t>GEN01-ALICECHALMERS-67OT-7014315</t>
  </si>
  <si>
    <t>GENERATOR PM</t>
  </si>
  <si>
    <t>FIXED</t>
  </si>
  <si>
    <t>DIESEL</t>
  </si>
  <si>
    <t>CND01-TRANE-TTA090A300FA-9283SBJAD</t>
  </si>
  <si>
    <t>HVAC - CONDENSER UNIT</t>
  </si>
  <si>
    <t>CND02-YORK-E1FDO98525B-ELEM417454</t>
  </si>
  <si>
    <t>AHU01-TRANE-TWE090A300EL-9271L14BD</t>
  </si>
  <si>
    <t>HVAC - AIR HANDLING UNIT</t>
  </si>
  <si>
    <t>AHU02-YORK-FFP048H067-EMS345622</t>
  </si>
  <si>
    <t>AHU03-TRANE-TSC090H3R0A02-192710171L</t>
  </si>
  <si>
    <t>AHU02- TRANE-5TEM6D06AV41SAA-25293YU23V</t>
  </si>
  <si>
    <t>CND02-TRANE-5TWA40483000AA-252430AFKF</t>
  </si>
  <si>
    <t>GEN01-ONAN-75ODUB15R27996A-F850766924</t>
  </si>
  <si>
    <t>AHU01-LENNOX-HS19653V3Y-UnkSerial</t>
  </si>
  <si>
    <t>AHU02-LENNOX-HS290605P-UnkSerial</t>
  </si>
  <si>
    <t>GEN01-Olympian-D60P1-D4751A001</t>
  </si>
  <si>
    <t>Diesel</t>
  </si>
  <si>
    <t>AHU01-CARRIER-FB4CNF042-4714A84662</t>
  </si>
  <si>
    <t>CND01-CARRIER-25HCD342A310-411E18487</t>
  </si>
  <si>
    <t>WAC01-MARVAIR-AVPA60ACA100NU-EJF16769201</t>
  </si>
  <si>
    <t>HVAC - AC WALL UNIT</t>
  </si>
  <si>
    <t>WAC02-BARD-W60ACA00-289C20374564802</t>
  </si>
  <si>
    <t>WAC03-BARD-W60A2A00-324C17341658002</t>
  </si>
  <si>
    <t>GEN01-ONAN-125DVD15R26986B-K870947167</t>
  </si>
  <si>
    <t>CND01-LENNOX-UnkModel-UnkSerial</t>
  </si>
  <si>
    <t>CND02-CARRIER-38AR2008501-2202G20047</t>
  </si>
  <si>
    <t>CND03-LENNOX-HS19513V4Y-5192G03682</t>
  </si>
  <si>
    <t>AHU01-LENNOX-G51MP60C09008-5908B17971</t>
  </si>
  <si>
    <t>AHU02-LENNOX-G51MP60C09008-5908B17942</t>
  </si>
  <si>
    <t>AHU03-LENNOX-CB19512P-5193A77863</t>
  </si>
  <si>
    <t>AHU04-LENNOX-ML196UH070XE36B-52-1722C21879</t>
  </si>
  <si>
    <t>CND04-LENNOX-TSA36S4N44Y-5820C17368</t>
  </si>
  <si>
    <t>GEN01-CUMMINS-350DFCC5564642-G020395528</t>
  </si>
  <si>
    <t>CND01-CARRIER-38QKW024521-1505G50007</t>
  </si>
  <si>
    <t>AHU02-MARLO-CMZ133X-M58196</t>
  </si>
  <si>
    <t>AHU01-CARRIER-40RM024B511GC-4504X02161</t>
  </si>
  <si>
    <t>AHU01-Carrier-FX4DNF061-0416A88576</t>
  </si>
  <si>
    <t>CND01-Carrier-24ABB360A520-02165E00305</t>
  </si>
  <si>
    <t>AHU03-TRANE-NTXWST36A112AA-9000162T20U80W</t>
  </si>
  <si>
    <t>CND03-TRANE-NTXSST36A112AA-9000247T20U8C5</t>
  </si>
  <si>
    <t>CND02-TRANE-TTA24043CAB01AE-21313769TA</t>
  </si>
  <si>
    <t>RTU01-TRANE-TCD300F3DOAH-114810090D</t>
  </si>
  <si>
    <t>HVAC - ROOF TOP UNIT</t>
  </si>
  <si>
    <t>UH01-ELECTROMODE-WA40-UnkSerial</t>
  </si>
  <si>
    <t>HVAC - UNIT HEATER</t>
  </si>
  <si>
    <t>GEN02-CONDEC-31700812-BA23821ED</t>
  </si>
  <si>
    <t>AHU01-CARRIER-40RUAA16A2A6-3616U28425</t>
  </si>
  <si>
    <t>CND01-CARRIER-38AUDA16A0A5-3316P52467</t>
  </si>
  <si>
    <t>UH02-MARKEL-31TR48-03264502</t>
  </si>
  <si>
    <t>AHU02-CARRIER-40RUAA16T2A5AOAOAO-0522U29370</t>
  </si>
  <si>
    <t>CND02-CARRIER-38AUZA16-OAOAOA0A5-0822P34705</t>
  </si>
  <si>
    <t>GEN01-Cummins-80DGDA4956988-C010220821</t>
  </si>
  <si>
    <t>AHU02-CARRIER-40RM008B611HC-3706U24223</t>
  </si>
  <si>
    <t>CND02-CARRIER-38AU2A08A0B5A090A0-2511G40138</t>
  </si>
  <si>
    <t>AHU03-CARRIER-40RUAA08T2A50A0A0-1220U09517</t>
  </si>
  <si>
    <t>CND03-CARRIER-38AUZA08A0B50A0A0-0620C92349</t>
  </si>
  <si>
    <t>AHU01-DAIKEN-DX14XA1203-2301261294</t>
  </si>
  <si>
    <t>CND01-DAIKEN-DAX12043-2301217199</t>
  </si>
  <si>
    <t>GEN01-Cummins ONAN-155DFE15R-D760123588</t>
  </si>
  <si>
    <t>AHU03-TRANE-TWE120B300DA-2271PAC5H</t>
  </si>
  <si>
    <t>CND03-TRANE-TTA120E400AA-2375Y60AD</t>
  </si>
  <si>
    <t>AHU01-TRANE-TWE120E300AB-14344YKDBA</t>
  </si>
  <si>
    <t>AHU02-TRANE-TWE120E300AB-143440FPBA</t>
  </si>
  <si>
    <t>CND01-TRANE-TTA120E400AA-14252B4LYA</t>
  </si>
  <si>
    <t>CND02-TRANE-TTA120E400AA-14254W14YA</t>
  </si>
  <si>
    <t>AHU04-TRANE-TWE09043-19061537BA</t>
  </si>
  <si>
    <t>CND04-TRANE-TTA09043-18451783YA</t>
  </si>
  <si>
    <t>AHU05-TRANE-TWE09043AAA00A0000-1252665BA</t>
  </si>
  <si>
    <t>CND05-TRANE-TTA09043-18262073YA</t>
  </si>
  <si>
    <t>AHU06-TRANE-AUHV60D3XH21CC-W1D6532687</t>
  </si>
  <si>
    <t>CND06-TRANE-TCJD605435A-W1L6057178</t>
  </si>
  <si>
    <t>AHU07-TRANE-AUHV60D3XH21CC-W1D6532690</t>
  </si>
  <si>
    <t>CND07-TRANE-TCJD6054354A-W1K607453</t>
  </si>
  <si>
    <t>AHU05-CARRIER-50CD-005-510-0484G91587</t>
  </si>
  <si>
    <t>WAC01-BARD-W70A2809-404F1331745102</t>
  </si>
  <si>
    <t>WAC02-BARD-W70A2809-404F1331745202</t>
  </si>
  <si>
    <t>WAC03-BARD-W7012809-40F1331745002</t>
  </si>
  <si>
    <t>PAC01-LENNOX-KCB036S4DN1P-5616G08733</t>
  </si>
  <si>
    <t>HVAC - PACKAGE UNIT</t>
  </si>
  <si>
    <t>ANWOIAXO</t>
  </si>
  <si>
    <t>GEN01-ONAN-30DDA15R28076D-C820615391</t>
  </si>
  <si>
    <t>AHU02-LIEBERT-VS070ADC0E19775-14K8E0023</t>
  </si>
  <si>
    <t>AHU01-LIEBERT-VS070ADC0E19775-14X8E0024</t>
  </si>
  <si>
    <t>WAC04-LENNOX-CB17275V1-5600J04369</t>
  </si>
  <si>
    <t>WAC03-LENNOX-HS292402Y-5600M04765</t>
  </si>
  <si>
    <t>GEN02-CUMMINS-DQDAC-H160988986</t>
  </si>
  <si>
    <t>AHU01-TRANE-A4AH4E60A1C30BA-21254NDY3V</t>
  </si>
  <si>
    <t>CND01-TRANE-4TTTA3060D3000DA-22083EGJ5F</t>
  </si>
  <si>
    <t>GEN01-CATERPILLAR-SR4B-9FG02372</t>
  </si>
  <si>
    <t>AHU01-YORK-M30H-66765168HI</t>
  </si>
  <si>
    <t>AHU02-YORK-M30H-UnkSerial</t>
  </si>
  <si>
    <t>AHU03-YORK-UnkModel-66765168H2</t>
  </si>
  <si>
    <t>AHU05-LIEBERT-11C-155591</t>
  </si>
  <si>
    <t>AHU06-CARRIER-FB4CNP060-2614A87982</t>
  </si>
  <si>
    <t>AHU07-LIEBERT-D125AVAECI-435359001</t>
  </si>
  <si>
    <t>AHU08-LIEBERT-FH376CC01-85161A</t>
  </si>
  <si>
    <t>AHU09-LIEBERT-FH376CC01-85161C</t>
  </si>
  <si>
    <t>AHU10-LIEBERT-FH376CC01-85161B</t>
  </si>
  <si>
    <t>AHU11-LIEBERT-UnkModel-UnkSerial</t>
  </si>
  <si>
    <t>CND05-CARRIER-PA13NA060E-2514X68504</t>
  </si>
  <si>
    <t>AHU12-CARRIER-40RUAA16T2A5A-2521U21730</t>
  </si>
  <si>
    <t>CND06-CARRIER-38AUZA16AOA5AOAOAO-2421P41825</t>
  </si>
  <si>
    <t>CND07-LIEBERT-CDF165LY-132650924</t>
  </si>
  <si>
    <t>AHU13-CARRIER-UnkModel-UnkSerial</t>
  </si>
  <si>
    <t>CND08-JCI-FPH-6HEM001617</t>
  </si>
  <si>
    <t>GEN01-MARATHON-440FDR7112JJW-PM3176103</t>
  </si>
  <si>
    <t>CND03-LIEBERT-CDF205LY-91010038</t>
  </si>
  <si>
    <t>AHU04-BRYANT-524JE12A000A20AAA-2415U13950</t>
  </si>
  <si>
    <t>CND04-BRYANT-569JP12D000A00A0AA-1515C93856</t>
  </si>
  <si>
    <t>AHU05-MITSUBISHI-PKAA36KA6-51M0738</t>
  </si>
  <si>
    <t>CND05-MITSUBISHI-PUZA36NHA6-4ZU00102A</t>
  </si>
  <si>
    <t>AHU01-LIEBERT-UH199ACOO-165104001</t>
  </si>
  <si>
    <t>AHU02-LIEBERT-BR067A-CA003984-N09B740080</t>
  </si>
  <si>
    <t>AHU03-LIEBERT-BR067A-CA003984-N09B740081</t>
  </si>
  <si>
    <t>CND02-LIEBERT-TCDV165-A-0848C17494</t>
  </si>
  <si>
    <t>AHU05-MITSUBISHI-PKAA36KA8-36M03242</t>
  </si>
  <si>
    <t>CND05-MITSUBISHI-PUZA36NKA7-44U26007C</t>
  </si>
  <si>
    <t>CND01-CARRIER-38AUZA16A0A5A0A0A0A0-3824P91572</t>
  </si>
  <si>
    <t>AHU06-CARRIER-40RUAA16T2A5AU0A0-1525U03437</t>
  </si>
  <si>
    <t>AHU01-CARRIER-40RVAA16T2A5UA0A0-1525U03437</t>
  </si>
  <si>
    <t>CND03-CARRIER-38AUZA16A0A50A0A0P24-3824P91572</t>
  </si>
  <si>
    <t>GEN02-Cummins-60DGCBL30472A-C900308921</t>
  </si>
  <si>
    <t>GEN01-ONAN-300EK15R146021-F780329223</t>
  </si>
  <si>
    <t>PORTABLE</t>
  </si>
  <si>
    <t>Gasoline</t>
  </si>
  <si>
    <t>CND02-RUUD-13AJA60C01757-W421415396</t>
  </si>
  <si>
    <t>AHU02-CARRIER-FB4ANF060-3900A57329</t>
  </si>
  <si>
    <t>AHU01-CARRIER-FB4CNP060L00EFAA-2719F28210</t>
  </si>
  <si>
    <t>CND01-CARRIER-24ABB360A0052011-2319E18687</t>
  </si>
  <si>
    <t>CND03-CARRIER-25HPB660A500-2520E34688</t>
  </si>
  <si>
    <t>AHU03-CARRIER-FBC4CNP061200-4120F20698</t>
  </si>
  <si>
    <t>CND04-CARRIER-CE24ABB360A005-2319E18694</t>
  </si>
  <si>
    <t>AHU04-CARRIER-CEFB4CNP060L00-2819F09713</t>
  </si>
  <si>
    <t>GEN01-CATERPILLAR-SR4B-7YR02116</t>
  </si>
  <si>
    <t>AHU06-LIEBERT-VH125AUCSI-389736001</t>
  </si>
  <si>
    <t>AHU07-LIEBERT-VH125AUCSI-389736002</t>
  </si>
  <si>
    <t>CND07-LIEBERT-CDF165LY-0024C32244</t>
  </si>
  <si>
    <t>CND06-LIEBERT-CDF165LY-0652C93434</t>
  </si>
  <si>
    <t>CND05-LIEBERT-CDF165LY-0652C93431</t>
  </si>
  <si>
    <t>AHU01-CARRIER -40RUAA08A2A6AO-2710U16507</t>
  </si>
  <si>
    <t>AHU08-CARRIER-FB4ANF060-0500A21522</t>
  </si>
  <si>
    <t>WAC01-BARD-WA241A10-140L97115709402</t>
  </si>
  <si>
    <t>WAC03-BARD-AWA372A05XPXXXJ-225N08258174802</t>
  </si>
  <si>
    <t>CND01-CARRIER-38AUZA08A0G5A0A0A0-0510G20071</t>
  </si>
  <si>
    <t>CND08-CARRIER-38KC060300-1001E19134</t>
  </si>
  <si>
    <t>CND02-YORK-B1HH060A25B-NMGA143945</t>
  </si>
  <si>
    <t>WAC02-LIEBERT-ETO60SRY0BC-3897361</t>
  </si>
  <si>
    <t>AHU02-LIEBERT-FH114AUC10-127293A</t>
  </si>
  <si>
    <t>AHU01-RHEEM-RGPH10EBRJR-DG5D307FH19601253</t>
  </si>
  <si>
    <t>WAC01-BARD-WA361-133A96106060102</t>
  </si>
  <si>
    <t>GEN02-CUMMINS-GG061701402-A170144755</t>
  </si>
  <si>
    <t>LIQUID PROPANE</t>
  </si>
  <si>
    <t>CND01-EUBANK-V460B00A1F05NB-KD00379</t>
  </si>
  <si>
    <t>GEN01-STATELINE-SP30-7249</t>
  </si>
  <si>
    <t>WAC01-BARD-W36ABA05XWXXXJ-278J23411205702</t>
  </si>
  <si>
    <t>GEN01-Caterpillar-SR4-6GA01200</t>
  </si>
  <si>
    <t>CND02-AMERICANSTANDARD-ATA060G300A0-G46254858</t>
  </si>
  <si>
    <t>AHU02-TRANE-2TXCD0648C3HCAA-8503NLD53</t>
  </si>
  <si>
    <t>CND03-AMANA-4TTR4060L1000B-20515UH25F</t>
  </si>
  <si>
    <t>PAC02-TRANE-EBC060A3E0B0000-20491476PA</t>
  </si>
  <si>
    <t>AHU03-TRANE-TEM4A0C60S51SBA-20473K1G3V</t>
  </si>
  <si>
    <t>RTU01-TRANE-TSC120H3E0A2600000000D0-214910190L</t>
  </si>
  <si>
    <t>CND01-GOODMAN-GSC130361DF-0804189893</t>
  </si>
  <si>
    <t>AHU01-LENNOX-CB19CBH1941-UnkSerial</t>
  </si>
  <si>
    <t>CND02-TRANE-4TWT4060G1000A-162954X52F</t>
  </si>
  <si>
    <t>AHU02-TRANE-TAM4A0C60S51ED-163331N8FAV</t>
  </si>
  <si>
    <t>AHU01- GOODMAN-CB19CBH1941-UnkSerial</t>
  </si>
  <si>
    <t>CND01-LIEBERT-DCSF083P-530679024</t>
  </si>
  <si>
    <t>GEN02-CUMMINSONAN-DSGAA1401565-C140651970</t>
  </si>
  <si>
    <t>AHU01-LIEBERT-UH125AC01-P04346</t>
  </si>
  <si>
    <t>AHU02-LIEBERT-U067ACAE19676-769676001</t>
  </si>
  <si>
    <t>AHU03-LIEBERT-UH125AC01-78976B</t>
  </si>
  <si>
    <t>CND02-LIEBERT-CDF1304-84070184</t>
  </si>
  <si>
    <t>CND03-LIEBERT-CDF1304-84050384</t>
  </si>
  <si>
    <t>GEN01-CATERPILLAR-SR4-6EA00798</t>
  </si>
  <si>
    <t>AHU02-LIEBERT-DH245AAAE15187-C08K010036</t>
  </si>
  <si>
    <t>CND02-LIEBERT-DCSF205A-0843C16436</t>
  </si>
  <si>
    <t>CND03-LIEBERT-DCSF205A-0843C16437</t>
  </si>
  <si>
    <t>CND05-LIEBERT-DCSF205A-1004C25893</t>
  </si>
  <si>
    <t>CND06-LIEBERT-DCSF205A-0951C25250</t>
  </si>
  <si>
    <t>CND07-LIEBERT-DCSF205A-C14K2F2699</t>
  </si>
  <si>
    <t>AHU04-CARRIER-40RM034B611GC-0703F16186</t>
  </si>
  <si>
    <t>CND08-TRANE-38AH034611AA-2403F36975</t>
  </si>
  <si>
    <t>AHU05-CARRIER-38APS03054A10020-1916Q56552</t>
  </si>
  <si>
    <t>CND10-CARRIER-40RUAA30A5A60A0A0-0716U20936</t>
  </si>
  <si>
    <t>CND06-TRANE-4TTA3060D4000CA-15502N795F</t>
  </si>
  <si>
    <t>CND11-TRANE-TEM4AC60S51SAA-15242UST2V</t>
  </si>
  <si>
    <t>AHU03-LIEBERT-DS070AUAOE1923A-C09M8E0035</t>
  </si>
  <si>
    <t>AHU07-LIEBERT-DS070ASA0E0904A-C14K8E0039</t>
  </si>
  <si>
    <t>AHU09-LIEBERT-DCSF205A-C14K2F2691</t>
  </si>
  <si>
    <t>AHU10-ARMSTRONG-BCE5C60MA4X50-1520C16792</t>
  </si>
  <si>
    <t>AHU02-LIEBERT-DH245AAAE15187-C08K01000036</t>
  </si>
  <si>
    <t>CND11-TRANE-TEM4AC60S51SAA-15242US2V</t>
  </si>
  <si>
    <t>AHU03-LIEBERT-DS070AUA0E1923A-CO9M8EP0033</t>
  </si>
  <si>
    <t>AHU06-TRANE-TEM4A0C605515-15242UST2Y</t>
  </si>
  <si>
    <t>AHU11-TRANE-4SCU13LC160T1-1619J11115</t>
  </si>
  <si>
    <t>GEN01-MARATHON-680FDR7126JJW-NN19506001212</t>
  </si>
  <si>
    <t>AHU01-LIEBERT-VH245AAAW15412-990412001</t>
  </si>
  <si>
    <t>AHU02-LIEBERT-VH245AAAE1-741263001</t>
  </si>
  <si>
    <t>AHU03-LIEBERT-VS070ASA0E1002C-C14DBE015C</t>
  </si>
  <si>
    <t>AHU04-CARRIER-40RM024B110HC - 321F02243</t>
  </si>
  <si>
    <t>AHU05-CARRIER-40RUAA08A2A6A0A0A0-2414U00990</t>
  </si>
  <si>
    <t>AHU06-CARRIER-40RM-006-H611H6-2408U15940</t>
  </si>
  <si>
    <t>CND01-LIEBERT-DCDF415A-073001854</t>
  </si>
  <si>
    <t>CND02-LIEBERT-DCDF415A-0532C79486</t>
  </si>
  <si>
    <t>CND03-LIEBERT-DCDF415A-C14E4F1127</t>
  </si>
  <si>
    <t>CND04-TRANE-TTA180C300GA-73246W7AD</t>
  </si>
  <si>
    <t>CND05-CARRIER-36AKS024610-2801F94708</t>
  </si>
  <si>
    <t>CND06-CARRIER-38AUZA08A06A0A0A0-1713C93486</t>
  </si>
  <si>
    <t>CND07-CARRIER-38ARZ008601-4107G20102</t>
  </si>
  <si>
    <t>AHU07-TRANE-4TTA3060D40000CA-16272NH75F</t>
  </si>
  <si>
    <t>CND08-TRANE-TWE061D400AA-16232XCKBA</t>
  </si>
  <si>
    <t>AHU08-CARRIER-38AUDC25A0A6A0A2CA-3116P52362</t>
  </si>
  <si>
    <t>CND09-CARRIER-40RUAA25T2A60A1A0-2816U26329</t>
  </si>
  <si>
    <t>AHU09-CARRIER-38AUDC25A0A6A0A2CA-3116P52361</t>
  </si>
  <si>
    <t>CND10-CARRIER-40RUAA25T2A60A1A0-2816U26328</t>
  </si>
  <si>
    <t>AHU10-CARRIER-TWE1808300CA-M464JY66H</t>
  </si>
  <si>
    <t>GEN01-MARATHON-502FDR7020jjw-RK1951785925</t>
  </si>
  <si>
    <t>CND04-LIEBERT-DCDF415A-C12D4F2005</t>
  </si>
  <si>
    <t>AHU06-LIEBERT-DH245AAAE15202-L08J010113</t>
  </si>
  <si>
    <t>CND06-LIEBERT-DCDF415A-0841C16033</t>
  </si>
  <si>
    <t>AHU07-LIEBERT-FH245AA01-104879C</t>
  </si>
  <si>
    <t>AHU01-CARRIER-39ED10-785186937</t>
  </si>
  <si>
    <t>AHU02-CARRIER-39ED11-2887T01756</t>
  </si>
  <si>
    <t>CND02-CARRIER-38AK5014610-3597F91642</t>
  </si>
  <si>
    <t>CND01-CARRIER-38AK5016610-2196F08673</t>
  </si>
  <si>
    <t>AHU04-LIEBERT-DSO70AUAOE1468A-C12D8E0027</t>
  </si>
  <si>
    <t>CND05-TRANE-4TWR4024G1000AA-161763XSBF</t>
  </si>
  <si>
    <t>AHU05-TRANE-TEM4A0B24S21SAA-161941B12V</t>
  </si>
  <si>
    <t>CND08-MITSUBISHI-PUYA36NHA6-5ZU05927A</t>
  </si>
  <si>
    <t>AHU09-MITSUBISHI-PKAA36KA6-64M00831</t>
  </si>
  <si>
    <t>CND09-MITSUBISHI-PUYA36NHA6-5ZU05921A</t>
  </si>
  <si>
    <t>AHU08-MITSUBISHI-PKAA36KA6-5ZM04603</t>
  </si>
  <si>
    <t>CND04-LENNOX-ELS180S4DS1G-5618C07968</t>
  </si>
  <si>
    <t>AHU03-LENNOX-ELA180S4D-1G-5618C05595</t>
  </si>
  <si>
    <t>AHU06-LIEBERT-DH245AAAE15202-C08J010113</t>
  </si>
  <si>
    <t>CND02-CARRIER-38AK5014610-3597F91645</t>
  </si>
  <si>
    <t>CND03-LENNOX-ELS180S4DS1G-5618C07968</t>
  </si>
  <si>
    <t>AHU09-ALLIED-DWH236S41P-S6922B03470</t>
  </si>
  <si>
    <t>AHU08-ALLIED-DWH236S4-1P-340F31314102322013179</t>
  </si>
  <si>
    <t>CND09-ALLIED-4DHV2S36S1P-540G135420126210150103</t>
  </si>
  <si>
    <t>CND08-ALLIED-4DHV2S36S-1P-540G135420126210150104</t>
  </si>
  <si>
    <t>AHU02-CARRIER-40RUAA16T2A6AUA0A0-1424U22958</t>
  </si>
  <si>
    <t>CND01-CARRIER-38AUZA16A0A6A0A0A0-3824P91612</t>
  </si>
  <si>
    <t>CND10-LIEBERT-NA - 85070637</t>
  </si>
  <si>
    <t>AHU10-CARRIER-28CX1676FA1066H-7851</t>
  </si>
  <si>
    <t>GEN01-MARATHON-502FDR7020JJW-PM1951199112902</t>
  </si>
  <si>
    <t>CND01-LIEBERT-DCDF308A-1027C28834</t>
  </si>
  <si>
    <t>AHU02-LIEBERT-DH199AAAEI1479-C09B010019</t>
  </si>
  <si>
    <t>CND02-LIEBERT-DCDF308A-0909C19385</t>
  </si>
  <si>
    <t>AHU03-LIEBERT-FH199AA01-82835C</t>
  </si>
  <si>
    <t>CND03-LIEBERT-DCDF349A-84090041</t>
  </si>
  <si>
    <t>CND05-TRANE-TTB018C100A0-M105THEAF</t>
  </si>
  <si>
    <t>AHU01-TRANE-BWH718A100A1-XY6501397</t>
  </si>
  <si>
    <t>CND04-LIEBERT-DSO53ASAOE1389A-C10F8E0218</t>
  </si>
  <si>
    <t>CND02-LIEBERT-DCDF308A-0909C19365</t>
  </si>
  <si>
    <t>AHU06-LG-LSN240HEV2-207HATH80185</t>
  </si>
  <si>
    <t>CND06-LG-LSU240HEV2-210HAC07W915</t>
  </si>
  <si>
    <t>CND07-LG-LSU120HEV2-208HAXC8F954</t>
  </si>
  <si>
    <t>AHU07-LG-LSN120HEV2-301HAPU7P248</t>
  </si>
  <si>
    <t>GEN01-MARATHON-502FDR7020jjw-PL195114510292</t>
  </si>
  <si>
    <t>AHU02-STULZ-VFS240DARDCF-10005138</t>
  </si>
  <si>
    <t>CND02-STULZ-SCS252SSA-10005140</t>
  </si>
  <si>
    <t>CND03-STULZ-SCS252SSA-10005139</t>
  </si>
  <si>
    <t>AHU01-DS070ASAE1199A-CI5E8E0085</t>
  </si>
  <si>
    <t>CND04-DCSF205-A-C15E2F01178</t>
  </si>
  <si>
    <t>CND05DCSF205-A-C15E2F0179</t>
  </si>
  <si>
    <t>CND03-STULZ-SCS252SSA-10005138</t>
  </si>
  <si>
    <t>GEN01-KOHLER-100RZG-2106334</t>
  </si>
  <si>
    <t>LP Gas</t>
  </si>
  <si>
    <t>CND01-AMERICANSTANDARD-TTA120A300FA-8442SUMAD</t>
  </si>
  <si>
    <t>WAC01-BARD-WA60A00-289N21391890302</t>
  </si>
  <si>
    <t>AHU01-AMERICANSTANDARD-TWE1200A300EL-8412K98D</t>
  </si>
  <si>
    <t>AHU02-CARRIER-FAS091MAAAA0A0A-U172607821</t>
  </si>
  <si>
    <t>CND02-CARRIER-CAS091HAA0A00AA-C172092244</t>
  </si>
  <si>
    <t>AHU01-AMERICANSTANDARD-TWE1200A300EL-8412KY9B0</t>
  </si>
  <si>
    <t>GEN01-OLYMPIAN-D50P3-OLY00000CNPF03753</t>
  </si>
  <si>
    <t>WAC01-BARD-W30A2A05XXXXXJ-J183572467</t>
  </si>
  <si>
    <t>WAC02-CARRIER-38MAQB30R3-1117V22488</t>
  </si>
  <si>
    <t>WAC03-CARRIER-40MAQB30R3-1617V11373</t>
  </si>
  <si>
    <t>WAC01-BARD-WA241A10-140D97110195502</t>
  </si>
  <si>
    <t>WAC02-LIEBERT-ETO60SRPEAT-3692651</t>
  </si>
  <si>
    <t>GEN01-CATERPILLAR-SR4-9BB00606</t>
  </si>
  <si>
    <t>CND01-LIEBERT-CDF216Y-85100213</t>
  </si>
  <si>
    <t>CND02-LIEBERT-CDF216Y-85100030</t>
  </si>
  <si>
    <t>UH01-MARLEY-1235-1009</t>
  </si>
  <si>
    <t>UH02-MARKEL-F2F510305-UnkSerial</t>
  </si>
  <si>
    <t>AHU02-LIEBERT-FH199AC00-110029B</t>
  </si>
  <si>
    <t>CND03-CARRIER-24ABB342A500-2015E27528</t>
  </si>
  <si>
    <t>AHU03-CARRIER-FB4CNF642-3215A89333</t>
  </si>
  <si>
    <t>AHU02-CARRIER-39SMD13NXRLC3FDPXK-1224R55327</t>
  </si>
  <si>
    <t>CND02-CARRIER-38AUDA16A0A50A0A0-2322P30047</t>
  </si>
  <si>
    <t>BWFDTXXA</t>
  </si>
  <si>
    <t>GEN01-STEWART&amp;STEVENSON-16VGDT550-124846</t>
  </si>
  <si>
    <t>GEN02-DETROIT-1437305-4A0274194</t>
  </si>
  <si>
    <t>CND02-LIEBERT-CDF415A-0544C81475</t>
  </si>
  <si>
    <t>CND05-LIEBERT-DSO70AUA0E1A464-781464002</t>
  </si>
  <si>
    <t>WAC01-BARD-W60A1B00-325C13299792902</t>
  </si>
  <si>
    <t>WAC02-BARD-W60A1B00-325N12297154102</t>
  </si>
  <si>
    <t>AHU01-YORK-UnkModel-UnkSerial</t>
  </si>
  <si>
    <t>AHU04-YORK-YD600C00A2AAA2A-N1L5083201</t>
  </si>
  <si>
    <t>AHU02-CARRIER-40RUAA08A2-2716U26061</t>
  </si>
  <si>
    <t>CND01-CARRIER-38AUZA08A0-3416C94503</t>
  </si>
  <si>
    <t>CND06-CARRIER-38AUDA14A0A6A0A0A0-1620C94656</t>
  </si>
  <si>
    <t>AHU05-TRANE-TWE18043BAA04-21502453WA</t>
  </si>
  <si>
    <t>CND04-TRANE-TTA1843DABA-21451849TA</t>
  </si>
  <si>
    <t>AHU06-LIEBERT-DS070AUA0E1A464-781464001</t>
  </si>
  <si>
    <t>CND07-LIEBERT-CDF415A-0544C81481</t>
  </si>
  <si>
    <t>CND04-TRANE- TTA18043DAB01AE-21451849TA</t>
  </si>
  <si>
    <t>GEN02-CUMMINSONAN-DSGAB1527650-K150890075</t>
  </si>
  <si>
    <t>UH01-YORK-G2FD060H24A-XML5288272</t>
  </si>
  <si>
    <t>CND03-TRANE-2TWB3060A1000AA-7422PWX2F</t>
  </si>
  <si>
    <t>PAC01-CARRIER-50TJ020581AA-2805U02106</t>
  </si>
  <si>
    <t>UH02-COLEMAN-G2FD060H24A-XML5228265</t>
  </si>
  <si>
    <t>CND01-TRANE-4TWR4060G1000AC-20425J4W2F</t>
  </si>
  <si>
    <t>CND02-TRANE-TTA240E300AA-153486PMTA</t>
  </si>
  <si>
    <t>AHU01-TRANE-TEM4A0C6055ASBA-20443WU63V</t>
  </si>
  <si>
    <t>AHU02-TRANE-TEM4A0C60S51SBA-20414P4G3V</t>
  </si>
  <si>
    <t>CND03-TRANE-4TWR4060G1000AC-204264C62F</t>
  </si>
  <si>
    <t>CND03-TRANE-2TWB3060A1000AA-17422PWX2F</t>
  </si>
  <si>
    <t>GEN01-KOHLER-100ROZ201-214161Spec#18600401</t>
  </si>
  <si>
    <t>AHU06-LIEBERT-UH125AC00-P22842</t>
  </si>
  <si>
    <t>CND06-LIEBERT-CDF165LY-91040363</t>
  </si>
  <si>
    <t>AHU01-LENNOX-CB30M651P-5803G09654</t>
  </si>
  <si>
    <t>CND01-LENNOX-H5260603V-5803F80620</t>
  </si>
  <si>
    <t>AHU02-LENNOX-CB30M651P-5803G09652</t>
  </si>
  <si>
    <t>CND02-LENNOX-H52606034-5803F80622</t>
  </si>
  <si>
    <t>AHU03-LENNOX-G51M960C1001-5803F78659</t>
  </si>
  <si>
    <t>CND03-LENNOX-H52606039-5803F80621</t>
  </si>
  <si>
    <t>AHU04-CARRIER-FB4ANF036-0901A68008</t>
  </si>
  <si>
    <t>CND04-CARRIER-38TRAD36330-1301E03166</t>
  </si>
  <si>
    <t>AHU05-LIEBERT-VS035ADC0EI958B-C14G8E0070</t>
  </si>
  <si>
    <t>CND05-LIEBERT-MCM080E8YDA345-Y14FAY0035</t>
  </si>
  <si>
    <t>GEN01-CUMMINS-DFCC4488256-I0000155305</t>
  </si>
  <si>
    <t>AHU01-CARRIER- 40RUAA16A2A6A0A0-4317U12467</t>
  </si>
  <si>
    <t>AHU02-TRANE-TEMUA0C605518AA-174820893V</t>
  </si>
  <si>
    <t>CND01-CARRIER-38AUZA08A0A5A0A0A0A0-2217C92799</t>
  </si>
  <si>
    <t>CND02-TRANE-4TTAR4060L1000AA-1734168H4F</t>
  </si>
  <si>
    <t>AHU03-TRANE-TWE12043BAAP004-1941091BA</t>
  </si>
  <si>
    <t>CND03-TRANE-TTA12043DABE001-18461126YA</t>
  </si>
  <si>
    <t>CND04-CARRIER-38PUZA08A0A0A0-2917C90012</t>
  </si>
  <si>
    <t>AHU04-TRANE-TWE12043BAA02A-1941091BA</t>
  </si>
  <si>
    <t>RTU02-TRANE-WSC060H3R0A30-202310881L</t>
  </si>
  <si>
    <t>RTU01-TRANE-WCH090C300BC-208100677D</t>
  </si>
  <si>
    <t>AHU01-CARRIER- 40RUAA16A2A6A0A0-4317U12476</t>
  </si>
  <si>
    <t>AHU03-TRANE-TWE12043BAAP004-19471091BA</t>
  </si>
  <si>
    <t>PAC01-CARRIER-50LSC12510-1992G14337</t>
  </si>
  <si>
    <t>AHU04-LIEBERT-UH125AL00-126301A</t>
  </si>
  <si>
    <t>AHU01-TRANE-M14-K2K225905</t>
  </si>
  <si>
    <t>AHU02-CARRIER-FB4ANF048-1798A17780</t>
  </si>
  <si>
    <t>AHU03-CARRIER-FBYANF048-1098022798</t>
  </si>
  <si>
    <t>CND02-CARRIER-24ABR348A520-2107E16810</t>
  </si>
  <si>
    <t>CND03-CARRIER-PA13PRO48J-2011X73354</t>
  </si>
  <si>
    <t>UH01-REZNOR-UnkModel-UnkSerial</t>
  </si>
  <si>
    <t>UH02-REZNOR-F25-ATK66M4N75191</t>
  </si>
  <si>
    <t>GEN02-CUMMINS-DSGAC1516265-G150855059</t>
  </si>
  <si>
    <t>AHU05-AMERICANSTANDARD-4MXW8536A-63229954556</t>
  </si>
  <si>
    <t>CND05-AMERICANSTANDARD-4TXK8536A-61229954557</t>
  </si>
  <si>
    <t>PAC01-CARRIER-50FCM12A3A50A0A0-30233862</t>
  </si>
  <si>
    <t>AHU06-AQUA THEM-36HBQB-L8C882606</t>
  </si>
  <si>
    <t>AHU07-AMERICAN STANDARD-5TXK8535A0N0CA-150203176X</t>
  </si>
  <si>
    <t>CND01-AQUA THERM-24ABB336A350-2920E12173</t>
  </si>
  <si>
    <t>CND04-CARRIER-38CK036540-2794E14428</t>
  </si>
  <si>
    <t>GEN02-ONAN-60DGCB81456L-D96064950</t>
  </si>
  <si>
    <t>AHU01-CARRIER-39LD1123AA1131R-2296T82257</t>
  </si>
  <si>
    <t>AHU02-CARRIER-39LD1123AA1131L-2296T82256</t>
  </si>
  <si>
    <t>CND01-CARRIER-38AK5008501-3598G00009</t>
  </si>
  <si>
    <t>CND02-CARRIER-38AK5008501-3698G00038</t>
  </si>
  <si>
    <t>CND03-LENNOX-H52604224-5898G66581</t>
  </si>
  <si>
    <t>AHU03-LENNOX-G21Q4603-5898G43917</t>
  </si>
  <si>
    <t>GEN03-KOHLER-80RE0ZJF-SGM32B2FK</t>
  </si>
  <si>
    <t>CND04-CARRIER-38AKS008501-3598G00011</t>
  </si>
  <si>
    <t>CND05-CARRIER-38AKS008-501-3598G00012</t>
  </si>
  <si>
    <t>CND02-CARRIER- 38AUZA08A0A5A0A0AO-3220C93008</t>
  </si>
  <si>
    <t>RTU01-LENNOX-TGA060B2DH1Y-5607A13313</t>
  </si>
  <si>
    <t>AHU04-CARRIER-38AKS008-501 -3698G00038</t>
  </si>
  <si>
    <t>GEN01-CATERPILLAR-502FDR7022JJW-4RG00493</t>
  </si>
  <si>
    <t>AHU04-CARRIER-38AK5014621-1604F27642</t>
  </si>
  <si>
    <t>AHU05-CARRIER-38TK3042330-1704E47985</t>
  </si>
  <si>
    <t>AHU06-CARRIER-39ED13-8933T20440</t>
  </si>
  <si>
    <t>AHU07-CARRIER-40AQ036310BB-3889A12973</t>
  </si>
  <si>
    <t>AHU08-PA13NR024-J - 1714X67143</t>
  </si>
  <si>
    <t>CND01-CARRIER-GB1AAV060155-1994AL6202</t>
  </si>
  <si>
    <t>CND02-CARRIER-N2A060AHA2-X073882443</t>
  </si>
  <si>
    <t>CND03-CARRIER-ELA180S4D1G-5619B10571</t>
  </si>
  <si>
    <t>CND04-CARRIER-ELS18054DS1G-5619F05579</t>
  </si>
  <si>
    <t>GEN01-MAGNETEK-RDS2500-BM11B164</t>
  </si>
  <si>
    <t>CND01-CARRIER-38AUZA08A0A5A0A0A0-3716C90142</t>
  </si>
  <si>
    <t>CND02-AAON-RN02080BA02162-201502BNEP11876</t>
  </si>
  <si>
    <t>AHU01-TRANE-TTA09043AAB000AE0-19281178YA</t>
  </si>
  <si>
    <t>AHU02-YORK-LA090C00A6AAA1A-N0C5732421</t>
  </si>
  <si>
    <t>AHU04-CARRIER-FB4ANF060000ABAA-1494A01376</t>
  </si>
  <si>
    <t>CND06-AAON-UnkModel-UnkSerial</t>
  </si>
  <si>
    <t>CND07-YORK -LA090C00A6AAA1A-NOC5732423</t>
  </si>
  <si>
    <t>AHU03-TRANE-TWE09043AAA00A-19292748BA</t>
  </si>
  <si>
    <t>AHU05-UNKMANUF-4193E02818-38CK060540</t>
  </si>
  <si>
    <t>CND07-UnkManf-0694E06878-38CH030300</t>
  </si>
  <si>
    <t>AHU01-TRANE-TWE060D150BO-2354NMM1V</t>
  </si>
  <si>
    <t>PAC01-YORK-DF090N10N2AAAA4A-N0G6731916</t>
  </si>
  <si>
    <t>CND01-ICP-WCA3602GKA1-X094469258</t>
  </si>
  <si>
    <t>GEN01-CUMMINS-C40N6-E160960269</t>
  </si>
  <si>
    <t>NATURAL GAS</t>
  </si>
  <si>
    <t>AHU01-YORK-JHETC60HBCS2N1A-W2G3764740</t>
  </si>
  <si>
    <t>CND01-YORK-YC2E60S829SA-C2F3688445</t>
  </si>
  <si>
    <t>AHU01-TRANE-4TEC3F60B1000AA-1120INRE1V</t>
  </si>
  <si>
    <t>AHU02-TRANE-4TEC3F60B1000AA-11201NRJ1V</t>
  </si>
  <si>
    <t>CND01-TRANE-4TTA3060A3000BB-11152WBG5F</t>
  </si>
  <si>
    <t>CND02-TRANE-4TTA3060A3000BB-11152WC25F</t>
  </si>
  <si>
    <t>WAC01-BARD-WA372B15-214J08253211602</t>
  </si>
  <si>
    <t>AHU03-AMERICANSTANDARD-TWE120D300AB-14074WKUBA</t>
  </si>
  <si>
    <t>CND03-AMERICANSTANDARD-TTA120D300AA-1312IL4FYA</t>
  </si>
  <si>
    <t>PAC01-TRANE-TCD180B300HB-805101055D</t>
  </si>
  <si>
    <t>PAC05-TRANE-EBC060A3E0A0000-17201874PA</t>
  </si>
  <si>
    <t>PAC06-TRANE-TSC120F3E0A0000-180810564L</t>
  </si>
  <si>
    <t>AHU04-TRANE-TSC120H3E0A0000-183814429L</t>
  </si>
  <si>
    <t>GEN01-CUMMINS 250CL-00-210202-1</t>
  </si>
  <si>
    <t>CND04-TRANE-NTYSST36B112AA-1000349T20U9F1</t>
  </si>
  <si>
    <t>PAC07-TRANE-NTYWST36B112AA-1000355T20U91R</t>
  </si>
  <si>
    <t>CND05-BARD-WA372B00-214J08253211602</t>
  </si>
  <si>
    <t>GEN01-FGWILSON-P65E-D1113A001</t>
  </si>
  <si>
    <t>AHU01-TRANE-TWE090A300EL-8045NRPBD</t>
  </si>
  <si>
    <t>CND01-TRANE-TTA090A300FA-8083JA0AD</t>
  </si>
  <si>
    <t>AHU02-TRANE-TWE180B300CA-30651T6H</t>
  </si>
  <si>
    <t>CND02-TRANE-TTA180E300AA-11322N0XTA</t>
  </si>
  <si>
    <t>CLJTIAWH</t>
  </si>
  <si>
    <t>GEN01-ONAN-30EK15R27241M-H840724015</t>
  </si>
  <si>
    <t>GEN02-KOHLER- 60ROZJ81-386293Spec#189412</t>
  </si>
  <si>
    <t>AHU01-MODINE-PA30A-UnkSerial</t>
  </si>
  <si>
    <t>AHU02-MODINE-PAS0AB-UnkSerial</t>
  </si>
  <si>
    <t>AHU03-MODINE-PA50AB-UnkSerial</t>
  </si>
  <si>
    <t>AHU04-TRANE-TUH2D120A9VAB-UnkSerial</t>
  </si>
  <si>
    <t>CND01-TRANE-4TTX6060C1000A-UnkSerial</t>
  </si>
  <si>
    <t>GEN02-ONAN-60DGCD-D96064948</t>
  </si>
  <si>
    <t>GEN01-KOHLER-100ROZ281-256354Spec#186026</t>
  </si>
  <si>
    <t>CND01-Liebert-DCDF205-1042C31009</t>
  </si>
  <si>
    <t>CND03-Carrier-38AE012500-3391F69967</t>
  </si>
  <si>
    <t>AHU03-McQuay-LM108H-G0855144030</t>
  </si>
  <si>
    <t>AHU02-CARRIER-40RUAA12T2A5-0A0A0-15201735</t>
  </si>
  <si>
    <t>CND02-CARRIER-38AUZA/2A0A5-OAOAO-1922c11139</t>
  </si>
  <si>
    <t>AHU04-PEERLESS-210JW-21010062</t>
  </si>
  <si>
    <t>AHU01-CARRIER-UnkModel-UnkSerial</t>
  </si>
  <si>
    <t>WAC01-CLIMATETEL-CT24PL15-073290</t>
  </si>
  <si>
    <t>GEN01-MARATHON-440FDR7111JJW-RA195125118</t>
  </si>
  <si>
    <t>AHU01-LIEBERT-UH125AC0D-147105A</t>
  </si>
  <si>
    <t>AHU02-CARRIER-FB4CNP060L00-5019F09583</t>
  </si>
  <si>
    <t>CND02-CARRIER-24ABB360A005-1720E7264</t>
  </si>
  <si>
    <t>CND03-LIEBERT-MCS056E8YDN312-Y20CAX0016</t>
  </si>
  <si>
    <t>AHU03-LIEBERT-VS035ASCOEI183C-N20C8E0031</t>
  </si>
  <si>
    <t>AHU01-TRANE -2TEC3F60B1000AA-9253KCC2V</t>
  </si>
  <si>
    <t>CND01-TRANE -2TWA3060A3000AA-9261RW32F</t>
  </si>
  <si>
    <t>AHU02-TRANE -TWE120A300EL-8472P6FBD</t>
  </si>
  <si>
    <t>CND02-TRANE -TTA120A300FA-8461UP0ADD</t>
  </si>
  <si>
    <t>PAC01-TRANE-TSC120F3R0A070-134911890L</t>
  </si>
  <si>
    <t>WAC01-BARD-WA372B06EXXXXJ-214C03179629102</t>
  </si>
  <si>
    <t>WAC02-BARD-WA361B09EXXXXJ-133J00149175202</t>
  </si>
  <si>
    <t>GEN01-CUMMINS-1503120208-F838208AO</t>
  </si>
  <si>
    <t>GEN01-Kohler-80ROZJ81-350040</t>
  </si>
  <si>
    <t>AHU01-LIEBERT-vh125Acaeo-547736001</t>
  </si>
  <si>
    <t>AHU01-LIEBERT-vh125Acaeo-547736002</t>
  </si>
  <si>
    <t>CND03-GOODMAN-CP1E361-307457635</t>
  </si>
  <si>
    <t>CND01-LIEBERT-DCDF165Y-0330C64572</t>
  </si>
  <si>
    <t>CND02-LIEBERT-DCDF165Y-0330C64569</t>
  </si>
  <si>
    <t>PAC03-CARRIER-40RM0012B611HC-2607U19608</t>
  </si>
  <si>
    <t>AHU04-GOODMAN-AR601-211403955</t>
  </si>
  <si>
    <t>CND04-GOODMAN-CKL603-208418495</t>
  </si>
  <si>
    <t>AHU05-GOODMAN-AR601-211403954</t>
  </si>
  <si>
    <t>CND05-GOODMAN-CKL603-208418325</t>
  </si>
  <si>
    <t>AHU06-GOODMAN-AWB3005C-212700109</t>
  </si>
  <si>
    <t>CND06-GOODMAN-CKL301F-306401641</t>
  </si>
  <si>
    <t>AHU07-TRANE-TWE120A300EL-8383NB1BD</t>
  </si>
  <si>
    <t>AHU09-YORK-F2FP060H06B-XNKS095104</t>
  </si>
  <si>
    <t>AHU10-YORK-FJGH090A33A-NALS000612</t>
  </si>
  <si>
    <t>CND10-YORK-E3FB090A25A-NBLM015067</t>
  </si>
  <si>
    <t>PAC01-TRANE-TCH180E300BA-9451006641D</t>
  </si>
  <si>
    <t>AHU12-TRANE-TWE120D300A-16483UNUBA</t>
  </si>
  <si>
    <t>CND12-TRANE-TTA120G300A-165020P5YA</t>
  </si>
  <si>
    <t>GEN02-CUMMINS-450DFEJ-E170196154</t>
  </si>
  <si>
    <t>AHU13-TRANE-TWE120D300A-1724431YBA</t>
  </si>
  <si>
    <t>CND13-TRANE-TTA120G300A-17402SLFYA</t>
  </si>
  <si>
    <t>PAC02-TRANE- TWE240E300BB -14225P1YWA</t>
  </si>
  <si>
    <t>CND01-TRANE-TTA240E300AA-14303K8JTA</t>
  </si>
  <si>
    <t>CND14-THERMAL ZONE-TZAA120CA-F421401623</t>
  </si>
  <si>
    <t>AHU14-TRANE-TWE120D300AB-15372T6WBA</t>
  </si>
  <si>
    <t>AHU15-TRANE-TEM4B0C60SB51SAA-22432CHG3V</t>
  </si>
  <si>
    <t>CND15-TRANE-TTA120G300AA-15362XNXYA</t>
  </si>
  <si>
    <t>CND16-TRANE-TTA120G300AA-165020P</t>
  </si>
  <si>
    <t>PAC04-TRANE-TSH150F3ROAOOOO-153910463D</t>
  </si>
  <si>
    <t>CND17-TRANE-TTA120A300FA-8461TRRAD</t>
  </si>
  <si>
    <t>AHU16-TRANE-4TWA4060A3000A-230156AX5F</t>
  </si>
  <si>
    <t>AHU01-TRANE-4TWA4060A3000AB-23093PTX5F</t>
  </si>
  <si>
    <t>CND02-TRANE-TEM4A0C60S51SC-22354HCU3V</t>
  </si>
  <si>
    <t>AHU17-GOODMAN-AR601-211403953</t>
  </si>
  <si>
    <t>CND18-GOODMAN-CKL603-20841893</t>
  </si>
  <si>
    <t>CND09-GOODMAN-CKL603N-709221524</t>
  </si>
  <si>
    <t>CND18-TRANE-TEM4B0C60S51SA-22432CHG3V</t>
  </si>
  <si>
    <t>GEN01-CATERPILLAR-340690U10254-47BH4096</t>
  </si>
  <si>
    <t>CND01-TRANE-2TTA0072A3000AA-8464NHS2F</t>
  </si>
  <si>
    <t>CND02-TRANE-2TTA0072A3000AA-8313ME52F</t>
  </si>
  <si>
    <t>CND03-TRANE-2TWB2042A1000AA-43912RM2F</t>
  </si>
  <si>
    <t>CND06-TRANE-TCD150D300BB-639101546D</t>
  </si>
  <si>
    <t>AHU05-TRANE-TWE180B300CA-R322PLU6H</t>
  </si>
  <si>
    <t>AHU04-LIEBERT-UK199ACAM-325095001</t>
  </si>
  <si>
    <t>AHU01-TRANE-TWE090A300CA-R37413U5H</t>
  </si>
  <si>
    <t>AHU03-TRANE-TWE042C140B1-K24836697</t>
  </si>
  <si>
    <t>CND04-LIEBERT-CDF205LY-C18E2FA005</t>
  </si>
  <si>
    <t>CND08-Trane-2TTA3006A300BA-14213JAGHF</t>
  </si>
  <si>
    <t>AHU06-CARRIER-40RUAA08T2A50A0A0-5118BU26178</t>
  </si>
  <si>
    <t>CND09-CARRIER-38AUZA08A0A50A0A0-0819C92199</t>
  </si>
  <si>
    <t>AHU08-TRANE-TTA180B300GA-14221NUFTA</t>
  </si>
  <si>
    <t>AHU09-TRANE-TWE06600150B0-2423MFD2V</t>
  </si>
  <si>
    <t>AHU10-TRANE-TWA09043AAA01AA-2203710YA</t>
  </si>
  <si>
    <t>CND10-TRANE-TWE09043AAA04A-21421406BA</t>
  </si>
  <si>
    <t>AHU11-LENNOX-CB1865-UnkSerial</t>
  </si>
  <si>
    <t>AHU02-TRANE-CB1865-UnkSerial</t>
  </si>
  <si>
    <t>AHU11-BRYANT-FJ4DNXD60-5024F06392</t>
  </si>
  <si>
    <t>CND02-BRYANT-BA16PW060A-4023X59735</t>
  </si>
  <si>
    <t>AHU03-CARRIER-FJ5ANXC42L00ECAA-0825F39773</t>
  </si>
  <si>
    <t>CND03-CARRIER-27SCA542A0030001-4225E04673</t>
  </si>
  <si>
    <t>CND01-CARRIER-26SCA460N0050100-0526X51771</t>
  </si>
  <si>
    <t>AHU02-CARRIER-FJ5ANXD60L00ECAA-0726F08034</t>
  </si>
  <si>
    <t>AHU10-TRANE-TSC090F3E0A01-131913326L</t>
  </si>
  <si>
    <t>AHU01-LIEBERT-UH199AD01-103317B</t>
  </si>
  <si>
    <t>AHU02-TRANE-TWE120A300DA-225503558</t>
  </si>
  <si>
    <t>AHU03-LENNOX-CB17135V2-5601E04766</t>
  </si>
  <si>
    <t>AHU05-AMERICANSTANDARD-TEM3A0B36S315AA-14025RAY2V</t>
  </si>
  <si>
    <t>AHU06-TRANE-TWE120A300DA-229303554</t>
  </si>
  <si>
    <t>CND04-LIEBERT-CDF2164-85040409</t>
  </si>
  <si>
    <t>AHU08-TRANE-TWE240E300B-16393MTNWA</t>
  </si>
  <si>
    <t>CND05-TRANE-TTA240H300A-16395WK4TA</t>
  </si>
  <si>
    <t>AHU09-TRANE-TWE240E300B-16453SWFWA</t>
  </si>
  <si>
    <t>CND06-TRANE-TTA240H300A-16492XALTA</t>
  </si>
  <si>
    <t>GEN02-Kohler-750ROZD-388580</t>
  </si>
  <si>
    <t>AHU12-TRANE-TWE09043AAA-18182789BA</t>
  </si>
  <si>
    <t>CND08-Trane-TWA09043AAA00AR-18192960YA</t>
  </si>
  <si>
    <t>CND09-AMERICAN STANDARD-4TTA3036B300AA-13455693F</t>
  </si>
  <si>
    <t>CND11-TRANE-TTA240B300FA-3411YBPAD</t>
  </si>
  <si>
    <t>AHU13-RHEEM-TZAA120CA-F051502190</t>
  </si>
  <si>
    <t>CND12-THERMAL ZONE - TZAA120CA-F051502189</t>
  </si>
  <si>
    <t>CND13-AMERICAN-4TTA3036B3000AA-134005J693P</t>
  </si>
  <si>
    <t>AHU04-TRANE-TWE120A300DA-22550355H</t>
  </si>
  <si>
    <t>AHU04-ARCOAIR-FAX120H2AA0AUAA-U243827688</t>
  </si>
  <si>
    <t>CND12-ARCOAIR-CAS121HMA0A00AA-C243610724</t>
  </si>
  <si>
    <t>CND02-MITSUBISHI-PUG424AYB-WKMM077098</t>
  </si>
  <si>
    <t>AHU02-MITSUBISHI-PKH24FK3-47A000490</t>
  </si>
  <si>
    <t>GEN01-Marathon-44DFDR8017GGH282W-NJ3079705</t>
  </si>
  <si>
    <t>WAC01-BARD-WA602B00-154P04198501302</t>
  </si>
  <si>
    <t>WAC02-BARD-WA602B00-154P04198501102</t>
  </si>
  <si>
    <t>PAC02-CARRIER-TSC120H3EA010000-190910390L</t>
  </si>
  <si>
    <t>CND02-MITSUBISHI-PUG424A1Y6-WKMM077098</t>
  </si>
  <si>
    <t>GEN01-ONAN-100DVC15R26986B-D860818123</t>
  </si>
  <si>
    <t>CND01-TRANE-2TTR2042A1000AA-2234NEF1FA04</t>
  </si>
  <si>
    <t>CND02-TRANE-TUX080R942V2-20542NS2FA04</t>
  </si>
  <si>
    <t>CND03-TRANE-2TTR2042A1000AA-2362KUU3FA04</t>
  </si>
  <si>
    <t>CND04-TRANE-TTX030C100A3-P094KT82F</t>
  </si>
  <si>
    <t>AHU01-TRANE-TUX080R942V2-2172LUJ7G</t>
  </si>
  <si>
    <t>AHU02-TRANE-TUX080R942V2-2053J9Y7G</t>
  </si>
  <si>
    <t>AHU03-TRANE-TUX080R942W0-2235U77G</t>
  </si>
  <si>
    <t>AHU04-TRANE-TUX060R936V1-P423T9K7G</t>
  </si>
  <si>
    <t>CND01-TRANE-2TTR2042A1000AA-2234NEF1F</t>
  </si>
  <si>
    <t>CND03-TRANE-2TTR2042A1000AA-2362KUU3F</t>
  </si>
  <si>
    <t>AHU05-TRANE-TUX080R942W0-2235U77G</t>
  </si>
  <si>
    <t>AHU02-GOODMAN-GM9S960804CNAA-2112136391</t>
  </si>
  <si>
    <t>CND02-GOODMAN-GSX130421BK-2109318189</t>
  </si>
  <si>
    <t>WAC01-CLIMATETEL-CN1242PL110-111199</t>
  </si>
  <si>
    <t>WAC01-BARD-WA372B15XXXXXJ- 214K05207081602</t>
  </si>
  <si>
    <t>GEN01-MARATHON-502FDR7022JJW-RE1951522</t>
  </si>
  <si>
    <t>CND04-LIEBERT-CDCF408A - 85070635</t>
  </si>
  <si>
    <t>WAC01-BARD-24WA05C-121002A05CF</t>
  </si>
  <si>
    <t>CND01-LIEBERT-DCDF415A-0937C23174</t>
  </si>
  <si>
    <t>CND02-LIEBERT-DCDF415A-C12C4F1598</t>
  </si>
  <si>
    <t>CND05-TRANE-BWX724A100B0-Y30254457</t>
  </si>
  <si>
    <t>AHU03-LIEBERT-FH245AA01-104878C</t>
  </si>
  <si>
    <t>CND03-TRANE-BWH724A100A0-AW48498512</t>
  </si>
  <si>
    <t>AHU01-LIEBERT-DSO70AUA0E1550A-C09H8E0313</t>
  </si>
  <si>
    <t>AHU02-LIEBERT-DSO70AUA0E1459A-C12C8E0073</t>
  </si>
  <si>
    <t>CND03-LIEBERT-CDCF408A-85070635</t>
  </si>
  <si>
    <t>AHU04-YORK-JHETB24CBAS2N1A-W2F4490710</t>
  </si>
  <si>
    <t>CND04-YORK-YH2E24TB21SA-W2G4564353</t>
  </si>
  <si>
    <t>GEN01-KOHLER-100ROZ201-18600401</t>
  </si>
  <si>
    <t>AHU02-LIEBERT-FH75AD10-1200231A</t>
  </si>
  <si>
    <t>CND01-LIEBERT-TCDV104YS3480-C12L2F5077</t>
  </si>
  <si>
    <t>AHU01-LIEBERT-FH75AD10-120231B</t>
  </si>
  <si>
    <t>CND01-LIEBERT-CDL097Y-87002059</t>
  </si>
  <si>
    <t>WAC01-EUBANK-V36-11359-HT014013213R</t>
  </si>
  <si>
    <t>AHU01-LENNOX-G14Q8018-1105638477</t>
  </si>
  <si>
    <t>CND03-GOODMAN-G14Q48018-1105638477</t>
  </si>
  <si>
    <t>AHU06-RUDD-RH1T6024STANJA-W132294242</t>
  </si>
  <si>
    <t>CND06-RUDD-RA1360AJ1NA-W232238075</t>
  </si>
  <si>
    <t>GEN02-ONAN-45EM15R15493V-H708353718</t>
  </si>
  <si>
    <t>GEN02-GENERAC-99A04977S-2050294</t>
  </si>
  <si>
    <t>GEN01-KOHLER-250REOZD-691568</t>
  </si>
  <si>
    <t>AHU14-LENNOX-B19511G-5894H5699</t>
  </si>
  <si>
    <t>AHU10-LENNOX-F2EH090A33A-NMRS416640</t>
  </si>
  <si>
    <t>AHU09-LENNOX-F2EH090A33A-NIRS355609</t>
  </si>
  <si>
    <t>AHU11-YORK-N2AHD20A40A-MLRS407212</t>
  </si>
  <si>
    <t>AHU19-YORK-F2FP060H06B-XNKS095103</t>
  </si>
  <si>
    <t>AHU03-LENNOX-CB25M511P-5899B06582</t>
  </si>
  <si>
    <t>AHU01-TRANE-4TGB3F30A1000AA-10225H2L6V</t>
  </si>
  <si>
    <t>AHU13-LG-LAM185HV-902KASL00038</t>
  </si>
  <si>
    <t>AHU12-LG-LAM185HV-905KAMZ00163</t>
  </si>
  <si>
    <t>AHU04-LG-LSN093HE-101KAED00020</t>
  </si>
  <si>
    <t>AHU05-GOODMAN-ARUF486016AB-707712746</t>
  </si>
  <si>
    <t>AHU06-LENNOX-CB19511G-5189F96167</t>
  </si>
  <si>
    <t>AHU08-LENNOX-CB19261P-5188M66795</t>
  </si>
  <si>
    <t>AHU15-LENNOX-CH1951TXV-5894M01381</t>
  </si>
  <si>
    <t>AHU17-TEMPTROL-DV31P-9485</t>
  </si>
  <si>
    <t>AHU02-LENNOX-CB19511G-5188M86799</t>
  </si>
  <si>
    <t>AHU16-TRANE-GAM2060L518EA-15123MTWAV</t>
  </si>
  <si>
    <t>AHU07-YORK-UnkModel-UnkSerial</t>
  </si>
  <si>
    <t>CND01-GOODMAN-GKL603N-707616761</t>
  </si>
  <si>
    <t>CND02-LENNOX-HP195136G-5193K15607</t>
  </si>
  <si>
    <t>CND03-TRANE-2TTA3060A4000AA-9032W354F</t>
  </si>
  <si>
    <t>CND04-LENNOX-HP195136G-5193K15610</t>
  </si>
  <si>
    <t>CND05-LENNOX-HP195136G-5193K15601</t>
  </si>
  <si>
    <t>CND06-TRANE-4TWA3060B4000AA-14401JCE4F</t>
  </si>
  <si>
    <t>CND07-YORK-E1RA090S46A-WLKM006758</t>
  </si>
  <si>
    <t>CND08-YORK-E1RA090S46A-WELM062747</t>
  </si>
  <si>
    <t>CND09-GOODMAN-CKL181B-208461228</t>
  </si>
  <si>
    <t>CND10-LG-LMU245HV-905KAHG00201</t>
  </si>
  <si>
    <t>CND11-LG-LSU093HE-012KALC00024</t>
  </si>
  <si>
    <t>CND12-YORK-E1RA048S46A-WLKM030150</t>
  </si>
  <si>
    <t>CND13-TRANE-4TWB3030A1000BA-10241RN64F</t>
  </si>
  <si>
    <t>CND14-LENNOX-HP222611P-5189K08561</t>
  </si>
  <si>
    <t>CND15-YORK-E1RA060S46A-WHLM018325</t>
  </si>
  <si>
    <t>CND16-YORK-E1RA060S46A-WHLM018305</t>
  </si>
  <si>
    <t>CND18-GOODMAN-CPLE603C-505678616</t>
  </si>
  <si>
    <t>CND19-YORK-E1RA060S46A-WHLM018310</t>
  </si>
  <si>
    <t>WAC01-BARD-36WA3-163563</t>
  </si>
  <si>
    <t>AHU20-TRANE-TWE090D300A-181152S5BA</t>
  </si>
  <si>
    <t>CND20-TRANE-TWA090D40RA-17085L2TYA</t>
  </si>
  <si>
    <t>AHU21-TRANE-4TWA4060A4000A-18133JFY2F</t>
  </si>
  <si>
    <t>CND21-TRANE-TEM4A0C60S51SA-18105Y2W3V</t>
  </si>
  <si>
    <t>CND22-TRANE-4TWA4060A4-TEM4A0C60S51S</t>
  </si>
  <si>
    <t>AHU18-TRANE-TEM4A0C60S51SB-18422NFR3V</t>
  </si>
  <si>
    <t>CND17-TRANE-4TWA4060A4000A-18463MCH2F</t>
  </si>
  <si>
    <t>AHU-YORK-F2FP060H06B-XDLS084387</t>
  </si>
  <si>
    <t>CND-YORK-F2FP060H06B-XNKS095095</t>
  </si>
  <si>
    <t>AHU22-TRANE-TEM4AOC60S51SAA-151818WL2V</t>
  </si>
  <si>
    <t>PAC02-LENNOX-CPH206531Y-5695J03457</t>
  </si>
  <si>
    <t>CND01-TRANE-TTA120A300FA-8233SA6AD</t>
  </si>
  <si>
    <t>PAC011-TRANE-TWE120A300EL-7393KTBBD</t>
  </si>
  <si>
    <t>GEN01-ONAN-2000DYH481298IA-273868463</t>
  </si>
  <si>
    <t>PAC04-LENNOX-CPH206531Y-5695J03455</t>
  </si>
  <si>
    <t>PAC05-LENNOX-CHP166531Y-5490D1230</t>
  </si>
  <si>
    <t>PAC06-LENNOX-CHP164135Y-UnkSerial</t>
  </si>
  <si>
    <t>AHU10-LENNOX-CHP16H313P-UnkSerial</t>
  </si>
  <si>
    <t>PAC01-RUDD-RKKB-A00CL1SE- 2B6335ADAAF260016164</t>
  </si>
  <si>
    <t>AHU02-TRANE-TEM4A0C60S51SBA-19273KPW3V</t>
  </si>
  <si>
    <t>PAC12-LENNOX-KHB030S4DN1P-5618L03472</t>
  </si>
  <si>
    <t>CND03-TRANE-4TWA4060A3000AA-19211K752F</t>
  </si>
  <si>
    <t>PAC13-TRANE-4WCC4030E1000AA-230313265L</t>
  </si>
  <si>
    <t>PAC14-TRANE-4WCC4036E1000AA-230612293L</t>
  </si>
  <si>
    <t>PAC15-LENNOX-UnkModel-UnkSerial</t>
  </si>
  <si>
    <t>PAC16-TRANE-WSC090H3ROA3000000-190813286L</t>
  </si>
  <si>
    <t>PAC17-LENNOX-KHC030S4DN1P-5619C03345</t>
  </si>
  <si>
    <t>CND02-Trane-tta12043caae02p-24169079ya</t>
  </si>
  <si>
    <t>PAC11-TRANE-TSK120A3S000000-251213217L1</t>
  </si>
  <si>
    <t>GEN03-CUMMINS-DSGAA1513593-F150844507</t>
  </si>
  <si>
    <t>WAC02-BARD-WA421A05EXXXM-126M93081140102</t>
  </si>
  <si>
    <t>AHU01-RHEEM-R801PA125524MSA-W331419266</t>
  </si>
  <si>
    <t>AHU02-RHEEM-R801PA751417MSA-W441430858</t>
  </si>
  <si>
    <t>AHU03-RHEEM-R801PA125524MSA-W331419262</t>
  </si>
  <si>
    <t>CND01-RHEEM-RA1360AJ1NB-W191504867</t>
  </si>
  <si>
    <t>CND02-RHEEM-RA1436AJ1NB-W171510596</t>
  </si>
  <si>
    <t>CND03-RHEEM-RA1360AC1NB-W191504855</t>
  </si>
  <si>
    <t>CND04-RHEEM-13AJA060101757-W471406253</t>
  </si>
  <si>
    <t>PAC01-CARRIER-48TME012A501-3506G11693</t>
  </si>
  <si>
    <t>PAC02-RHEEM-RACDZS150ACB00AA-F262001001</t>
  </si>
  <si>
    <t>WAC01-BARD-W42ACA05XXXXXM-349D21386266102</t>
  </si>
  <si>
    <t>PAC03-CARRIER-48TCED12A2A5A0AG0-0720P91274</t>
  </si>
  <si>
    <t>WAC03-BARD-W42AC-A002XXXXM-349M213917184-02</t>
  </si>
  <si>
    <t>AHU04-RHEEM-W801CA125524MSA-W482011844</t>
  </si>
  <si>
    <t>GEN01-MARATHON-360FDR8012GGA000-LN94932</t>
  </si>
  <si>
    <t>CND01-YORK-H5CE090A25A-NOG7098371</t>
  </si>
  <si>
    <t>AHU01-YORK-PS8B16N100UH11C-WOA7335239</t>
  </si>
  <si>
    <t>AHU02-YORK-P4HUA12N06401A-WELM025605</t>
  </si>
  <si>
    <t>CND04-CARRIER-38AUZA08A0A5A0A0A0-3416C94423</t>
  </si>
  <si>
    <t>AHU03-LENNOX-CH16651-5483F05109</t>
  </si>
  <si>
    <t>AHU04-YORK-PS8B16N100UH11C-WOA7390529</t>
  </si>
  <si>
    <t>CND03- CARRIER- 40RUUA08A2A60A0A0-341541642G</t>
  </si>
  <si>
    <t>AHU04-CARRIER-E512Q5151P-UNK</t>
  </si>
  <si>
    <t>CND02-YORK-F42B3XNIA-A0F7920844</t>
  </si>
  <si>
    <t>CND05-YORK-H4DB030506A-WGLM015685</t>
  </si>
  <si>
    <t>AHU03-YORK-P4HUA12N06401A-WELM025605</t>
  </si>
  <si>
    <t>AHU02-YORK-PS8B16N100UH11C-WOA7390529</t>
  </si>
  <si>
    <t>AHU04- CARRIER- 40RUUA08A2A6-3415U16426</t>
  </si>
  <si>
    <t>CND03-YORK-H4DB030506A-WGLM015685</t>
  </si>
  <si>
    <t>CND05-CARRIER-40RUUA08A2A60A0A0-341541642G</t>
  </si>
  <si>
    <t>GEN01-CUMMINS-150DGFA-B920446801</t>
  </si>
  <si>
    <t>PAC01-Trane-EAC180A3E0A00000000-16071001JA</t>
  </si>
  <si>
    <t>AHU01-LENNOX-CBS18651P-5187F48276</t>
  </si>
  <si>
    <t>CND01-Lenox-HP2565314-5896G-64923</t>
  </si>
  <si>
    <t>AHU02-York-K3EU120A33B-NKM5004331</t>
  </si>
  <si>
    <t>PAC02-Lenox-KHA120S4BN14-5614F04861</t>
  </si>
  <si>
    <t>PAC03-Lenox-CHP164131Y-5490J09299</t>
  </si>
  <si>
    <t>PAC04-AMANA-PTH15335G-9104125255</t>
  </si>
  <si>
    <t>PAC05-LENNOX-CHP16-1353-4Y-5690L009</t>
  </si>
  <si>
    <t>PAC06-LENNOX-CHA16-1853-1Y-5690G01479</t>
  </si>
  <si>
    <t>CND02-TRANE-TTA12043DAA01A-20512353YA</t>
  </si>
  <si>
    <t>PAC07-TRANE-PTHF1501HAA-191200119X</t>
  </si>
  <si>
    <t>PAC08-SINGER-UnkModel-UnkSerial</t>
  </si>
  <si>
    <t>CND01-AMERICANSTANDARD-5A6C4060A3000AA-25235175HF</t>
  </si>
  <si>
    <t>AHU01-TRANE-5TEM4D07AC51SAA-24495P5T3V</t>
  </si>
  <si>
    <t>WAC01-BARD-49WAB09N-064N9207588301</t>
  </si>
  <si>
    <t>WAC02-BARD-49WAB09N-064N9207588311</t>
  </si>
  <si>
    <t>WAC03-BARD-49WAB09N-064K9207398701</t>
  </si>
  <si>
    <t>WAC04-BARD-49WAB09N-064K9207398691</t>
  </si>
  <si>
    <t>WAC05-TRANE-TTA0909A300BA-H14198132</t>
  </si>
  <si>
    <t>GEN01-KOHLER-COM6QS2-67015</t>
  </si>
  <si>
    <t>WAC01-BARD-W36A2A10-309F16332522402</t>
  </si>
  <si>
    <t>WAC02-BARD-W36A2A10-309F16332523002</t>
  </si>
  <si>
    <t>GEN01-DMT-06A0313841-CL95725</t>
  </si>
  <si>
    <t>AHU01-CARRIER-40RR024530-W883370</t>
  </si>
  <si>
    <t>AHU02-AROCOAIRE-FX4DNF061LOOECAA-2219F01519</t>
  </si>
  <si>
    <t>AHU03-CARRIER-40RUAA25A5AOAOA-3321U23997</t>
  </si>
  <si>
    <t>CND01-AROAIRE-24ABB360A520-1119E08669</t>
  </si>
  <si>
    <t>CND02-CARRIER-38AUZB12AOM5AOAO-4121C90372</t>
  </si>
  <si>
    <t>CND03-CARRIER-38AUZB12AOM5AOAO-4121C90373</t>
  </si>
  <si>
    <t>GEN01-KOHLER-100RE0ZJFCPI-3346GMNK0022</t>
  </si>
  <si>
    <t>GEN02-CUMMINS-80DSFAE-D160948025</t>
  </si>
  <si>
    <t>AHU01-TRANE-TWH036B140A1-G32358529</t>
  </si>
  <si>
    <t>CND01-TRANE-4TTA3060D3000CA-14241KJR4F</t>
  </si>
  <si>
    <t>AHU02-LENNOX-G81165V2-5877F07129</t>
  </si>
  <si>
    <t>CND02-LENNOX-HS290903Y-5608A08757</t>
  </si>
  <si>
    <t>AHU03-TRANE-TUD1C100A9H51BB-14101JHC1G</t>
  </si>
  <si>
    <t>CND03-TRANE-TWR036C100A0-G16291426</t>
  </si>
  <si>
    <t>WAC01-BARD-W48A1A00-321N102756951</t>
  </si>
  <si>
    <t>WAC02-BARD-W60A1A00-324P11286639902</t>
  </si>
  <si>
    <t>AHU04-TAM4A0C60551EDA-17322LK91V</t>
  </si>
  <si>
    <t>CND04-TRANE-4TTA4060A3000AA-18293KCX5F</t>
  </si>
  <si>
    <t>AHU04-TRANE-TAM4A0C60551EDA-17322LK91V</t>
  </si>
  <si>
    <t>GEN01-KOHLER-80ROZ281-18200181</t>
  </si>
  <si>
    <t>GEN02-ONAN-300EM15R20044M-B830650072</t>
  </si>
  <si>
    <t>LP</t>
  </si>
  <si>
    <t>AHU01-YORK-GY95100C16UP11H-WOM5381183</t>
  </si>
  <si>
    <t>WAC01-YORK-GY95100C16UP11H-WOM5381190</t>
  </si>
  <si>
    <t>AHU03-TRANE-TEMAOC485415AA-13145PJJBV</t>
  </si>
  <si>
    <t>AHU04-TRANE-TEMA0C485415AA-13134UHHBV</t>
  </si>
  <si>
    <t>WAC02-YORK-HIRD030506G-WOD5850120</t>
  </si>
  <si>
    <t>CND01-TRANE-4TTR3048D1000AB-14215TU93F</t>
  </si>
  <si>
    <t>WAC03-YORK-GY95100C16UP11H-WOM5381183</t>
  </si>
  <si>
    <t>WAC04-YORK-HIRD030506G-WOD5850110</t>
  </si>
  <si>
    <t>CND02-TRANE-4TTR3048D1000AB-14215TSJ3F</t>
  </si>
  <si>
    <t>GEN01-KOHLER-80ROZ281-176981</t>
  </si>
  <si>
    <t>WAC04-YORK-HIRD030506G-WOD5850119</t>
  </si>
  <si>
    <t>CND01-LENNOX-HS2906013Y-5808D47109</t>
  </si>
  <si>
    <t>AHU01-LENNOX-CB26UH060-8007C28798</t>
  </si>
  <si>
    <t>AHU02-LENNOX-FB4CNP060-2014AB3203</t>
  </si>
  <si>
    <t>CND03-TRANE-2A6C3060A3000AA-82554422F</t>
  </si>
  <si>
    <t>GEN01-DETROIT DIESEL-10437305-4A267300</t>
  </si>
  <si>
    <t>AHU05-TRANE-TWE060013080-P125LDF1V</t>
  </si>
  <si>
    <t>CND05-TRANE-TWA060D300A0-P5115DW1F</t>
  </si>
  <si>
    <t>AHU01-TRANE-5TEM4D07AC51SAA-24475SER3V</t>
  </si>
  <si>
    <t>CND01-TRANE-5TTA4060A3000AA-25264104KF</t>
  </si>
  <si>
    <t>AHU01-LENNOX-G400HG0G11016-5909A13033</t>
  </si>
  <si>
    <t>CND01-LENNOX-13ACX06023010-1909C09960</t>
  </si>
  <si>
    <t>CND02-LENNOX-13GCSXA601102501A-1608H05757</t>
  </si>
  <si>
    <t>CND03-LENNOX-13GCSXA601102501A-1609A13141</t>
  </si>
  <si>
    <t>CND04-LENNOX-13GCSXA360902301A-16091313904</t>
  </si>
  <si>
    <t>CND05-LENNOX-13GCSXA481102301A-1609A18064</t>
  </si>
  <si>
    <t>CND06-LENNOX-13GCSXA481102301A-1609C05106</t>
  </si>
  <si>
    <t>AHU06-LENNOX-CX3449C6F1-6009C02627</t>
  </si>
  <si>
    <t>CND02-TRANE-TTA240B300BD-N1345U5AH</t>
  </si>
  <si>
    <t>AHU02-TRANE-TWE240B300CA-N145MBA6H</t>
  </si>
  <si>
    <t>CND03-TRANE-TTA120B300BC-N151JLTAH</t>
  </si>
  <si>
    <t>AHU03-TRANE-TWE120B300CA-N145YTT5H</t>
  </si>
  <si>
    <t>CND04-TRANE-TTA120B300BC-N15109DAH</t>
  </si>
  <si>
    <t>AHU04-TRANE-TWE120B300CA-N152PT45H</t>
  </si>
  <si>
    <t>AHU01-TRANE-TWE240E300BB-171240KLWA</t>
  </si>
  <si>
    <t>CND01-TRANE-TTA240H300A-17122WUCTA</t>
  </si>
  <si>
    <t>AHU05-TRANE-TWE240B300AC-N148YW36H</t>
  </si>
  <si>
    <t>AHU06-TRANE-TWE240B300CA-N145MBA611</t>
  </si>
  <si>
    <t>AHU07-TRANE-TWE240E300BB-16421YA2WA</t>
  </si>
  <si>
    <t>AHU08-TRANE-TWE240E300BB-16415LGPWA</t>
  </si>
  <si>
    <t>CND05-TRANE-TTA240B300BD-N1357W5AH</t>
  </si>
  <si>
    <t>CND06-TRANE-TTA240300AA-16275KHXTA</t>
  </si>
  <si>
    <t>CND07-TRANE-TTA240E300AA-162150M0TA</t>
  </si>
  <si>
    <t>GEN02-CUMMINS-DSGAC1701046-B170151512</t>
  </si>
  <si>
    <t>AHU09-TRANE-TWE24043BAA-19173697WA</t>
  </si>
  <si>
    <t>CND08-TRANE-TTA24043DAB0D-19193348TA</t>
  </si>
  <si>
    <t>CND09-TRANE-TTA120H300AA-160335KRYA</t>
  </si>
  <si>
    <t>AHU02-TRANE-TWE24043BAA00AA0- 19173697WA</t>
  </si>
  <si>
    <t>AHU02-CARRIER-40RUQA08A2A6A0A0A0-5110U38462</t>
  </si>
  <si>
    <t>CND01-CARRIER-38AUZA08A0G5A0A0A0-3410G50077</t>
  </si>
  <si>
    <t>AHU01-TRANE-TWE090D300AA-10424LLTBA</t>
  </si>
  <si>
    <t>GEN01-FGWilson-P65E-52225B002</t>
  </si>
  <si>
    <t>WAC01-BARD-WA602B0ZXXXXXI-154D08248723802</t>
  </si>
  <si>
    <t>AHU03-CARRIER-UnkModel-UnkSerial</t>
  </si>
  <si>
    <t>AHU04-AMERICAN STANDARD-TWE090A300DA-3124XTW5H</t>
  </si>
  <si>
    <t>CND03-CARRIER-UnkModel-UnkSerial</t>
  </si>
  <si>
    <t>WAC02-BARD-W70A2B0ZXXXXE-404J15325221502</t>
  </si>
  <si>
    <t>CND02-AMERICANSTANDARD-TWA09043AAA01AS-21481386YA</t>
  </si>
  <si>
    <t>AHU05-AMERICANSTANDARD-TWE09043AAA07A-21331248BA1000</t>
  </si>
  <si>
    <t>GEN01-KOHLER-60ROZ01-108045Spec#17584A2355</t>
  </si>
  <si>
    <t>WAC01-BARD-WA301A05BXXXXJ-132D11614999</t>
  </si>
  <si>
    <t>WAC02-BARD-WA241B06BXXXXJ-141H1010651</t>
  </si>
  <si>
    <t>CND04-LENNOX-HS252611P-5896C31272</t>
  </si>
  <si>
    <t>AHU02-LENNOX-CB29M411P-5800B51161</t>
  </si>
  <si>
    <t>CND02-GOODMAN-GSC130363AF-0901715920</t>
  </si>
  <si>
    <t>CND03-LENNOX-HS254131Y-5896G05656</t>
  </si>
  <si>
    <t>AHU07-LENNOX-G14Q48019-5889G03884</t>
  </si>
  <si>
    <t>CND05-LENNOX-TSA090S4SN1Y-5615D04889</t>
  </si>
  <si>
    <t>AHU01-MAGIC AIR-90120BMWBMX-960874228</t>
  </si>
  <si>
    <t>CND01-MAGIC AIR-90120BMWBMX-9060874227</t>
  </si>
  <si>
    <t>CND06-LENNOX-TSA090S4SN1Y-5615D04890</t>
  </si>
  <si>
    <t>AHU02-GOODMEN-ARUF37C14AD-2201144067</t>
  </si>
  <si>
    <t>WAC01-CLIMATETEL-CT60FP0315-083392</t>
  </si>
  <si>
    <t>WAC02-CLIMATETEL-CT60FP0315-083492</t>
  </si>
  <si>
    <t>HVAC - AC WINDOW UNIT</t>
  </si>
  <si>
    <t>WAC03-CLIMATETEL-CT40FP0315-083292</t>
  </si>
  <si>
    <t>WAC03-CLIMATETEL-CT40FP0315-083493</t>
  </si>
  <si>
    <t>GEN01-MARATHON-680FDC41FD W-7N966834514</t>
  </si>
  <si>
    <t>AHU02-LIEBERT-UH125AC01-PDQAAUH125AC01</t>
  </si>
  <si>
    <t>AHU03-LIEBERT-VS07OADCDE1712A-C12H8E0142</t>
  </si>
  <si>
    <t>AHU04-LIEBERT-CU43A-PDQAAQU043A35</t>
  </si>
  <si>
    <t>CND01-LIEBERT-CDF130Y-85070022</t>
  </si>
  <si>
    <t>CND02-LIEBERT-CDF130Y-85080135</t>
  </si>
  <si>
    <t>CND03-LIEBERT-TCDV308Y-C12J4F3992</t>
  </si>
  <si>
    <t>CND04-LIEBERT-CSF086P-85070452</t>
  </si>
  <si>
    <t>AHU08-TRANE-RAS83F-C79D24260</t>
  </si>
  <si>
    <t>AHU01-LIEBERT-VS035ADC1EI99DS</t>
  </si>
  <si>
    <t>CND05-LIEBERT-MCS056e8YDk006</t>
  </si>
  <si>
    <t>AHU07-CARRIER-38MGRQ48E2-0520V31531</t>
  </si>
  <si>
    <t>AHU05-CARRIER-40MBCQ02XXX2-5219V17480</t>
  </si>
  <si>
    <t>AHU06-CARRIER-40MBCQ02XXX2-5219V17482</t>
  </si>
  <si>
    <t>CND08-CARRIER-30RAP0405DC0G100-4320Q69279</t>
  </si>
  <si>
    <t>AHU02-LIEBERT-UH125AC01-PDQAAUH125C01</t>
  </si>
  <si>
    <t>RTU01-TRANE-SLHFF30ECG10D1B00-C09E14432</t>
  </si>
  <si>
    <t>RTU02-TRANE-SLHA3006LB10E54D-B4B00149</t>
  </si>
  <si>
    <t>CND05-LIEBERT-MCS056e8YDk075-Y18KAX0039</t>
  </si>
  <si>
    <t>AHU09-LIEBERT-VS035ADC0-N18K8E0071</t>
  </si>
  <si>
    <t>GEN01-Marathon-440FDR7010CCW-KF938976127</t>
  </si>
  <si>
    <t>UH01-QMARK-MUH0521MG-UnkSerial</t>
  </si>
  <si>
    <t>AHU03-LIEBERT-VS035ADC0E1346A-N19K8E0093</t>
  </si>
  <si>
    <t>CND03-LIEBERT-MCS056E8YDA340-Y19KAX0095</t>
  </si>
  <si>
    <t>AHU04-LIEBERT-VH199ACAB-910680001</t>
  </si>
  <si>
    <t>CND04-LIEBERT-DCDF2054-0642C91336</t>
  </si>
  <si>
    <t>GEN01-Caterpillar-SR44W8971-6JA01048</t>
  </si>
  <si>
    <t>AHU01-LIEBERT-UH075AC00-199191001</t>
  </si>
  <si>
    <t>CND01-LIEBERT-CDF104L9-93080336</t>
  </si>
  <si>
    <t>AHU02-TRANE-BWE090C400FA-545172225</t>
  </si>
  <si>
    <t>CND03-GOODMAN-CTS0903-9204097494</t>
  </si>
  <si>
    <t>AHU03-BRYANT-524JFZ07A000-2216U24863</t>
  </si>
  <si>
    <t>CND02-BRYANT-569JP07A-1513C92907</t>
  </si>
  <si>
    <t>GEN01-MARATHON-440FDR7110JJW-PL317258302</t>
  </si>
  <si>
    <t>AHU01-LIEBERT-WH125ACAES-543819001</t>
  </si>
  <si>
    <t>CND01-LIEBERT-DCDF165lY-0308C61952</t>
  </si>
  <si>
    <t>CND02-CARRIER-090C024400-5484796</t>
  </si>
  <si>
    <t>AHU03-CARRIER-CAELHEAT022A00-2318U19428</t>
  </si>
  <si>
    <t>CND03-CARRIER-38UDA16A0A5-0A0A0-1518P31818</t>
  </si>
  <si>
    <t>AHU02-CARRIER-5409052-50BB016520</t>
  </si>
  <si>
    <t>GEN01-KOHLER-150ROZ281-183183Spec#13440181</t>
  </si>
  <si>
    <t>AHU01-LIEBERT-FH199AUC00-110574A</t>
  </si>
  <si>
    <t>CND01-LIEBERT-CDL216V-86060385</t>
  </si>
  <si>
    <t>AHU02-LIEBERT-FH199AUC00-110574B</t>
  </si>
  <si>
    <t>CND02-LIEBERT-CDL216V-86060385</t>
  </si>
  <si>
    <t>AHU03-SANYO-SAP121K-378043</t>
  </si>
  <si>
    <t>CND03-SANYO-SAP121C-374443</t>
  </si>
  <si>
    <t>UH01-UnkMan-UnkModel-UnkSerial</t>
  </si>
  <si>
    <t>UH02-UnkMan-UnkModel-UnkSerial</t>
  </si>
  <si>
    <t>GEN02-CUMMINS-GGPC1510846-F150839894</t>
  </si>
  <si>
    <t>AHU01-CARRIER-FB4BNF060-2203A73149</t>
  </si>
  <si>
    <t>CND01-CARRIER- 38YKC0600330-1903E40482</t>
  </si>
  <si>
    <t>WAC02-EUBANK-V460B00A1-ID38395</t>
  </si>
  <si>
    <t>WAC01-EUBANK-AVPA36ACA000N7UA5EUB100-JJF17050301</t>
  </si>
  <si>
    <t>GEN01-Kohler-125REOZJB-2026005</t>
  </si>
  <si>
    <t>AHU02-AMERICANSTANDARD-TWE090A300DA-164243A9BA</t>
  </si>
  <si>
    <t>CND01-TRANE-TTA090A300EA-16483KS3YA</t>
  </si>
  <si>
    <t>PAC03-CARRIER-50KCQA06A2A50A0A0-0818C79023</t>
  </si>
  <si>
    <t>PAC01-CARRIER-50TCA07A2A5A0A0A0-4415C76343</t>
  </si>
  <si>
    <t>GEN01-CATERPILLAR-SC434A-G87646</t>
  </si>
  <si>
    <t>AHU01-LIEBERT-BU067A-CAEI-420722-01</t>
  </si>
  <si>
    <t>AHU02-CARRIER-40RUAA08A2A6-1413U12960</t>
  </si>
  <si>
    <t>AHU03-CARRIER-40RM-007B610HC-4000F36139</t>
  </si>
  <si>
    <t>CND02-CARRIER-38AUZA08A0A5A-1-13C91779</t>
  </si>
  <si>
    <t>AHU05-CARRIER-FK4CNB006000AG-BC00A68692</t>
  </si>
  <si>
    <t>CND04-YORK-YCJD6054354A-W164891990</t>
  </si>
  <si>
    <t>AHU04-YORK-AHE60D3XH21B-WIM4255817</t>
  </si>
  <si>
    <t>CND05-CARRIER-38BRC060-3000E01461</t>
  </si>
  <si>
    <t>CND03-CARRIER-38AKS008-4000G00028</t>
  </si>
  <si>
    <t>CND01-LIEBERT-CSE083LP-0042C39106</t>
  </si>
  <si>
    <t>AHU07-YORK-DCP36NWB21S-DIB1901565</t>
  </si>
  <si>
    <t>AHU06-YORK-AE48CX21D - WIH8115713</t>
  </si>
  <si>
    <t>CND06-YORK-YHE48B225A-WIA9505497</t>
  </si>
  <si>
    <t>CND07-YORK-DCP36CSB21S-D012001806</t>
  </si>
  <si>
    <t>AHU05-BRYANT-FJ4DNXD60L00-5024F06480</t>
  </si>
  <si>
    <t>CND05-BRYANT-GH5SAN46000A-4824X48314</t>
  </si>
  <si>
    <t>GEN01-KOHLER-100ROZJ01-257862Spec#18960101</t>
  </si>
  <si>
    <t>GEN01-CUMMINS-80DGDAL-H880150943</t>
  </si>
  <si>
    <t>AHU03-LENNOX-CB17135U1-5888K02846</t>
  </si>
  <si>
    <t>CND03-TRANE-2TTAO060A3000AA-35033063F</t>
  </si>
  <si>
    <t>AHU02-RHEEM-R801PA10052MSA-W241606794</t>
  </si>
  <si>
    <t>CND02-TRANE-4TTA03042D3000CA-141318YL3F</t>
  </si>
  <si>
    <t>AHU04-TRANE-TUE1B080A9481AE-15274XWN1G</t>
  </si>
  <si>
    <t>AHU05-CARRIER-585TA11014122-1713A17418</t>
  </si>
  <si>
    <t>CND05-CARRIER-24ABB360A520-4612E12200</t>
  </si>
  <si>
    <t>AHU01-RHEEM-R801PA10052MSA-W141417566</t>
  </si>
  <si>
    <t>CND01-RHEEM-RAWL090CAZ-F281403444</t>
  </si>
  <si>
    <t>AHU06-MITSUBISHI-MUY036NA-8003044T</t>
  </si>
  <si>
    <t>CND06-MITSUBISHI-MSYD36NA-9000764T</t>
  </si>
  <si>
    <t>GEN01-KOHLER-135ROZJ81-603978</t>
  </si>
  <si>
    <t>AHU01-CARRIER-39LD12AAâˆ’BKâˆ’BMNâˆ’19- 4702F91560</t>
  </si>
  <si>
    <t>AHU02-CARRIER-39LD12AAâˆ’BKâˆ’BMNâˆ’A9- 4702F91559</t>
  </si>
  <si>
    <t>AHU03-CARRIER-FB4ANF030000AFAA-4402A65064</t>
  </si>
  <si>
    <t>CND02-CARRIER-38AR5008501-UnkSerial</t>
  </si>
  <si>
    <t>AHU05-CARRIER-JYC090C00A2AAA5-UNKSERIAL</t>
  </si>
  <si>
    <t>CND05-YORK-YC090C00A2AAA5-N2G0996896</t>
  </si>
  <si>
    <t>CND06-YORK-YC090C00A2AAA5-N1L9380263</t>
  </si>
  <si>
    <t>AHU01-CARRIER-FB4CNF030-231ZA73393</t>
  </si>
  <si>
    <t>CND01-CARRIER-24ABB330A330-5116E11077</t>
  </si>
  <si>
    <t>AHU02-TRANE-TEM4A0660151SAA-17172JHF3V</t>
  </si>
  <si>
    <t>CND02-TRANE-4A6H406061000AA-171628F52F</t>
  </si>
  <si>
    <t>GEN01-CUMMINS-DSGAA1526789-J150887767</t>
  </si>
  <si>
    <t>PAC01-BRYANT-559JJ06A000AZA0AAA-4715C77510</t>
  </si>
  <si>
    <t>RTU01-CARRIER-50KCA06A2A30A0A0-2717C50676</t>
  </si>
  <si>
    <t>RTU02-CARRIER-559JJ06A000-4515C76663</t>
  </si>
  <si>
    <t>AHU02-TRANE-TWE120A300EL-8045WJEBD</t>
  </si>
  <si>
    <t>AHU05-TRANE-TWE120A300CL-9284RKPBD</t>
  </si>
  <si>
    <t>AHU04-LENNOX-CB17135U1-5489J00299</t>
  </si>
  <si>
    <t>AHU05-LENNOX-CB183141-UnkSerial</t>
  </si>
  <si>
    <t>AHU07-TRANE-TWE090A300EL-5023W3TBD</t>
  </si>
  <si>
    <t>CND11-TRANE-2TWA3060A30000AA-9195R3Y2F</t>
  </si>
  <si>
    <t>CND15-TRANE-TTA120A300FA-7453K8GAD</t>
  </si>
  <si>
    <t>CND16-TRANE-TTA090A300FA-5041M7UAD</t>
  </si>
  <si>
    <t>GEN01-CumminsOnan-CC434F-110307</t>
  </si>
  <si>
    <t>AHU01-Trane-TWE120D100AATWE120-15232X4BBA</t>
  </si>
  <si>
    <t>AHU02-Trane-TWE120D100AATWE120-15262NWJBA</t>
  </si>
  <si>
    <t>CND01-Trane-TTA120G300AA-15435MLRYA</t>
  </si>
  <si>
    <t>CDN11-Trane-TTA120G300AA-15454PUKYA</t>
  </si>
  <si>
    <t>CND03-TRANE-2TWA3060A300AA-750354J4F</t>
  </si>
  <si>
    <t>AHU08-TRANE-2TEC3F60B100-404241L2V</t>
  </si>
  <si>
    <t>AHU09-TRANE-TWE120A300CL-9284RKPBD</t>
  </si>
  <si>
    <t>AHU10-LENNOX-UnkModel-CB183141</t>
  </si>
  <si>
    <t>CND02-TRANE-TTA12043CAA02BS01-23342935YA</t>
  </si>
  <si>
    <t>CND04-TRANE-TTA12043DAB00AE00000-18481407YA</t>
  </si>
  <si>
    <t>AHU03-TRANE-TWE15043BAA02A000-19431128WA</t>
  </si>
  <si>
    <t>GEN01-Cummins-DSHAB5099137-G100139659</t>
  </si>
  <si>
    <t>CND03-LENNOX-HS2606028-5801F34792</t>
  </si>
  <si>
    <t>CND04-LENNOX-HS19261U3P-5191K08207</t>
  </si>
  <si>
    <t>CND05-TRANE-RAU6256A-78A15021</t>
  </si>
  <si>
    <t>AHU04-TRANE-M10-KO1F187020</t>
  </si>
  <si>
    <t>AHU02-LENNOX-CB18213P-5191K2421</t>
  </si>
  <si>
    <t>AHU03-LENNOX-HS19653Y2Y-5191E00753</t>
  </si>
  <si>
    <t>AHU05-LIEBERT-D0440-H73578</t>
  </si>
  <si>
    <t>AHU06-LENNOX-A6260602Y-5801F34792</t>
  </si>
  <si>
    <t>CND01-BRYANT-569JP12D000A00A0AA-0615C91926</t>
  </si>
  <si>
    <t>AHU01-BRYANT-524JE12A000A20AAA-2415U13661</t>
  </si>
  <si>
    <t>PAC01-CARRRIER-50DDG16400-A398991</t>
  </si>
  <si>
    <t>GEN01-KOHLER-150ROZJ-691569</t>
  </si>
  <si>
    <t>WAC01-BARD-W60A1B0ZX9XXXJ-325F11280270502</t>
  </si>
  <si>
    <t>WAC02-BARD-W60AAB15YPXXXJ-416N17349966302</t>
  </si>
  <si>
    <t>RTU04-LENNOX-KGA090S4BM3Y-5613D01514</t>
  </si>
  <si>
    <t>RTU02-LENNOX-KGA07254BM1Y-5611J08187</t>
  </si>
  <si>
    <t>RTU03-LENNOX-KGA09054BM3Y-5613C01424</t>
  </si>
  <si>
    <t>RTU05-RHEEM-RKPNA060CK10E-F171800608</t>
  </si>
  <si>
    <t>GEN01-GENERAC-93A04666S-2010455</t>
  </si>
  <si>
    <t>CND01-CARRIER-38AUZA08A0A50A0A0-0616C92942</t>
  </si>
  <si>
    <t>AHU01-CARRIER-40RUAA08A2A6-1515U10831</t>
  </si>
  <si>
    <t>AHU02-CARRIER-40RM008B611-2109U09925</t>
  </si>
  <si>
    <t>CND02-CARRIER-38ARZ008511-2209G30125</t>
  </si>
  <si>
    <t>AHU03-CARRIER-40RM008B611-2109U09924</t>
  </si>
  <si>
    <t>CND03-CARRIER-38ARZ008511-2209G30121</t>
  </si>
  <si>
    <t>WAC01-BARD-W60A2B0ZXPXXXJ-149M00153739902</t>
  </si>
  <si>
    <t>WAC03-BARD-WA602A15XXXXJ-153H03182485502</t>
  </si>
  <si>
    <t>WAC02-BARD-W72AC-B15B-404N213920535-02</t>
  </si>
  <si>
    <t>WAC04-BARD-W60A2B0ZXPXXXJ-325N17350409002</t>
  </si>
  <si>
    <t>GEN01-KOHLER-200REOZBV-2004634Spec#GM24710</t>
  </si>
  <si>
    <t>AHU03-CARRIER-3060-7909Y</t>
  </si>
  <si>
    <t>AHU04-LENNOX-CB30M311P-5801A33152</t>
  </si>
  <si>
    <t>AHU02-CARRIER-40RUAA30A5A50A1A0-0915U09013</t>
  </si>
  <si>
    <t>AHU05-CARRIER-40RUAA30A5A50A1A0-2715U14690</t>
  </si>
  <si>
    <t>AHU06-CARRIER-40RUAA30A5A50A1A0-0915U09014</t>
  </si>
  <si>
    <t>CND02-CARRIER-38APD03054A18180-1315Q53152</t>
  </si>
  <si>
    <t>CND03-CARRIER-38APD03054A18180-1315Q53174</t>
  </si>
  <si>
    <t>CND04-CARRIER-38AD034520-X095806</t>
  </si>
  <si>
    <t>CND05-LENNOX-HS260302P-5801A41807</t>
  </si>
  <si>
    <t>AHU07-LENNOX-CB29M512P-5804H6746</t>
  </si>
  <si>
    <t>CND07-LENNOX-HS260485P-5804H08451</t>
  </si>
  <si>
    <t>CND06-CARRIER-38APD03054A18180-1315Q54349</t>
  </si>
  <si>
    <t>AHU01-LENNOX-CBA25UH03623001-1520L10407</t>
  </si>
  <si>
    <t>CND01-LENNOX-13ACXN03023024-1921B49963</t>
  </si>
  <si>
    <t>PAC06-TRANE-TSC036A3ROA0C000000000000-203100368L</t>
  </si>
  <si>
    <t>PAC04-TRANE-TSC090A3R0A0Y000000000000-321100428L</t>
  </si>
  <si>
    <t>GEN01-CUMMINS ONAN-150DVE15R-K840735793</t>
  </si>
  <si>
    <t>PAC01-TRANE-TSC063G3R0A0000-161914900L</t>
  </si>
  <si>
    <t>PAC02-CARRIER-50TCD08A2A50A0A0-2416P32337</t>
  </si>
  <si>
    <t>PAC03-TRANE-TSC060A3ROA0C000000000000-2111016607</t>
  </si>
  <si>
    <t>PAC05-TRANE-TSC06A3R0A0K00000000-211101655L</t>
  </si>
  <si>
    <t>AHU01-Carrier-50BU012510-R892614</t>
  </si>
  <si>
    <t>CND01-CARRIER-9AB12114-2988X00612</t>
  </si>
  <si>
    <t>AHU02-GE-BGWE960C1C00-338241</t>
  </si>
  <si>
    <t>CND02-TRANE-TWA060A300A0-C091/1/208631</t>
  </si>
  <si>
    <t>GEN02-CUMMINS-DSGAA1523-I150875775</t>
  </si>
  <si>
    <t>CND03-BRYANT-FB4CNP061-4819F03861</t>
  </si>
  <si>
    <t>AHU03-BRYANT- 214DPA060A-0320E23518</t>
  </si>
  <si>
    <t>AHU01-BRYANT- 214DPA060A-0320E23518</t>
  </si>
  <si>
    <t>AHU02-YORK-NS10C00CTBAA10-N2H0113719</t>
  </si>
  <si>
    <t>AHU02-YORK-NS-10C00CTBAA4-N2H0113719</t>
  </si>
  <si>
    <t>CND02-YORK-YC12OC00A2AAA6-N2B4159568</t>
  </si>
  <si>
    <t>GEN01-KOHLER-650REOZDB-2009925</t>
  </si>
  <si>
    <t>AHU01-LIEBERT-UH175AC01-874983A</t>
  </si>
  <si>
    <t>AHU02-LIEBERT-VS070ADCOF18715-C15B8E0021</t>
  </si>
  <si>
    <t>AHU03-LIEBERT-VS070ADCOF18715-C15B8F0017</t>
  </si>
  <si>
    <t>AHU04-LIEBERT-VH199AUCAFI-516703-001</t>
  </si>
  <si>
    <t>AHU05-LIEBERT-VS070ADCOF18715-C158BF0018</t>
  </si>
  <si>
    <t>CND01-LIEBERT-CSF0868-84120361</t>
  </si>
  <si>
    <t>CND02-LIEBERT-TCVD415Y-C15B4F3382</t>
  </si>
  <si>
    <t>CND03-LIEBERT-TCVD415Y-C15B4F3383</t>
  </si>
  <si>
    <t>CND04-LIEBERT-CDF1304-84120503</t>
  </si>
  <si>
    <t>CND05-LIEBERT-TCVD415Y-C15B43379</t>
  </si>
  <si>
    <t>AHU06-TRANE-CSAA017UAB00-N10K01342A</t>
  </si>
  <si>
    <t>AHU03-LIEBERT-VS070ADCOF18715-C15B8E0017</t>
  </si>
  <si>
    <t>AHU06-TRANE-CSAA017UAB00-K10K01342A</t>
  </si>
  <si>
    <t>AHU07-CARRIER-40RFAA12A2A5-1924U23799</t>
  </si>
  <si>
    <t>CND07-CARRIER-38AUDU12A0A5-2724C10985</t>
  </si>
  <si>
    <t>AHU01-CARRIER-40RFAA12A2A5UA0A0-3224U26431</t>
  </si>
  <si>
    <t>CND04-CARRIER-38AUDT12A0A50A0A0-2924C11318</t>
  </si>
  <si>
    <t>AHU01-CARRIER-FB4ANF060-3815A83467</t>
  </si>
  <si>
    <t>CND01-CARRIER-3715E12503-113APA060G</t>
  </si>
  <si>
    <t>AHU02-CARRIER-FB4ANF060-1600A03694</t>
  </si>
  <si>
    <t>CND02-CARRIER-38CMC060520-1300E20915</t>
  </si>
  <si>
    <t>GEN01-CUMMINS-100DYC15R-1790454149</t>
  </si>
  <si>
    <t>AHU01-LIEBERT-fd125a-28848</t>
  </si>
  <si>
    <t>CND01-LIEBERT-d0460-h80283</t>
  </si>
  <si>
    <t>AHU02-CARRIER-50bzn0125-3395b30831</t>
  </si>
  <si>
    <t>CND02-CARRIER-9ab6114-395x00879</t>
  </si>
  <si>
    <t>CND03-CARRIER-9ab6114-3495x00899</t>
  </si>
  <si>
    <t>AHU01-BRYANT-524FP12A000A2UAAAA-1325U03130</t>
  </si>
  <si>
    <t>AHU02-BRYANT-524FP12A000A2UAAAA-1325U03113</t>
  </si>
  <si>
    <t>CND02-BRYANT-569JP12M000A00A0A-3824C11176</t>
  </si>
  <si>
    <t>AHU02-LIEBERT-CSF086P-84080307</t>
  </si>
  <si>
    <t>AHU01-LIEBERT-CU66A-78977A</t>
  </si>
  <si>
    <t>CND02-CARRIER-24ABB360A520-2620F13815</t>
  </si>
  <si>
    <t>CND01-CARRIER-24ABB360A520-4320E18299</t>
  </si>
  <si>
    <t>CND02-CARRIER-24ABB360A005-2424E04130</t>
  </si>
  <si>
    <t>AHU01-CARRIER-FJ4DNXD60L00-2620F13815</t>
  </si>
  <si>
    <t>AHU02-CARRIER-FJ4DNXD60L00-2024F08795</t>
  </si>
  <si>
    <t>WAC02-CLIMATETEL-CT36PL110-113289</t>
  </si>
  <si>
    <t>CND01-FUJITSU-AOU36RLXB-FTN011825</t>
  </si>
  <si>
    <t>AHU01-FUJITSU-ASU36RLXB-FTA012858</t>
  </si>
  <si>
    <t>GEN01-FGWILSON-P6TE-6645A1</t>
  </si>
  <si>
    <t>CND01-TRANE-4TTR3060A1000AA-9045S335F</t>
  </si>
  <si>
    <t>AHU01-TRANE-4TEC3F60B1000AA-9222M232V</t>
  </si>
  <si>
    <t>CND02-TRANE-TTA090G300A-15464T9FYA</t>
  </si>
  <si>
    <t>AHU02-TRANE-TWE090D300A-15362WHGBA</t>
  </si>
  <si>
    <t>GEN01-KOHLER-200ROZJ-0676005</t>
  </si>
  <si>
    <t>GEN02-Cummins-DFED4478743-D000088938</t>
  </si>
  <si>
    <t>PAC02-BRYANT-580EPV850125AD-0804G20465</t>
  </si>
  <si>
    <t>PAC03-BRYANT-580FPV090125AB-S0706G20215</t>
  </si>
  <si>
    <t>PAC04-CARRIER-48HJE006541-2508640818</t>
  </si>
  <si>
    <t>PAC05-BRYANT-580FPV090125AB-0706G20216</t>
  </si>
  <si>
    <t>PAC08-BRYANT-569DPX090000AA-2205G30079</t>
  </si>
  <si>
    <t>PAC09-BRYANT-580FPV030074ABGA-3504610356</t>
  </si>
  <si>
    <t>PAC10-BRYANT-580FPV090125AB-4404G50250</t>
  </si>
  <si>
    <t>PAC13-CARRIER-68AH028511AA-2003F32419</t>
  </si>
  <si>
    <t>PAC14-RHEEM-RAWL090CAZ-7753F261206556</t>
  </si>
  <si>
    <t>PAC15-BRYANT-569DPX090000AA-2205G30080</t>
  </si>
  <si>
    <t>PAC16-BRYANT-569DPX090000AA-3606640145</t>
  </si>
  <si>
    <t>PAC17-RHEEM-RAWL120CAZ-7759F331206701</t>
  </si>
  <si>
    <t>PAC18-RHEEM-RAWL120CAZ-7759F301202861</t>
  </si>
  <si>
    <t>PAC19-LENNOX-CB1795V1-5489H04431</t>
  </si>
  <si>
    <t>PAC20-LENNOX-CB1795V1-5489H04686</t>
  </si>
  <si>
    <t>AHU01-BRYANT-310AAV066135ACJA-1205A32548</t>
  </si>
  <si>
    <t>AHU02-BRYANT-310AAV066135ACJA-1205A32552</t>
  </si>
  <si>
    <t>AHU03-BRYANT-310AAV066135ACJA-1805A21927</t>
  </si>
  <si>
    <t>AHU04-CARRIER-2V781897-S2503F38525</t>
  </si>
  <si>
    <t>AHU06-RHEEM-RHLLHM2417JA-W241312084</t>
  </si>
  <si>
    <t>AHU07-RHEEM-RHSLHM1817JA-W291027957</t>
  </si>
  <si>
    <t>AHU08-RHEEM-RHSLHM1817JA-W291027959</t>
  </si>
  <si>
    <t>CND01-UnkManuf-UnkModel-UnkSerial</t>
  </si>
  <si>
    <t>CND02-RHEEM-RKKLB090CL15E-F011501927</t>
  </si>
  <si>
    <t>CND03-RHEEM-RKKLB090CL15E-2N8269ADAAF291302137</t>
  </si>
  <si>
    <t>CND04-RHEEM-RKKLB120CL15E-2N8269ADAAF271302738</t>
  </si>
  <si>
    <t>CND05-RHEEM-RKKLB120CL15E-2N8269ADAAF361201710</t>
  </si>
  <si>
    <t>CND06-RHEEM-RKKLB120CL15E-F241505240</t>
  </si>
  <si>
    <t>CND07-RHEEM-RKKLB120CL15E-2N8269ADAAF351304851</t>
  </si>
  <si>
    <t>CND08-RHEEM-RKKLB120CL15E-2N8269ADAAF481205578</t>
  </si>
  <si>
    <t>CND09-TRANE-TTB024C100A2-R284SHRBF</t>
  </si>
  <si>
    <t>CND10-RHEEM-13AJN24A01-W441301522</t>
  </si>
  <si>
    <t>CND11-RHEEM-13AJM18A01-8029H261002627</t>
  </si>
  <si>
    <t>CND12-RHEEM-13AJN24A01-8029W261002629</t>
  </si>
  <si>
    <t>PAC21-RHEEM-RKNNA060C1L10E-F061501173</t>
  </si>
  <si>
    <t>PAC22-RHEEM-RKNNA060CK10E-F031500248</t>
  </si>
  <si>
    <t>AHU05-BRYANT-310AAV066135-1805A21903</t>
  </si>
  <si>
    <t>CND09-TRANE-TCC024F100BA-19423KJG2H</t>
  </si>
  <si>
    <t>CND13-RHEEM-RKKL-B090CL15E-2N8289ADAAF351304821</t>
  </si>
  <si>
    <t>PAC03-BRYANT-ZQG06E2B1AA1A111A4-N2L2060108</t>
  </si>
  <si>
    <t>PAC13-CARRIER-38APD02554A10020-0819Q64582</t>
  </si>
  <si>
    <t>AHU09-AMSTARNDARD-TEM4A0B24S21SBA-213225SG3V</t>
  </si>
  <si>
    <t>CND09-AMSTARNDARD-4A7A4024L-21023L3AAF</t>
  </si>
  <si>
    <t>PAC04-CARRIER-48HJE006541-2508G40818</t>
  </si>
  <si>
    <t>PAC15-BRYANT-569DPX090000AA-2205F30080</t>
  </si>
  <si>
    <t>PAC16-BRYANT-569DPX090000AA-3606G40145</t>
  </si>
  <si>
    <t>RTU02-AMSTANDARD-4a7a4024l1000aa-21023l3aaf</t>
  </si>
  <si>
    <t>RTU01-CARRIER-38apd025541a10020-0819q65852</t>
  </si>
  <si>
    <t>CND14-TRANE-TCC024F100BA-19423KJG2H</t>
  </si>
  <si>
    <t>RTU03-AMSTARNDARD-TEM4A0B24S21SBA-213225SG3V</t>
  </si>
  <si>
    <t>PAC08-CARRIER-38AUZD08A0B5-2724C10878</t>
  </si>
  <si>
    <t>AHU05-CARRIER-58SC0B110M2420-1924A31231</t>
  </si>
  <si>
    <t>AHU02-CARRIER-58SC0B110M2420-1924A31242</t>
  </si>
  <si>
    <t>AHU03-CARRIER-39MN17B0050T333SXS-2503F38526</t>
  </si>
  <si>
    <t>AHU10-TRANE-4MXW1612A0N0AA-160903732X</t>
  </si>
  <si>
    <t>CND01-TRANE-4TXK1612A10N0AA-160306871X</t>
  </si>
  <si>
    <t>GEN01-CUMMINSONAN-150DVE-C880108736?</t>
  </si>
  <si>
    <t>AHU01-TRANE-TWE090A300EL-8232PEPBD</t>
  </si>
  <si>
    <t>WAC03-BARD-UnkModel-UnkSerial</t>
  </si>
  <si>
    <t>CND01-TRANE-TTA090A300FA-8192J80AD</t>
  </si>
  <si>
    <t>WAC01-MARVAIR-AVPA36ACC000C7UA5100-DHF1591561</t>
  </si>
  <si>
    <t>WAC02-MARVAIR-AVPA36ACC000C7UA5100-DHF15935601</t>
  </si>
  <si>
    <t>AHU02-TRANE-TEM4AOC48S41SBA-182930RU3V</t>
  </si>
  <si>
    <t>CND03-TRANE-4TWA4036A3000AA-18431SH4F</t>
  </si>
  <si>
    <t>GEN01-CATERPILLAR-3406B2WB01822-5GA03467</t>
  </si>
  <si>
    <t>AHU02-CARRIER-40RUAA12A1A60A0A0-2915U15225</t>
  </si>
  <si>
    <t>AHU01-YORK-J10NCC00C6-N1M610703</t>
  </si>
  <si>
    <t>CND01-YORK-J10NCC00C6AAA3-N1M6107039</t>
  </si>
  <si>
    <t>CND06-YORK-H2CA090A25A-YFLM088637</t>
  </si>
  <si>
    <t>AHU03-CARRIER-40RUAA25T2A5A0A0A0-1022U00429</t>
  </si>
  <si>
    <t>CND01-CARRIER-38AUZA12A0A5A-0222C11153</t>
  </si>
  <si>
    <t>CND02-CARRIER-38AUZA12A0A5-0822C10683</t>
  </si>
  <si>
    <t>AHU05-LIEBERT-UH245AC01-87142A</t>
  </si>
  <si>
    <t>CND03-LIEBERT-CDF291Y-84100461</t>
  </si>
  <si>
    <t>CND04-CARRIER-38AUDA12A0A5A0A0-3215C93379</t>
  </si>
  <si>
    <t>AHU06-YORK-GS50SVFC-Y-VAHU5</t>
  </si>
  <si>
    <t>CND04-CARRIER-FB4CNP060-0416A82341</t>
  </si>
  <si>
    <t>GEN01-KOHLER-100ROZ61-160717</t>
  </si>
  <si>
    <t>CND01-PAYNE-PA13NA048000ACAA-1110X67421</t>
  </si>
  <si>
    <t>CND04-CARRIER-38CKC042300-4500E08597</t>
  </si>
  <si>
    <t>AHU01-TRANE-TEM4A0C60S51SAA-18052JYH3V</t>
  </si>
  <si>
    <t>CND05-TRANE-4TTR4060L1000AA-17442L5G5F</t>
  </si>
  <si>
    <t>AHU02-CARRIER-40QHO60300-Y313081</t>
  </si>
  <si>
    <t>AHU03-YORK-F6FP060H06T3XH-W1C700526</t>
  </si>
  <si>
    <t>AHU04-CARRIER-40ES215300-30C736900</t>
  </si>
  <si>
    <t>PAC01-TRANE-WCC048F100BH-5413Y212H</t>
  </si>
  <si>
    <t>AHU05-PAYNE-PF4MNA049-0810A84265</t>
  </si>
  <si>
    <t>PAC02-FRIEDRICH-PDH15K5SSG-2059780000164</t>
  </si>
  <si>
    <t>CND06-TRANE-4TTR4060L1000AA-183535WL5F</t>
  </si>
  <si>
    <t>WAC01-MARVAIR-AVPA60ACA000NUA5EUB80-HJF16952601</t>
  </si>
  <si>
    <t>GEN01-DETROIT-04A0266973-10437300</t>
  </si>
  <si>
    <t>AHU03-LIEBERT-UH199AC00-159376001</t>
  </si>
  <si>
    <t>CND01-LIEBERT-UnkModel-UnkSerial</t>
  </si>
  <si>
    <t>PAC01-CARRIER-50HJQ008501-4995630576</t>
  </si>
  <si>
    <t>AHU02-TRANE-TWE09041AAA04A0-22283381BA</t>
  </si>
  <si>
    <t>WAC01-BARD-WH361A10-125C01160108501</t>
  </si>
  <si>
    <t>AHU01-TRANE-TEM4A0C37S31SC-22391UWA3V</t>
  </si>
  <si>
    <t>CND03-TRANE-4TWA4035A3000A-22375UMC4F</t>
  </si>
  <si>
    <t>CND02-TRANE-TTA09043AAB01AE0-22381057YA</t>
  </si>
  <si>
    <t>WAC01-BARD-W36AB-A00-278J234108929-02</t>
  </si>
  <si>
    <t>AHU01-LENNOX-EH1795301Y-5191K73470</t>
  </si>
  <si>
    <t>CND01-LENNOX-HS179535Y-5192C28247</t>
  </si>
  <si>
    <t>AHU02-LENNOX-EH1795301Y-5192B89996</t>
  </si>
  <si>
    <t>CND02-LENNOX-HS179535Y-5192D07885</t>
  </si>
  <si>
    <t>AHU03-LENNOX--HS17-9535Y-5192C84287</t>
  </si>
  <si>
    <t>CND03-LENNOX-UnkModel-UnkSerial</t>
  </si>
  <si>
    <t>GEN02-CUMMINS-DSGAA85-K150895043</t>
  </si>
  <si>
    <t>CNDO4-ELS090515T1Y-5619K06158</t>
  </si>
  <si>
    <t>AHU04-LENNOX- CB17-95U1-5191G65781</t>
  </si>
  <si>
    <t>AHU05-LENNOX-ELA090S40-1Y -5619G09128</t>
  </si>
  <si>
    <t>AHU02-BRYANT-FB4CMP060L00A0AA-4215A85074</t>
  </si>
  <si>
    <t>CND03-BRYANT-113APA0600000BGAA-0715E14452</t>
  </si>
  <si>
    <t>CND04-ELS090515T1Y-5619K06158</t>
  </si>
  <si>
    <t>AHU01-CARRIER-40RLAA08A2A5AUA1A0-4125U07970</t>
  </si>
  <si>
    <t>CND01-CARRIER-38AXZN08A0A5A0A0-3725CL1086</t>
  </si>
  <si>
    <t>AHU01-LENNOX-G14051002-5883K12424</t>
  </si>
  <si>
    <t>GEN01-CUMMINS-SDGAB1507352-D150822776</t>
  </si>
  <si>
    <t>AHU02-LIEBERT-VH199AVCOO-305124001</t>
  </si>
  <si>
    <t>CND02-LIEBERT-UnkModel-UnkSerial</t>
  </si>
  <si>
    <t>CND03-CARRIER-38AKS024-2005G40027</t>
  </si>
  <si>
    <t>PAC01-TRANE-YCD075C2C0AA-H081431730</t>
  </si>
  <si>
    <t>AHU03-LIEBERT-CST1078-CST1078</t>
  </si>
  <si>
    <t>CND04-LIEBERT-107CP-94030026</t>
  </si>
  <si>
    <t>AHU02-LIEBERT-UH199AVCOO-305124001</t>
  </si>
  <si>
    <t>CND02-LIEBERT-107CP- 94030028</t>
  </si>
  <si>
    <t>AHU03-LIEBERT-CST1078-94N30027</t>
  </si>
  <si>
    <t>KNVLIAWH</t>
  </si>
  <si>
    <t>GEN01-ONAN-450EM15R28281D-J80362396</t>
  </si>
  <si>
    <t>GEN02-ONAN-200DL415R28281D-F850768325</t>
  </si>
  <si>
    <t>CND01-TRANE-4TTA3042D3000CA-12266UYR3F</t>
  </si>
  <si>
    <t>CND03-TRANE-2TTR3048A100004C-71427453F</t>
  </si>
  <si>
    <t>UH01-Modine-POP200AE0130-39010905091117400</t>
  </si>
  <si>
    <t>UH02-Modine-POP200AE0130-390109050911117000</t>
  </si>
  <si>
    <t>AHU01-TRANE-TUX080R42WO-23412387G</t>
  </si>
  <si>
    <t>AHU02-LENNOX-EL195UH110XE60C-5914F14710</t>
  </si>
  <si>
    <t>CND02-LENNOX-TSA042S4N43Y-5814G12082</t>
  </si>
  <si>
    <t>AHU03-RUDD-UGRA09EZAJS-DC5D707F26947778</t>
  </si>
  <si>
    <t>GEN01-KOHLER-300R0ZDS-648174Spec#PA132478</t>
  </si>
  <si>
    <t>CND01-CARRIER-33AUZB25AOA5AOAOAO-311340404</t>
  </si>
  <si>
    <t>AHU01-CARRIER-39LD15KABFCEKA7-3313U31969</t>
  </si>
  <si>
    <t>CND02-CARRIER-38AUZB25AOA5AOAOAO-3113U30405</t>
  </si>
  <si>
    <t>AHU02-CARRIER-39LD15KABFCEKA7-33131970</t>
  </si>
  <si>
    <t>AHU03-CARRIER-39LD1153AB1231R-3395T72369</t>
  </si>
  <si>
    <t>AHU04-CARRIER-38AH024500AA-3395T72370</t>
  </si>
  <si>
    <t>AHU05-LENNOX-CB30M21261P-5898H10364</t>
  </si>
  <si>
    <t>CND03-CARRIER-38AH024500AA-3795F69046</t>
  </si>
  <si>
    <t>CND04-CARRIER-38AH024500AA-3795F69033</t>
  </si>
  <si>
    <t>CND05-LENNOX-HS270241P-5898H23828</t>
  </si>
  <si>
    <t>GEN01-KOHLER-300R0ZDS Spec#PA132478-648174</t>
  </si>
  <si>
    <t>WAC02-GE-UnkModel-UnkSerial</t>
  </si>
  <si>
    <t>PAC01-W12AB-A05XPXXXJ-406F213861835-01</t>
  </si>
  <si>
    <t>WAC01-BARD-W12AB-A05XPXXXJ-406F213861835-01</t>
  </si>
  <si>
    <t>AHU01-CARRIER-39LD01082AB1031L-3791T19145</t>
  </si>
  <si>
    <t>AHU02-CARRIER-39LF106ZAB1022-3791T19146</t>
  </si>
  <si>
    <t>AHU05-CARRIER-39NXV133NVR43413-4193T43413</t>
  </si>
  <si>
    <t>AHU07-CARRIER-39NXV133NVR43414-4193T43414</t>
  </si>
  <si>
    <t>AHU04-CARRIER-39NXV073NVL43415-4193T43415</t>
  </si>
  <si>
    <t>AHU06-CARRIER-39NXV073NVR43416-4193T43416</t>
  </si>
  <si>
    <t>AHU03-TRANE-TYPE 6-UTE45347</t>
  </si>
  <si>
    <t>AHU08-MAGICAIR-24BHW4-900100624</t>
  </si>
  <si>
    <t>AHU09-TRANE-TWE240E300BB-16424PC8WA</t>
  </si>
  <si>
    <t>CND01-TRANE-TTA240H300AA-16202RAXTA</t>
  </si>
  <si>
    <t>GEN01-CUMMINS-DQDAC1608515-C160939063</t>
  </si>
  <si>
    <t>GEN01-CUMMINS-DGDB5622583-E030506955</t>
  </si>
  <si>
    <t>WAC01-BARD-W36A2B09-310M13306862002</t>
  </si>
  <si>
    <t>WAC02-BARD-W36A2B09-32K13304753702</t>
  </si>
  <si>
    <t>WAC03-BARD-W36A2B09-325D14311507802</t>
  </si>
  <si>
    <t>AHU01-TRANE-TWE180E300AA-17383WFPWA</t>
  </si>
  <si>
    <t>CND01-TRANE-TTA090G300AA-17134UTSYA</t>
  </si>
  <si>
    <t>CND02-TRANE-TTA090G300AA-17321L79YA</t>
  </si>
  <si>
    <t>GEN01-DETROIT-440FDC4646ABA000-DK34010</t>
  </si>
  <si>
    <t>PAC01-TRANE-TSC120E3R0BOX-104613195L</t>
  </si>
  <si>
    <t>WAC01-BARD-WA602A05EXXXXJ-153F00147196102</t>
  </si>
  <si>
    <t>WAC02-BARD-WA602A00-153H01164015502</t>
  </si>
  <si>
    <t>WAC03-BARD-WA602A05EXXXJ-153F00147196202</t>
  </si>
  <si>
    <t>WAC04-MARVAIR-AVPA60AC-CGF15033601</t>
  </si>
  <si>
    <t>AHU01-TRANE-TEM4A0B24S21SAA-15065M8M2V</t>
  </si>
  <si>
    <t>CND01-TRANE-4TWR4024D1000AA-15071TLSBF</t>
  </si>
  <si>
    <t>GEN01-Cummins-125DYD15R18778-A7903900321</t>
  </si>
  <si>
    <t>AHU01-CARRIER-FB4BNF060-2104A72087</t>
  </si>
  <si>
    <t>PAC01-CARRIER-50TCA08A2A5A0A0A0-2114P43805</t>
  </si>
  <si>
    <t>PAC03-CARRIER-48GS036090301-0602G30879</t>
  </si>
  <si>
    <t>PAC04-CARRIER-50TFF005511-2906G30345</t>
  </si>
  <si>
    <t>CND01-CARRIER-48ESA3609030TP-1714C04022</t>
  </si>
  <si>
    <t>PAC05-CARRIER-48TFE007511-3306G40344</t>
  </si>
  <si>
    <t>PAC06-CARRIER-25HCE460A300-3421E031277</t>
  </si>
  <si>
    <t>PAC02-Carrier-50FCM08A2A5A0A0-3923P40083</t>
  </si>
  <si>
    <t>AHU01-CARRIER-FB4CNP061-2422F11900</t>
  </si>
  <si>
    <t>CND02-CARRIER-25HCE460A300-3421E03177</t>
  </si>
  <si>
    <t>GEN01-CUMMINS-200DGFC-D050769539</t>
  </si>
  <si>
    <t>AHU01-CARRIER-FB4ANF0363-0595A01010</t>
  </si>
  <si>
    <t>CND02-CARRIER-50TJ0245B1YA4-4304F65233</t>
  </si>
  <si>
    <t>CND01-CARRIER-50TCD24A6G5A0A0A0-5210U39167</t>
  </si>
  <si>
    <t>CND05-DAIKIN-RKS36LVJ4-E006244</t>
  </si>
  <si>
    <t>AHU03-DAIKIN-FRXS36LVJU-E011693</t>
  </si>
  <si>
    <t>AHU02-TRANE-TWE240E300BB-16443TPKWA</t>
  </si>
  <si>
    <t>CND06-TRANE-TTA120G300AA-17082TBAYA</t>
  </si>
  <si>
    <t>CND04-TRANE-TTA120G300AA-171444M03YA</t>
  </si>
  <si>
    <t>CND03-CARRIER-38TKB036320-03595E11022</t>
  </si>
  <si>
    <t>CND04-TRANE-TTA120G300AA-171444M93YA</t>
  </si>
  <si>
    <t>CND02-CARRIER-0395E11022-38TK8036320</t>
  </si>
  <si>
    <t>GEN01-OLYMPIAN-D125P1-D6259A001</t>
  </si>
  <si>
    <t>PAC01-CARRIER-38AK012511-1101G00217</t>
  </si>
  <si>
    <t>PAC02-CARRIER-39LD15KB-1099F04615</t>
  </si>
  <si>
    <t>CND02-CARRIER-40RM012B610HC-1901F81753</t>
  </si>
  <si>
    <t>AHU03-CARRIER-49RUAA16T2A50A0A0-0917U03401</t>
  </si>
  <si>
    <t>CND03-CARRIER-38AUDC16A0M5A0A0A0-0817P34965</t>
  </si>
  <si>
    <t>UH01-MARLEY-1235-1007</t>
  </si>
  <si>
    <t>GEN02-CUMMINSONAN-C100N6-F160961580</t>
  </si>
  <si>
    <t>WAC01-BARD-W70A2B00XXXXXJ-404F143127383</t>
  </si>
  <si>
    <t>AHU02-CARRIER-40RUAUZA12A0A5A0-1915U12272</t>
  </si>
  <si>
    <t>CND02-CARRIER-38AUZA12AOA5AO-0815C92464</t>
  </si>
  <si>
    <t>AHU01-CARRIER-40RUAA1212A5AOAOAO-4621U27006</t>
  </si>
  <si>
    <t>CND01-CARRIER-38AUZA12A0A5-3721C94530</t>
  </si>
  <si>
    <t>AHU01-CARRIER-FB4CNP0600L00-3920R23098</t>
  </si>
  <si>
    <t>CND01-CARRIER-24HC460AP05-3820E27675</t>
  </si>
  <si>
    <t>AHU02-CARRIER-40MHHQ24-311-0422V14982</t>
  </si>
  <si>
    <t>CND02-CARRIER-38MHRCQ24-AA301-3822V17456</t>
  </si>
  <si>
    <t>AHU03-CARRIER-45MHHAQ12XC3-0325V22120</t>
  </si>
  <si>
    <t>CND03-CARRIER-37MHRAQ12AA3-0325V18392</t>
  </si>
  <si>
    <t>GEN01-CATERPILLAR-SR4-5HA0428</t>
  </si>
  <si>
    <t>CND02-CARRIER-24ABB330A310-1614E05505</t>
  </si>
  <si>
    <t>CND03-CARRIER-24AB3342A300-1114E21931</t>
  </si>
  <si>
    <t>CND04-CARRIER-24ABB360A340-1014E10902</t>
  </si>
  <si>
    <t>CND05-CARRIER-24ABB340A340-1014E10925</t>
  </si>
  <si>
    <t>CND06-LIEBERT-TCDU251Y-C14E4F1293</t>
  </si>
  <si>
    <t>AHU03-LIEBERT-VS028AAC0E1534AA-C14E8E0063</t>
  </si>
  <si>
    <t>AHU04-LIEBERT-BV067ADCDE1442-N14E740088</t>
  </si>
  <si>
    <t>AHU01-LIEBERT-CF66A-62900B</t>
  </si>
  <si>
    <t>AHU02-LIEBERT-CU66A-62900A</t>
  </si>
  <si>
    <t>CND01-LIEBERT-CDF097P-83090128</t>
  </si>
  <si>
    <t>CND07-LIEBERT-CDF097P-83090129</t>
  </si>
  <si>
    <t>AHU05-LIEBERT-RAUCB756A-83607222</t>
  </si>
  <si>
    <t>AHU06-CARRIER-FB4CNP060L00ADAA-1314A81820</t>
  </si>
  <si>
    <t>AHU07-CARRIER-FB4CNP060L00ADAA-1614A82837</t>
  </si>
  <si>
    <t>AHU08-CARRIER-FB4CNF042L00ABAA-1914A84215</t>
  </si>
  <si>
    <t>AHU09-CARRIER-FB4CNF030T00ACAA-1714A73394</t>
  </si>
  <si>
    <t>CND08-CARRIER-BACAV756C-2E2115926</t>
  </si>
  <si>
    <t>CND09-LIEBERT-TCSV165Y-C14E2F1288</t>
  </si>
  <si>
    <t>AHU10-TRANE-TAM4AOC60S51EDB-20195MEC1V</t>
  </si>
  <si>
    <t>CND10-TRANE-04TWA4060A300AB-20073SB22F</t>
  </si>
  <si>
    <t>CND11-TRANE-RAUCB756A-C83G07222</t>
  </si>
  <si>
    <t>AHU08-TRANE-TWE09043AAAP01H-23363922BA</t>
  </si>
  <si>
    <t>CND11-TRANE-TTA09043AAAE02P-24351478YA</t>
  </si>
  <si>
    <t>GEN01-Marathon-502FDR7022HHW-NA19501771284</t>
  </si>
  <si>
    <t>GEN02-STEWART&amp;STEVENSON-TM4GDT150-12757338</t>
  </si>
  <si>
    <t>AHU01-CARRIER-74881-LB000090</t>
  </si>
  <si>
    <t>CND01-LIEBERT-UD125A-61097B</t>
  </si>
  <si>
    <t>AHU01-LIEBERT-CDF216Y-83060314</t>
  </si>
  <si>
    <t>CND02-LIEBERT-UD125A-61097A</t>
  </si>
  <si>
    <t>AHU03-LIEBERT-CDF216Y-83060315</t>
  </si>
  <si>
    <t>CND03-CARRIER-38TKB060500-2992E02609</t>
  </si>
  <si>
    <t>AHU02-CARRIER-UnkModel-UnkSerial</t>
  </si>
  <si>
    <t>AHU02-TRANE-TWE180E300AA-17423NSXWA</t>
  </si>
  <si>
    <t>CND02-TRANE-TTA180H300A-17373UASTA</t>
  </si>
  <si>
    <t>AHU03-TRANE-TAM4AOC48S41EDA-17832UNB1V</t>
  </si>
  <si>
    <t>CND03-TRANE-4TTA4048A300AA-17495SNU3F</t>
  </si>
  <si>
    <t>AHU04-CARRIER-40YAF060300-1792H05481</t>
  </si>
  <si>
    <t>CDN01-TRANEâ€“TTA18043DAAE02P-23122120TA</t>
  </si>
  <si>
    <t>GEN01-KOHLER-150REOZJF-3379GMMK0016</t>
  </si>
  <si>
    <t>GEN01-MTU-MTU8V1600DS400-95010600986</t>
  </si>
  <si>
    <t>CND01-TRANE-TTA300J300A-17182PCTA</t>
  </si>
  <si>
    <t>AHU01-TRANE-TWE300E300A-17144S86WA</t>
  </si>
  <si>
    <t>AHU03-GRANDAIRE-WJA36000KP0B1-C131897557</t>
  </si>
  <si>
    <t>AHU04-BOHN-HCS150LA-BBL7028</t>
  </si>
  <si>
    <t>PAC01-GOODMAN-PCK0601-0310022464</t>
  </si>
  <si>
    <t>PAC02-GOODMAN-GPC1336H21AD-0803154586</t>
  </si>
  <si>
    <t>AHU02-GOODMAN-ARUF486016AA-0610210359</t>
  </si>
  <si>
    <t>CND01-GOODMAN-UnkModel-UnkSerial</t>
  </si>
  <si>
    <t>PAC03-GOODMAN-UnkModel-UnkSerial</t>
  </si>
  <si>
    <t>PAC04-GOODMAN-UnkModel-UnkSerial</t>
  </si>
  <si>
    <t>CND02-TRANE-TTA300J300A-17182PCTA</t>
  </si>
  <si>
    <t>AHU04-BOHN-HCS150LA-EBL7028</t>
  </si>
  <si>
    <t>CND01-GOODMAN-AMST60DU1400-2304084260</t>
  </si>
  <si>
    <t>PAC01-TRANE-5WCC4060A3000A-26113170FA</t>
  </si>
  <si>
    <t>GEN01-Cummins-60GGHE-J080218785</t>
  </si>
  <si>
    <t>AHU02-TRANE-TWE120A300EL-8253TNCBD</t>
  </si>
  <si>
    <t>CND02-TRANE-TTA120A300FA-8292YN2AD</t>
  </si>
  <si>
    <t>AHU01-CARRIER-40RUAA14A2A60A0A0-1717U05141</t>
  </si>
  <si>
    <t>CND01-CARRIER-38AUZA14A0A50A0A0-1117C90261</t>
  </si>
  <si>
    <t>AHU02-DAIKIN-DC6TE12830AA-25031522271</t>
  </si>
  <si>
    <t>CND02-DAIKIN-DAQ12033AA-2510100753</t>
  </si>
  <si>
    <t>GEN01-CumminsOnan-60DGCB-G940550471</t>
  </si>
  <si>
    <t>WAC02-BARD-WA484B09-221P02178064202</t>
  </si>
  <si>
    <t>WAC01-BARD-W48A1A10-343J12292074502</t>
  </si>
  <si>
    <t>AHU03-TRANE-TEM4A0C60S51SBA-18502P7E3V</t>
  </si>
  <si>
    <t>CND03-TRANE-4TWA4060A3000AA-18431JX92F</t>
  </si>
  <si>
    <t>UH01-FEDERAL PACIFIC-UnkModel-UnkSerial</t>
  </si>
  <si>
    <t>UH02-DAYTON-39674-UnkSerial</t>
  </si>
  <si>
    <t>AHU01-MITSUBISHI-PKAA30UA6-54M00610</t>
  </si>
  <si>
    <t>CND03-MITSUBISHI-P02A30N4A6-41000181B</t>
  </si>
  <si>
    <t>GEN02-CUMMINS-DSGAB1712440-C170166003</t>
  </si>
  <si>
    <t>CND02-LIEBERT-DCDF130Y-86100442</t>
  </si>
  <si>
    <t>AHU01-LIEBERT-MCS056E8YDM990-Y20BAX0031</t>
  </si>
  <si>
    <t>CND03-MITSUBISHI-P02A30N4A6-41000181</t>
  </si>
  <si>
    <t>AHU03-MITSUBISHI-PKAA30KA6-54M00610</t>
  </si>
  <si>
    <t>GEN01-CUMMINS-CC4340-114903</t>
  </si>
  <si>
    <t>AHU01-CARRIER-39CA110269-68210916VE</t>
  </si>
  <si>
    <t>AHU03-CARRIER-39CA110269-68180779VE</t>
  </si>
  <si>
    <t>AHU05-TRANE-TWE240B300EL-6133LN2HD</t>
  </si>
  <si>
    <t>AHU06-TRANE-TEM4AOC60551SAA-16143K2Y2V</t>
  </si>
  <si>
    <t>AHU07-TRANE-TWE24043BAA00A00000000-19162024WA</t>
  </si>
  <si>
    <t>AHU08-TRANE-TWE24043BAA00A00000000-19391930WA</t>
  </si>
  <si>
    <t>CND05-TRANE-TTA24043DAB00AE000000000-19212328TA</t>
  </si>
  <si>
    <t>CND06-TRANE-TTA240B300FA-70323UNAD</t>
  </si>
  <si>
    <t>CND07-TRANE-4TTA3060D3000CA-16162B4E5F</t>
  </si>
  <si>
    <t>CND08-TRANE-TTA24023DAB00AE00000-19301911TA</t>
  </si>
  <si>
    <t>GEN01-CATERPILLAR-SR4-5EA03470</t>
  </si>
  <si>
    <t>AHU01-CARRIER-40RM008B611HC-3103F45083</t>
  </si>
  <si>
    <t>CND01-CARRIER -38ARZ008501-4003G20017</t>
  </si>
  <si>
    <t>CND02-CARRIER-38YKC048340-4203E08274</t>
  </si>
  <si>
    <t>AHU02-CARRIER-FB4BNFO4800-4503A74614</t>
  </si>
  <si>
    <t>AHU03-LIEBERT-FH199AC01-74161A</t>
  </si>
  <si>
    <t>CND03-LIEBERT-CDF216Y-84050303</t>
  </si>
  <si>
    <t>WAC01-BARD-W60A-324D10269768902</t>
  </si>
  <si>
    <t>CND04-DATAAIRE-GFAD05632-20191811B</t>
  </si>
  <si>
    <t>AHU04-YORK-N2AHDO6A06A-MHMS137801</t>
  </si>
  <si>
    <t>CND05-YORK-UnkModel-UnkSerial</t>
  </si>
  <si>
    <t>WAC01-BARD-WA241A10BXXXXJ-14DC94083283602</t>
  </si>
  <si>
    <t>WAC02-BARD-CN1202PL110-90496</t>
  </si>
  <si>
    <t>GEN01-GENERAC-93A02363S-2007784</t>
  </si>
  <si>
    <t>GEN02-Wacker-P50-1299448</t>
  </si>
  <si>
    <t>CND01-TRANE-TTA060C300A0-J20231139</t>
  </si>
  <si>
    <t>CND02-TRANE-TWR042C100B3-R40380P2F</t>
  </si>
  <si>
    <t>CND03-AMERICANSTANDARD-2A7A1000A1000AA-4111TT43F</t>
  </si>
  <si>
    <t>CND04-TRANE-TTA048C300A0-J27231476</t>
  </si>
  <si>
    <t>CND05-AMERICANSTANDARD-TTA090A300CA-J26198113</t>
  </si>
  <si>
    <t>AHU02-TRANE-TWE090A300BB-J13174906</t>
  </si>
  <si>
    <t>PAC01-TRANE-TWE060D150A-M282KTK1V</t>
  </si>
  <si>
    <t>PAC02-BARD-UnkModel-UnkSerial</t>
  </si>
  <si>
    <t>PAC03-BARD-UnkModel-UnkSerial</t>
  </si>
  <si>
    <t>PAC01-TRANE-TWE060D150A-M22KTK1V</t>
  </si>
  <si>
    <t>CND06-CARRIER-24ABB336A0051010-2814E03306</t>
  </si>
  <si>
    <t>AHU07-TRANE-5TEM4D07AC51SA-25233MF23V</t>
  </si>
  <si>
    <t>CND07-TRANE-5TWA4060A3000A-25194BRXKF</t>
  </si>
  <si>
    <t>CND08-TRANE-TWE09043AAA07BD0000-23431631BA</t>
  </si>
  <si>
    <t>AHU08-TRANE-TWE09043AAA07BD00001-23431631BA</t>
  </si>
  <si>
    <t>AHU01-TRANE-TWE060D150A1-M292YER1V</t>
  </si>
  <si>
    <t>AHU03-TRANE-TTA060C300A0-M1455B7FF</t>
  </si>
  <si>
    <t>AHU04-TRANE-5TEM4D07AC51SAA-2531254K3V</t>
  </si>
  <si>
    <t>AHU05-TRANE-4TWA4060A3000AA-25305X3UKF</t>
  </si>
  <si>
    <t>AHU06-CARRIER-FB4CNF036-3014A76816</t>
  </si>
  <si>
    <t>AHU09-CARRIER-FB4CNF042-1315A87825</t>
  </si>
  <si>
    <t>CND09-CARRIER-25HCD342A310-4241E09602</t>
  </si>
  <si>
    <t>CND10-TRANE-TWA09043AAA03BS01000-24101240YA</t>
  </si>
  <si>
    <t>AHU10-TRANE-TWE060A300BB-J16175764</t>
  </si>
  <si>
    <t>AHU11-TRANE-TEM4A0C378318BA-18482L103V</t>
  </si>
  <si>
    <t>CND11-TRANE-4TWR4036G100AA-18462MWK4F</t>
  </si>
  <si>
    <t>AHU12-TRANE-TW042A140B1-R365UNB1V</t>
  </si>
  <si>
    <t>GEN01-CUMMINS-500DFED-L960624759</t>
  </si>
  <si>
    <t>CND06-TRANE-TTA090A3006A-444336SAD</t>
  </si>
  <si>
    <t>CND09-TRANE-TTA240E400AA-12171TEBTA</t>
  </si>
  <si>
    <t>CND04-TRANE-TTA240B3000A-R1661KAAH</t>
  </si>
  <si>
    <t>CND01-TRANE-TWA180B300BD-M94L15AH</t>
  </si>
  <si>
    <t>PKG19-LIEBERT-CDF216Y-85060469</t>
  </si>
  <si>
    <t>CND08-GOODMAN-CKL621-212446204</t>
  </si>
  <si>
    <t>AHU15-TRANE-TWE240B300CA-R164LAC6H</t>
  </si>
  <si>
    <t>AHU13-TRANE-TWE240E400BB-121634PWA</t>
  </si>
  <si>
    <t>CND03-TRANE-TWA240B300BD-M432J69AH</t>
  </si>
  <si>
    <t>AHU16-GOODMAN-AR61-207449572</t>
  </si>
  <si>
    <t>PKG20-LIEBERT-CDF216Y-199AC01</t>
  </si>
  <si>
    <t>AHU14-Trane-TWE180E300CA-18104R42WA</t>
  </si>
  <si>
    <t>CND11-Trane-TWA180E30RAB-16081T1MTA</t>
  </si>
  <si>
    <t>AHU18-CARRIER-39SMD17RXLM63PRSJF-2717R47216</t>
  </si>
  <si>
    <t>CND07-CARRIER-38AUDC25A06A0A0A0-2617P32654</t>
  </si>
  <si>
    <t>CND02-TRANE-TTA240H400AA-17464LD9TA</t>
  </si>
  <si>
    <t>CND05-CARRIER-24ABB360A520-</t>
  </si>
  <si>
    <t>CND10-TRANE-TTA12043DAB00A-19182412YA</t>
  </si>
  <si>
    <t>AHU12-TRANE-TWE240B300CA-1749YECWA</t>
  </si>
  <si>
    <t>AHU17-TRANE-TWE240B300CA-M501N6F6H</t>
  </si>
  <si>
    <t>CND09-TRANE-TTA240E400AA-12171TE8TA</t>
  </si>
  <si>
    <t>PKG20-LIEBERT-CDF216Y-199AC03</t>
  </si>
  <si>
    <t>CND05-CARRIER-24ABB360A520-4409E01044</t>
  </si>
  <si>
    <t>AHU11-TRANE-TWE090A300EL-19193423BA</t>
  </si>
  <si>
    <t>GEN01-CATERPILLAR-SR4-6BA01940</t>
  </si>
  <si>
    <t>CND03-TRANE-TWD736B100A0-F26262900</t>
  </si>
  <si>
    <t>AHU03-TRANE-TWHO36B140AO-P24338180</t>
  </si>
  <si>
    <t>CND04-GOODMAN-GSC130601CA-909021768</t>
  </si>
  <si>
    <t>AHU04-GOODMAN-GMS81155CNCC-1006007871</t>
  </si>
  <si>
    <t>CND05-GOODMAN-GSC101203AB-912671279</t>
  </si>
  <si>
    <t>AHU05-CARRIER-40RR012550-P295151</t>
  </si>
  <si>
    <t>AHU06-LIEBERT-DX11SA0903AA-1509X6923</t>
  </si>
  <si>
    <t>AHU07-LIEBERT-DX22SA0903AA-1603222949</t>
  </si>
  <si>
    <t>CND06-DAIKEN-DX11SA0903AA-1509016923</t>
  </si>
  <si>
    <t>CND07-DAIKEN-DX22SA0903AA-1603111949</t>
  </si>
  <si>
    <t>WAC01-BARD-UnkModel-UnkSerial</t>
  </si>
  <si>
    <t>AHU06-GOODMAN-ARUF31B140AA-1601307024</t>
  </si>
  <si>
    <t>CND06-GOODMAN-GSX140301KA-1509356322</t>
  </si>
  <si>
    <t>AHU08-DAIKIN-DAR0904AB-1602102502</t>
  </si>
  <si>
    <t>CND08-DAIKIN-DAR0904AB-1602102501</t>
  </si>
  <si>
    <t>AHU08-LIEBERT-DS035ADC1131133A-C16C8E0093</t>
  </si>
  <si>
    <t>AHU07-LIEBERT-DS035ADC1EI133A-C16C8E0094</t>
  </si>
  <si>
    <t>CND07-LIEBERT-MCM080E8YDF834-Y16CAY0015</t>
  </si>
  <si>
    <t>CND08-LIEBERT-MCM080E8YDF834-Y16CAY0016</t>
  </si>
  <si>
    <t>WAC02-BARD-W36AFA05XWXXXJ-10053397</t>
  </si>
  <si>
    <t>AHU01-LIEBERT-FH245AC01-10466B</t>
  </si>
  <si>
    <t>GEN01-CUMMINS-100DGB-E910389948</t>
  </si>
  <si>
    <t>WAC01-BARD-36WAGA10C-058C910677397</t>
  </si>
  <si>
    <t>CND02-TRANE-TEM4A0C60S51SAA-17392NKJ3V</t>
  </si>
  <si>
    <t>AHU03-TRANE-4TTR4060L1000AA-173547NT2F</t>
  </si>
  <si>
    <t>CND03-CARRIER-58STA135-4508A14212</t>
  </si>
  <si>
    <t>CND07-TRANE-40RUAA12A2A6A0A0A0-4620U16333</t>
  </si>
  <si>
    <t>CND05-PAYNE-PA13NR060-H-3409X65839</t>
  </si>
  <si>
    <t>AHU02-CARRIER-40AQ018300BU-2887A13832</t>
  </si>
  <si>
    <t>CND01-CARRIER-38YG018300-0989E71856</t>
  </si>
  <si>
    <t>CND03-TRANE-4TTR4060L1000BA-22073GXC5F</t>
  </si>
  <si>
    <t>AHU01-FURNACE-58B1C100M5PSCAA-22181FSAHG</t>
  </si>
  <si>
    <t>GEN02-ONAN-50DGCA-C910376499</t>
  </si>
  <si>
    <t>GEN01-KOHLER-45RZ81-109746Spec#781026A</t>
  </si>
  <si>
    <t>AHU01-LENNOX-G26Q33756-5898K18090</t>
  </si>
  <si>
    <t>CND02-PAYNE-PA13NR03000GAJA-2914X74726</t>
  </si>
  <si>
    <t>GEN01-ONAN-75DYC15R18534C-L770284161</t>
  </si>
  <si>
    <t>AHU01-LENNOX-G21Q5801-5892D12414</t>
  </si>
  <si>
    <t>CND01-LENNOX-HS19653U3Y-5192J04122</t>
  </si>
  <si>
    <t>AHU02-LENNOX-G21Q403-3896H21420</t>
  </si>
  <si>
    <t>CND02-LENNOX-HS260182P-5898C49234</t>
  </si>
  <si>
    <t>AHU04-LENNOX-CB17135V1-5489J00300</t>
  </si>
  <si>
    <t>CND05-LENNOX-13ACD0602301S-1911C19660</t>
  </si>
  <si>
    <t>AHU05-LENNOX-G21Q801-5892E16885</t>
  </si>
  <si>
    <t>CND07-LENNOX-HS19653U3Y-5192J04118</t>
  </si>
  <si>
    <t>PAC01-CARRIER-50TCD12A2A50A0A0-1616P63992</t>
  </si>
  <si>
    <t>CND08-CARRIER-38AUDA12A0A50A0A0-1716C90087</t>
  </si>
  <si>
    <t>AHU06-CARRIER-40RUAA12A246-1016421750</t>
  </si>
  <si>
    <t>CND03-BOHN-BHT050H2B-T09G01632</t>
  </si>
  <si>
    <t>AHU07-CARRIER-40RUAA12A2A6-1016U21750</t>
  </si>
  <si>
    <t>AHU01-LENNOX-G51MP36B07001-5803G61992</t>
  </si>
  <si>
    <t>AHU02-LENNOX-CB29M411P-5803G84434</t>
  </si>
  <si>
    <t>AHU03-LENNOX-G51MP36B07001-5803G61985</t>
  </si>
  <si>
    <t>AHU04-LENNOX-G51MP36B04501-5803H02786</t>
  </si>
  <si>
    <t>GEN02-ONAN-DSGAC1417845-J140758322</t>
  </si>
  <si>
    <t>AHU05-CARRIER-40RM028B500YC-0299F90945</t>
  </si>
  <si>
    <t>AHU06-CARRIER-40RM028B500YC-0299F90979</t>
  </si>
  <si>
    <t>AHU07-LENNOX-G51MP36B07001-5803G61991</t>
  </si>
  <si>
    <t>AHU08-SAMSUNG-MH050FXCA2-F326PAED500015J</t>
  </si>
  <si>
    <t>CND01-TRANE-TTA120A300GA-130835FTYA</t>
  </si>
  <si>
    <t>CND02-TRANE-TTA120A300GA-12285N5FYA</t>
  </si>
  <si>
    <t>CND03-TRANE-TTA120A300GA-12285N5FYA</t>
  </si>
  <si>
    <t>CND04-TRANE-TTA120A300GA-12425K2TYA</t>
  </si>
  <si>
    <t>AHU09-SAMSUNG-MH026FNCA-F324PALD300165</t>
  </si>
  <si>
    <t>CND05-LENNOX-HS26304P-5803H03666</t>
  </si>
  <si>
    <t>CND06-LENNOX-HS260245P-5803G79185</t>
  </si>
  <si>
    <t>CND07-LENNOX-HS260245P-5803G79185</t>
  </si>
  <si>
    <t>CND08-LENNOX-GAW14L30C22SA-W1A8415545</t>
  </si>
  <si>
    <t>CND09-LENNOX-HS260363Y-5803C75725</t>
  </si>
  <si>
    <t>CND10-LENNOX-HS260363Y-580321424</t>
  </si>
  <si>
    <t>CND03-TRANE-TTA120A300GA-1245K2WYA</t>
  </si>
  <si>
    <t>GEN01-Olympian-340675Z00674-OLY00000JNAT00450</t>
  </si>
  <si>
    <t>AHU02-LENNOX-CB1713502-5600G09993</t>
  </si>
  <si>
    <t>AHU03-LENNOX-CB17135V2-5600H07165</t>
  </si>
  <si>
    <t>UH01-ELECTROMODE-WA404E136-103653</t>
  </si>
  <si>
    <t>CND02-LENNOX-LSA120C2Y-5600J07443</t>
  </si>
  <si>
    <t>CND03-LENNOX-LSA120C2Y-5600J07460</t>
  </si>
  <si>
    <t>AHU04-CARRIER-40RUAA08T2A5OAOAO-3519U04402</t>
  </si>
  <si>
    <t>CND04-CARRIER-38AUZA08A0A50A0A0-3220C92892</t>
  </si>
  <si>
    <t>AHU05-CARRIER-40RUAA08T2A5-OAOAO-3221U23678</t>
  </si>
  <si>
    <t>CND05-CARRIER-38AUZA08A0A50A0A0-1221C93273</t>
  </si>
  <si>
    <t>CND01-CARRIER-38AUZA08AOA5AOAOAO-1221C93271</t>
  </si>
  <si>
    <t>AHU01-LENNOX-CB29M411P-5800H01776</t>
  </si>
  <si>
    <t>AHU02-LENNOX-CB1713502-5600G00978</t>
  </si>
  <si>
    <t>CND01-LENNOX-H5290369Y-5800H56223</t>
  </si>
  <si>
    <t>GEN01-ATLANTICPOWER-10437305-823212</t>
  </si>
  <si>
    <t>AHU05-TRANE-TWE120D300AB-12491KG1BA</t>
  </si>
  <si>
    <t>CND03-TRANE-TTAA120D300AA-13185L4JYA</t>
  </si>
  <si>
    <t>AHU08-GOODMAN-ARUF6000A1A-508793921</t>
  </si>
  <si>
    <t>CND09-GOODMAN-CPLE601C-507030999</t>
  </si>
  <si>
    <t>AHU07-GOODMAN-ARUF04800A1A-505002886</t>
  </si>
  <si>
    <t>CND01-GOODMAN-CKL491L-510028890</t>
  </si>
  <si>
    <t>CND02-TRANE-TTA120H300AA-16232TCSYA</t>
  </si>
  <si>
    <t>CDN04-TRANE-TTA12043CAB01AE0-21321241YA</t>
  </si>
  <si>
    <t>AHU06-YORK-K3EU120A33B-NKM5004330</t>
  </si>
  <si>
    <t>AHU10-TRANE-TWE120E300A-16204KYJBA</t>
  </si>
  <si>
    <t>AHU11-TRANE-TWE12043AAA04A0-21281932BA</t>
  </si>
  <si>
    <t>CND05-TRANE-4TWA3060B3000AA-15122UDN4F</t>
  </si>
  <si>
    <t>CND03-GOODMAN-GSH130603AB-808735891</t>
  </si>
  <si>
    <t>AHU03-GOODMAN-ARUF486016BA-0903740306</t>
  </si>
  <si>
    <t>AHU02-TRANE-TEM4A0C60S51SAA-15282YU92V</t>
  </si>
  <si>
    <t>AHU04-GOODMAN-ARUF486016AA-609761661</t>
  </si>
  <si>
    <t>AHU01-GOODMAN-ARUF182416AA-608226253</t>
  </si>
  <si>
    <t>CND02-GOODMAN-CPLE241C-601792726</t>
  </si>
  <si>
    <t>AHU02-TRANE-C60S51SBA-1826516E3V</t>
  </si>
  <si>
    <t>CND01-TRANE-4TWA4060A3000AA-185027DC2F</t>
  </si>
  <si>
    <t>CND04-GOODMAN-CK4-2840</t>
  </si>
  <si>
    <t>PAC01-CARRIER-52CEB312301AA-2103X56509</t>
  </si>
  <si>
    <t>WAC04-FRIEDRICK - XQ12L10AC-LJFY70736</t>
  </si>
  <si>
    <t>WAC05-FRIGIDAIRE- FFRH1222R21-KK81703990</t>
  </si>
  <si>
    <t>WIN06-GE-AWCS10WWT1-SZ053050Z</t>
  </si>
  <si>
    <t>GEN01-Caterpillar-96A01585S-5HA03600</t>
  </si>
  <si>
    <t>AHU04-TRANE-MCCA008UB000S000U-KOOK72854A</t>
  </si>
  <si>
    <t>AHU05-TRANE-MCCA008GAYOBBB000EO-KOOK72860A</t>
  </si>
  <si>
    <t>CND01-CARRIER-38ARS012511-4005G20125</t>
  </si>
  <si>
    <t>CND02-CARRIER-38ARS012511-3705G30099</t>
  </si>
  <si>
    <t>AHU02-CARRIER-40RM012B611HC-2105X08261</t>
  </si>
  <si>
    <t>AHU03-CARRIER-40RM012B611HC-3105X11552</t>
  </si>
  <si>
    <t>AHU01-TRANE-BCVB0361A-TOOK96995</t>
  </si>
  <si>
    <t>WAC01-BARD-WA421-127N96105421-02</t>
  </si>
  <si>
    <t>WAC03-EUBANK-V460B09-CF03809</t>
  </si>
  <si>
    <t>AHU06-LIEBERT-CU067AC00-304244001</t>
  </si>
  <si>
    <t>AHU07-YORK-M15H-67765044H1</t>
  </si>
  <si>
    <t>AHU09-LIEBERT-M15H-UnkSerial</t>
  </si>
  <si>
    <t>WAC04-BARD-WA421-B09 -127N961054022-02</t>
  </si>
  <si>
    <t>CND03-CARRIER-30HL-060-A-500-4797F09644</t>
  </si>
  <si>
    <t>AHU08-CARRIER-40RUAA12TA5A0A0A0-0522U29352</t>
  </si>
  <si>
    <t>CND08-CARRIER-38AUDA12A0A5A0A0A0-1622C11318</t>
  </si>
  <si>
    <t>WAC01-BARD-WA301A0ZXXXXJ-129294087243802</t>
  </si>
  <si>
    <t>GEN01-KOHLER-30REOZJB-2167842</t>
  </si>
  <si>
    <t>CDN01-TRANE-TTZ060A100A0-M1740G2HF</t>
  </si>
  <si>
    <t>GEN01-ONAN-100DYC15R19413J-L830686896</t>
  </si>
  <si>
    <t>GEN02-ONAN-30EKL35466R-I890265568</t>
  </si>
  <si>
    <t>AHU01-LENNOX-CBOU511P-5800H26777</t>
  </si>
  <si>
    <t>CND01-LENNOX-HS2604834-5801E36602</t>
  </si>
  <si>
    <t>AHU02-LENNOX-CBOU511P-5800H26786</t>
  </si>
  <si>
    <t>CND02-LENNOX-HS2604834-5801E36605</t>
  </si>
  <si>
    <t>AHU03-LENNOX-G2603756-5801E35392</t>
  </si>
  <si>
    <t>CND03-LENNOX-HS2603624-5800H34449</t>
  </si>
  <si>
    <t>AHU04-LENNOX-G26Q3756-5801E35397</t>
  </si>
  <si>
    <t>CND04-LENNOX-HS2603624-5801E33301</t>
  </si>
  <si>
    <t>UH01-LENNOX-LF24125A5-6000L29435</t>
  </si>
  <si>
    <t>GEN01-GENERAC-G55LTA2-OLY00000GXB00257</t>
  </si>
  <si>
    <t>AHU01-CARRIER-FB4CNP060L00EFAA-1918F06823</t>
  </si>
  <si>
    <t>CND01-CARRIER-25HCE460A005-2418E35811</t>
  </si>
  <si>
    <t>WAC02-BARD-W60ACB09XXXXXJ-292020376682002</t>
  </si>
  <si>
    <t>WAC03-BARD-W60A2B09XXXXXJ-325A193618715-02</t>
  </si>
  <si>
    <t>WIN01-GREE-ETAC15HP230V30AA-5014GP00474</t>
  </si>
  <si>
    <t>AHU03-TRANE-2TEC3F36A-6094CRE1V</t>
  </si>
  <si>
    <t>CND03-TRANE-2TWR3036A1000AA-5451K8F4F</t>
  </si>
  <si>
    <t>GEN01-International-127491091-DF7112</t>
  </si>
  <si>
    <t>AHU04-TRANE-TWE18043BAA04A100-22192026WA</t>
  </si>
  <si>
    <t>CND04-TRANE-TTA18043DAB01AE0-2140155BA</t>
  </si>
  <si>
    <t>AHU05-TRANE-TWE12041BAA04A00-21401555BA</t>
  </si>
  <si>
    <t>CND05-TRANE-TTA12043DAA01ASO-22041655YA</t>
  </si>
  <si>
    <t>GEN01-Onan-450EM15R16799F-F140704314</t>
  </si>
  <si>
    <t>Gas</t>
  </si>
  <si>
    <t>GEN02-Onan-50DGCA74859J-B950570044</t>
  </si>
  <si>
    <t>CND02-YORK-ND180C00D6AAA2-N1B7459805</t>
  </si>
  <si>
    <t>CND01-YORK-YD180C00A2AAA5-MN1B7418405</t>
  </si>
  <si>
    <t>AHU01-YORK-TGL5080C16MP11A-W1A0531115</t>
  </si>
  <si>
    <t>AHU02-YORK-TGL5080C16MP11A-W100748850</t>
  </si>
  <si>
    <t>CND03-YORK-YC090C00A2AAA1A-NOK9204565</t>
  </si>
  <si>
    <t>AHU03-YORK-MC48C3XN1H-W1A0542877</t>
  </si>
  <si>
    <t>CND04-YORK-MC48C3XN1H-W1A0542680</t>
  </si>
  <si>
    <t>GEN01-CATERPILLAR-3306SR4B-6YR02185</t>
  </si>
  <si>
    <t>AHU02-CARRIER-40RUAA08A2A6AOAOAO-1910U09513</t>
  </si>
  <si>
    <t>UH01-CLIMATE CONTROL-EWA4D-UnkSerial</t>
  </si>
  <si>
    <t>UH03-SINGER -EWA20-UnkSerial</t>
  </si>
  <si>
    <t>AHU01-CARRIER-40RUAA12A2A6AOAOAO-2313U22588</t>
  </si>
  <si>
    <t>AHU06-CARRIER-50TC-D14A2G5AOADA-2415P69027</t>
  </si>
  <si>
    <t>AHU04-CARRIER-50TCD14A2G5AOADA-0111G50677</t>
  </si>
  <si>
    <t>AHU05-CARRIER-50TM009511E-3409G20863</t>
  </si>
  <si>
    <t>CND02-CARRIER-38AUZB08A0G5AOAOA-1710G30037</t>
  </si>
  <si>
    <t>CND03-CARRIER-38AUDA12AoA5AoADAO-1013C91620</t>
  </si>
  <si>
    <t>CND04-CARRIER-38AUZBZA0A5A0A0A0-2217C93050</t>
  </si>
  <si>
    <t>AHU03-CARRIER-40RUAA12A2A6-3317U10034</t>
  </si>
  <si>
    <t>CND01-CARRIER-38CKC0485-1104E10473</t>
  </si>
  <si>
    <t>CND05-YORK-F+FP048H06B-SEHHS639987</t>
  </si>
  <si>
    <t>UH02-TPI-HF3215T2RPW-UNKSN</t>
  </si>
  <si>
    <t>GEN01-KOHLER-100ROZ281-175682Spec#I18600181</t>
  </si>
  <si>
    <t>AHU01-Trane-TWE024P130A0-N052J7F1V</t>
  </si>
  <si>
    <t>AHU02-Trane-TWE024P130A0-N061TUH1V</t>
  </si>
  <si>
    <t>CND02-Trane-TTR025C100A3-M402NFRBF</t>
  </si>
  <si>
    <t>CND02-DAIKEN-GSXN3N2410AA-2307184922</t>
  </si>
  <si>
    <t>AHU01-GOODMAN-ARUF29B14AC-2203351203</t>
  </si>
  <si>
    <t>CND01-GOODMAN-GSXN3N2410AA-2311237393</t>
  </si>
  <si>
    <t>AHU02-GOODMAN-AMST30BU1400AA -2307009648</t>
  </si>
  <si>
    <t>CND02-GOODMAN-GSXN3N2410AA-2307184922</t>
  </si>
  <si>
    <t>NHTNIAWH</t>
  </si>
  <si>
    <t>GEN01-KOHLER-60ROZJ81-284353Spec#18940181</t>
  </si>
  <si>
    <t>AHU01-LENNOX-CBX32M060230605-5810J13087</t>
  </si>
  <si>
    <t>CND01-LENNOX-14ACX60200011-1010G21510</t>
  </si>
  <si>
    <t>AHU02-RUDD-RH1T6024STANJA- W042236462</t>
  </si>
  <si>
    <t>CND02-RUDD-RA1360AJINA-W232238080</t>
  </si>
  <si>
    <t>GEN01-KOHLER-80REOZJBQSH-2061538</t>
  </si>
  <si>
    <t>CND01-LENNOX-XC1403623006-5813D07974</t>
  </si>
  <si>
    <t>AHU01-LENNOX-CBX32M036230605-1613D20800</t>
  </si>
  <si>
    <t>WAC01-CLIMATETEL-CT60FP39-063392</t>
  </si>
  <si>
    <t>WAC02-CLIMATETEL-CT60FP39-063192</t>
  </si>
  <si>
    <t>WAC03-EUBANK-V460B09A3FDSNB2-HB22009</t>
  </si>
  <si>
    <t>WAC04-BARD-WA60ABB06-325J193670910</t>
  </si>
  <si>
    <t>GEN01-Cummins-275NT62490152D3 -J880170177Y</t>
  </si>
  <si>
    <t>GEN02-Cummins-100DGDB3370049-D990896632</t>
  </si>
  <si>
    <t>AHU01-LIEBERT-UH125Acoo-123570A</t>
  </si>
  <si>
    <t>AHU02-TRANE-L231-K118224</t>
  </si>
  <si>
    <t>AHU03-CARRIER-FC4BWF060-2802A63782</t>
  </si>
  <si>
    <t>AHU04-CARRIER-40RM028B500GL-0599F95514</t>
  </si>
  <si>
    <t>AHU06-TRANE-RA3003A-621633B8C23628</t>
  </si>
  <si>
    <t>AHU07-CARRIER-38AH028510AA-0799F99796</t>
  </si>
  <si>
    <t>AHU08-LIEBERT-VS053ADC0E1842S-C15H8E0067</t>
  </si>
  <si>
    <t>AHU03-TRANE-TWE30043BAA07BD025-24251560WA</t>
  </si>
  <si>
    <t>AHU07-TRANE-TTA30043CAA03BS01023-24335036TA</t>
  </si>
  <si>
    <t>AHU09-LIEBERT-MC056E8YDA813-Y15HAX0005</t>
  </si>
  <si>
    <t>GEN01-MARATHON-500FDC3043AB-BH967672931</t>
  </si>
  <si>
    <t>AHU01-LIEBERT-UH199AC00-137824A</t>
  </si>
  <si>
    <t>CND01-LIEBERT-C0F291Y-88110315</t>
  </si>
  <si>
    <t>AHU02-TRANE-TWE180B300CA-2251JLD6H</t>
  </si>
  <si>
    <t>CND02-TRANE-TWA180B300DA-Z244P1BAH</t>
  </si>
  <si>
    <t>AHU01-CARRIER- 40RUAA16T2A50A0A0-5222U08980</t>
  </si>
  <si>
    <t>CND01-CARRIER-38AUDU16A050A0A0-3723P86602</t>
  </si>
  <si>
    <t>CND02-TRANE-TTA090A3008A-G05198694</t>
  </si>
  <si>
    <t>CND01-TRANE-TWA060A300A2-G04271661</t>
  </si>
  <si>
    <t>AHU02-TRANE-TWE090A300BA-G05171306</t>
  </si>
  <si>
    <t>AHU01-TRANE-TWE060A300BA-G04171036</t>
  </si>
  <si>
    <t>GEN01-CUMMINSONAN-75DVB15R-3840733040</t>
  </si>
  <si>
    <t>PAC01-TRANE-TCH090D300AA-G04143388D</t>
  </si>
  <si>
    <t>RTU01-TRANE-TCH090D330AA-6041433B88</t>
  </si>
  <si>
    <t>GEN01-Olympian-DC0P1-D4751A002</t>
  </si>
  <si>
    <t>WAC01-BARD-WA602A10-153L05209430</t>
  </si>
  <si>
    <t>AHU01-CARRIER-FB4CNFD48-5112A85410</t>
  </si>
  <si>
    <t>CND01-CARRIER-24ABB348A510-1215E22466</t>
  </si>
  <si>
    <t>WAC02-Eubanks-EAA1060AA000N-2210F30079205</t>
  </si>
  <si>
    <t>AHU02-GOODMAN-BCS2M48COONA1P-1-6006L08611</t>
  </si>
  <si>
    <t>CND02-GOODMAN-2HP13B48P-1B-4607G20151</t>
  </si>
  <si>
    <t>CND02-CARRIER-09DE016510-4398F78575</t>
  </si>
  <si>
    <t>AHU01-BRYANT-524JE08A000A2AAAA-2612U27959</t>
  </si>
  <si>
    <t>GEN02-CUMMINS-DSGAE1510853-F150839310</t>
  </si>
  <si>
    <t>AHU02-LIEBERT-UD199A-386197003</t>
  </si>
  <si>
    <t>AHU03-CARRIER-50BZN0165-3098B14066</t>
  </si>
  <si>
    <t>CND04-BRYANT-56JP08A000A00A0AA-2212C94010</t>
  </si>
  <si>
    <t>AHU04-BRYANT-524JE16A000A20AAAA-3715U17256</t>
  </si>
  <si>
    <t>CND01-LIEBERT-VS070ADCOE1488A-C12G8E0192</t>
  </si>
  <si>
    <t>CND03-LIEBERT-TCDV308-Y-C12HF3579</t>
  </si>
  <si>
    <t>CND05-BRYANT-569JP16A000A00A0-3015O49009</t>
  </si>
  <si>
    <t>CND06-LIEBERT-unk-unk</t>
  </si>
  <si>
    <t>PAC01-CARRIER-50TC-A06A2A5A0A0A0-3013C69402</t>
  </si>
  <si>
    <t>AHU05-CARRIER-38AUDA16A0A5A0A0A0-2322P30048</t>
  </si>
  <si>
    <t>AHU02-LIEBERT-UD199A-35527</t>
  </si>
  <si>
    <t>CND04-BRYANT-56JP08A000A00A0AA-2212C94019</t>
  </si>
  <si>
    <t>CND06-LIEBERT-D0490-F81207</t>
  </si>
  <si>
    <t>AHU06-CARRIER-40RUAA16T2A5AA0A0A0-0522U29366</t>
  </si>
  <si>
    <t>GEN01-Kohler-125REOZJD-2177349</t>
  </si>
  <si>
    <t>CND01-CARRIER-09AZV012V5-2761790101M04</t>
  </si>
  <si>
    <t>AHU02-Carrier-50BZN0085-1896B24122</t>
  </si>
  <si>
    <t>CND02-CARRIER-9AB8114-3595X00952</t>
  </si>
  <si>
    <t>AHU01-Carrier-50BZN01251-1004B53989</t>
  </si>
  <si>
    <t>CND03-BRYANT-569JP08A000A00A0A-1521C94087</t>
  </si>
  <si>
    <t>AHU03-BRYANT-524JE08A000A20AAAA-2721U22515</t>
  </si>
  <si>
    <t>AHU01-YORK-NS10C00CTBAA4-N2F259A187</t>
  </si>
  <si>
    <t>CND01-YORK-YC120C00A2AAA6-N2B4156508</t>
  </si>
  <si>
    <t>AHU02-YORK-NS10C00CTBAA4-N2K0251431</t>
  </si>
  <si>
    <t>CND02-YORK-YC120C00A2AAA6-N2B4159566</t>
  </si>
  <si>
    <t>CND01-BRYANT-569JP124000A00A0AA-2214C94025</t>
  </si>
  <si>
    <t>GEN02-CUMMINS-DSFAE1510854-F150838815</t>
  </si>
  <si>
    <t>AHU01-CARRIER-40RUAA12A1A6AA0-2914U02244</t>
  </si>
  <si>
    <t>CND02-CARRIER-38AUDA12A0A5AA0-2914C90880</t>
  </si>
  <si>
    <t>AHU02-BRYANT-524JE12A000A20-1414U12361</t>
  </si>
  <si>
    <t>CND01-BRYANT-569JP124000A00A0AA-2214C94026</t>
  </si>
  <si>
    <t>AHU02-Carrier-40RM008B611HC-2502F61200</t>
  </si>
  <si>
    <t>CND02-CARRIER-38ARS008501-2402G20039</t>
  </si>
  <si>
    <t>AHU03-Liebert-CU66A-P09317</t>
  </si>
  <si>
    <t>CND03-LIEBERT-CSF086P-84120368</t>
  </si>
  <si>
    <t>GEN02-CUMMINS-DGHDB1510752-F150838812</t>
  </si>
  <si>
    <t>CND01-CARRIER-38ARS008501-2721C92090</t>
  </si>
  <si>
    <t>AHU01-CARRIER-40RMUAA08T2A50A0A0-2120U11336</t>
  </si>
  <si>
    <t>CND01-CARRIER-38ARS008501-2721C92070</t>
  </si>
  <si>
    <t>GEN01-ONAN-350DFN17R28938C-C840742116</t>
  </si>
  <si>
    <t>AHU01-CARRIER-40RM024B500HC-4696F40675</t>
  </si>
  <si>
    <t>CND11-BOHN-BDT1000H2C-T06E02830</t>
  </si>
  <si>
    <t>AHU02-CARRIER-FB4ANF036-1696A13352</t>
  </si>
  <si>
    <t>CND02-CARRIER-38TRA036331-'1496E00085</t>
  </si>
  <si>
    <t>AHU03-CARRIER-40QNC0363-2911D00863</t>
  </si>
  <si>
    <t>AHU04-CARRIER-40RM008B61OHC-3000F18283</t>
  </si>
  <si>
    <t>AHU05-CARRIER-40RM012H611HC-0406X00959</t>
  </si>
  <si>
    <t>AHU06-CARRIER-40RM012H611HC-0406X00957</t>
  </si>
  <si>
    <t>AHU07-CARRIER-FB4ANF01800-2199A16466</t>
  </si>
  <si>
    <t>AHU10-CARRIER-40RM012B610GC-2100F03974</t>
  </si>
  <si>
    <t>CND03-CARRIER-38HDF036301-1012X92689</t>
  </si>
  <si>
    <t>CND04-CARRIER-BDT1000H2C-T06A12222</t>
  </si>
  <si>
    <t>CND05-BOHN-BDT1000H2C-T060E02828</t>
  </si>
  <si>
    <t>CND06-BOHN-BDT1000H2C-T06E02827</t>
  </si>
  <si>
    <t>CND07-CARRIER-38TRA018321-3199E21858</t>
  </si>
  <si>
    <t>CND08-TRANE-CAUB020E1A01-J85F60450</t>
  </si>
  <si>
    <t>CND09-CARRIER-38AKS012501-3501G01122</t>
  </si>
  <si>
    <t>CND10-CARRIER-35AK5012501-3200G04131</t>
  </si>
  <si>
    <t>AHU12-CARRIER-40RM024B500HC-4696F40674</t>
  </si>
  <si>
    <t>CND12-BOHN-BDT1000H2C-T06A12221</t>
  </si>
  <si>
    <t>CND13-CARRIER-38AKS008501-1200G00007</t>
  </si>
  <si>
    <t>AHU08-TRANE-L17-K6K782</t>
  </si>
  <si>
    <t>AHU09-CARRIER-40RM008B600HC-1300F89974</t>
  </si>
  <si>
    <t>AHU11-CARRIER-4RM012B610GC-2100F04009</t>
  </si>
  <si>
    <t>RTU01-DAIKIN-CUR100FYYY 0650751010-5UM8420101</t>
  </si>
  <si>
    <t>RTU02-DAIKIN-CUR075FYYY-5UL8400400</t>
  </si>
  <si>
    <t>RTU03-DAIKIN-CUR075FYYY-5UL8400500</t>
  </si>
  <si>
    <t>RTU04-CARRIER-50TCD12A2A5A0A0A0-2016P31243</t>
  </si>
  <si>
    <t>RTU05-RUUD-UKKAA060CK13E-2A5643ADAF510008896</t>
  </si>
  <si>
    <t>RTU06-DAIKIN-CUR100FYYY-5UC840900</t>
  </si>
  <si>
    <t>CND14-BOHN-BDT1000H20-T06E02829</t>
  </si>
  <si>
    <t>AHU03-CARRIER-40MAHBQ36XA3-3023V10119</t>
  </si>
  <si>
    <t>CND03-CARRIER-38MARBQ36AA301-3223V15961</t>
  </si>
  <si>
    <t>CND01-BOHN-BDT1000H2C-T0602829</t>
  </si>
  <si>
    <t>GEN01-CATERPILLAR-D606-CAT00C44KGLD00759</t>
  </si>
  <si>
    <t>AHU01-LIEBERT-UH114AUC00-308078001</t>
  </si>
  <si>
    <t>CND01-LIEBERT-FH199AC01-</t>
  </si>
  <si>
    <t>AHU02-LIEBERT-UH114AUC00-308078002</t>
  </si>
  <si>
    <t>CND02-LIEBERT-FH199AC01-</t>
  </si>
  <si>
    <t>AHU03-DAIKIN-FHQ4ZMVSU-E001641</t>
  </si>
  <si>
    <t>CND03-DAIKIN-RZQ42PVJU9-E002265</t>
  </si>
  <si>
    <t>CND01-LIEBERT-CDF165LP-94050159</t>
  </si>
  <si>
    <t>CND02-LIEBERT-CDF165LP-94050136</t>
  </si>
  <si>
    <t>GEN01-CATERPILLAR-SRCR-100TH3439</t>
  </si>
  <si>
    <t>AHU02-CARRIER-40RM008B611HC-3508625235</t>
  </si>
  <si>
    <t>AHU03-CARRIER-40RM008B611HC-309400964</t>
  </si>
  <si>
    <t>CND01-CARRIER-40RUAA08A2A6A0A0A0-1413U12955</t>
  </si>
  <si>
    <t>AHU01-CARRIER-38AUZA08A0A5A0A0A0-3012C91342</t>
  </si>
  <si>
    <t>CND02-CARRIER-38ARZ008501-0108G50113</t>
  </si>
  <si>
    <t>CND03-CARRIER-38ARX008511-0609G50086</t>
  </si>
  <si>
    <t>AHU04-SURE-SH1C60245TANJA-W421902918</t>
  </si>
  <si>
    <t>CND04-SURE-SA1360AC1NB-M232023297</t>
  </si>
  <si>
    <t>CND01-CARRIER-CAC060HAA-L0112320272</t>
  </si>
  <si>
    <t>WAC02-LIEBERT-ET060APOB-325749002</t>
  </si>
  <si>
    <t>WAC03-LIEBERT-ET060APOB-325749001</t>
  </si>
  <si>
    <t>AHU01-CARRIER-CAC060HAA-N551285</t>
  </si>
  <si>
    <t>GEN01-CUMMINS-DSGAC1739911-E170191710</t>
  </si>
  <si>
    <t>WAC04-LIEBERT-ET0607RP0BTA966-Y15KH50001</t>
  </si>
  <si>
    <t>WAC05-MARVAIR-MAA1060AA100N-2009F17662001</t>
  </si>
  <si>
    <t>WAC04-BARD-W60AFA05XWXXXJ-10065719</t>
  </si>
  <si>
    <t>CND01-TRANE-4TTB3060A1000BA-9255W342F</t>
  </si>
  <si>
    <t>CND02-TRANE-4TEC3F60B1000AA-9263T5T2V</t>
  </si>
  <si>
    <t>PAC01-TRANE-2TWR1060A1000BA-5261N6DTF</t>
  </si>
  <si>
    <t>AHU04-TRANE-TWE060P13080-5493WK42V</t>
  </si>
  <si>
    <t>GEN01-KOHLER/GENSET-40REOZK-33FYGMC0017</t>
  </si>
  <si>
    <t>GEN01-KOHLER-100RE0ZJF-SGM323MPL</t>
  </si>
  <si>
    <t>AHU03-YORK-H5CE090A25A-NFMM071565</t>
  </si>
  <si>
    <t>AHU04-YORK-H5CE090A25A-NFMM071566</t>
  </si>
  <si>
    <t>AHU01-TRANE-m14-KOD177710</t>
  </si>
  <si>
    <t>CND02-LIEBERT-DD0260Y-0643C91579</t>
  </si>
  <si>
    <t>AHU02-LIEBERT-VS035KDC0EI144A-C11GBH0003</t>
  </si>
  <si>
    <t>GEN01-Cummins-A257262-231154</t>
  </si>
  <si>
    <t>AHU01-LIEBERT-UH114AC00-133838A</t>
  </si>
  <si>
    <t>CND01-LIEBERT-DCDF1304-8807004</t>
  </si>
  <si>
    <t>GEN01-ONAN-75ODYC15R12221K-B830650374</t>
  </si>
  <si>
    <t>AHU01-LENNOX-G16Q41001-5884A11754</t>
  </si>
  <si>
    <t>AHU02-LENNOX-G16Q41001-5884A11757</t>
  </si>
  <si>
    <t>AHU05-LENNOX-G16Q41001-5884A11755</t>
  </si>
  <si>
    <t>AHU06-LENNOX-G16Q41001-5884A11750</t>
  </si>
  <si>
    <t>CND04-TRANE-TTA120G300AA-16392131YA</t>
  </si>
  <si>
    <t>CND02-CARRIER-38ARZ008511-2608G10140</t>
  </si>
  <si>
    <t>CND03-TRANE-TTA090G300AA-16475R7KYA</t>
  </si>
  <si>
    <t>AHU08-TRANE-TUD1C100A9601BA-16375WG21G</t>
  </si>
  <si>
    <t>AHU07-TRANE-TUD1C100A9601BA-16332PUX1G</t>
  </si>
  <si>
    <t>AHU04-TRANE-TUD1C100A9481BA-16421X7X1G</t>
  </si>
  <si>
    <t>AHU03-TRANE-TUD1C100A9481BB-16524N951G</t>
  </si>
  <si>
    <t>CND01-YORK-HIRA076S25H-W0H5827921</t>
  </si>
  <si>
    <t>CND05-CARRIER-FB4CNF048-1711A82981</t>
  </si>
  <si>
    <t>GEN01-Kohler-100ROZJ-691192</t>
  </si>
  <si>
    <t>AHU01-CARRIER-FB4CNP060-2614A91718</t>
  </si>
  <si>
    <t>AHU02-CARRIER-FB4CNP060-0314A88464</t>
  </si>
  <si>
    <t>CND01-CARRIER-38AUDA12A0A5A0P0A0-5013C94020</t>
  </si>
  <si>
    <t>AHU03-CARRIER-FB4CNF048-1711A82981</t>
  </si>
  <si>
    <t>CND02-CARRIER-24ABB348A310-1811E01030</t>
  </si>
  <si>
    <t>AHU04-FEDDERS-HVB03605-6841242</t>
  </si>
  <si>
    <t>CND04-YORK-H2CB036506A-MGWM306635</t>
  </si>
  <si>
    <t>AHU06-YORK-N2AH014A06C-EFYS112799</t>
  </si>
  <si>
    <t>CND06-YORK-H2C3036525A-MHY2454477</t>
  </si>
  <si>
    <t>AHU07-YORK-N2AH016A06C-EFYS188652</t>
  </si>
  <si>
    <t>CND07-YORK-H2CB048525A-MKYM257530</t>
  </si>
  <si>
    <t>AHU08-YORK-42AHD16A06C-EDYS063006</t>
  </si>
  <si>
    <t>AHU09-YORK-N2AHD16A06C-EEYS082578</t>
  </si>
  <si>
    <t>CND09-YORK-H2CB048525A-MKYM257533</t>
  </si>
  <si>
    <t>AHU10-YORK-N2AHD16A06C-EEYS108162</t>
  </si>
  <si>
    <t>CND10-YORK-H2CB0485258-MKYM257534</t>
  </si>
  <si>
    <t>AHU12-FEDDERS-MC426H-691192</t>
  </si>
  <si>
    <t>AHU11-YORK-NC090C00B6AAAA2-N2L1549226</t>
  </si>
  <si>
    <t>CND11-YORK-N2L1549226-N2B2065432</t>
  </si>
  <si>
    <t>CND12-YORK-YC090C00A2AAA5-W045803702</t>
  </si>
  <si>
    <t>AHU13- HVB03605-Unk Serial</t>
  </si>
  <si>
    <t>CND03-YORK-H2CB048525A-EFEM239266</t>
  </si>
  <si>
    <t>AHU05-FEDDERS-HBV485-5772636</t>
  </si>
  <si>
    <t>AHU07-YORK-JHE48C5CG2SS1B-W2L5700488</t>
  </si>
  <si>
    <t>CND07-YORK-YC448E2S11A-C2E5807788</t>
  </si>
  <si>
    <t>GEN01-Cummins-CC534C-3052031</t>
  </si>
  <si>
    <t>AHU01-CARRIER-40RM024B611GC-3102F69392</t>
  </si>
  <si>
    <t>AHU02-LIEBERT-DH12AAAE1S426-CO8J010037</t>
  </si>
  <si>
    <t>CND01-CARRIER-38AKS021620-3102F69610</t>
  </si>
  <si>
    <t>AHU04-TRANE-TWV736A140A0-C06343931</t>
  </si>
  <si>
    <t>CND02-UnkMan-PH13NR036F-0408X74535</t>
  </si>
  <si>
    <t>CND03-LIEBERT-DCDF205A-C12E2F2258</t>
  </si>
  <si>
    <t>CND04-LIEBERT-DCDF205A-0838C15388</t>
  </si>
  <si>
    <t>CND06-LIEBERT-DS035ASA0E1467A-C12D8E0174</t>
  </si>
  <si>
    <t>AHU05-TRANE-TTA240H400A-16421879TA</t>
  </si>
  <si>
    <t>CND05-TRANE-TWE240E400B-16384LEHWA</t>
  </si>
  <si>
    <t>CND04-38TH030310DL-2589E54902</t>
  </si>
  <si>
    <t>CND02-UnkMan-PH13NR036F-0408X74536</t>
  </si>
  <si>
    <t>AHU05-TRANE-TTA240H400A-16421579TA</t>
  </si>
  <si>
    <t>WAC01-BARD-W24A1A0Z-314F10270004802</t>
  </si>
  <si>
    <t>CND01-TRANE-4TWA3048A3000AA-9294RTE2F</t>
  </si>
  <si>
    <t>CND02-TRANE-TWR030C100A2-H21263673</t>
  </si>
  <si>
    <t>CND03-TRANE-2TWA0060A3000AB-742319W1F</t>
  </si>
  <si>
    <t>CND04-TRANE-4TWA3030A1000BA-9241WHS4F</t>
  </si>
  <si>
    <t>CND05-TRANE-TWR036C100A2-M0755B0CF</t>
  </si>
  <si>
    <t>AHU01-TRANE-4TEC3F30B1000AA-92821111V</t>
  </si>
  <si>
    <t>AHU02-TRANE-2TEC3F60B1000AA-74543TX2V</t>
  </si>
  <si>
    <t>AHU03-TRANE-TWV036B140A1-M06340609</t>
  </si>
  <si>
    <t>AHU04-TRANE-4TEC3F48B1000AA-9303L7T2V</t>
  </si>
  <si>
    <t>AHU05-TRANE-TWH03CB140A1-H20365073</t>
  </si>
  <si>
    <t>CND02-TRANE-4TWR4030G1000AB-21432PTN4F</t>
  </si>
  <si>
    <t>AHU02-TRANE-TEM4B0C60S51SAA-244320093V</t>
  </si>
  <si>
    <t>AHU05-TRANE-TEM4A0B305315BA-S1439VPP3V</t>
  </si>
  <si>
    <t>AHU06-TRANE-4TEC3F48B1000AA-9303L7T2V</t>
  </si>
  <si>
    <t>GEN01-DETROIT-10637305-06A0343274</t>
  </si>
  <si>
    <t>WAC01-BARD-WA602-154J05205838602</t>
  </si>
  <si>
    <t>WAC02-BARD-WA242-14K02175374002</t>
  </si>
  <si>
    <t>CND01-CARRIER-38AUZA16A0G5A0A0A-2310U12875</t>
  </si>
  <si>
    <t>CND02-CARRIER-38AUZA16A0G5A0A0A0-0311U02515</t>
  </si>
  <si>
    <t>CND04-TRANE-2TWR2024A1000AB-52614W44F</t>
  </si>
  <si>
    <t>AHU01-CARRIER-40RUAA16A2A6A0A0A0-311Q420376</t>
  </si>
  <si>
    <t>AHU02-CARRIER-40RUQA16A2A6A0A0A0-1411U12844</t>
  </si>
  <si>
    <t>AHU04-TRANE-TWE024P13080-52527PX2V</t>
  </si>
  <si>
    <t>AHU05-TRANE-TWE061D300AA-15361N5EBA</t>
  </si>
  <si>
    <t>CND05-TRANE-4TTA3060D3000CA-15353KR25F</t>
  </si>
  <si>
    <t>AHU03-Trane-TTA12043DAA03BS01000-23512936YA</t>
  </si>
  <si>
    <t>CND03-Trane-TWE12043BAA04A000-22151242BA</t>
  </si>
  <si>
    <t>AHU05-TRANE-5TEM4D07AC51SA-244735SP3V</t>
  </si>
  <si>
    <t>CND05-TRANE-5TTA4060A3000A-25063395KF</t>
  </si>
  <si>
    <t>GEN01-Cummins-125CT6034803-F890248421</t>
  </si>
  <si>
    <t>CND01-LIEBERT-24ABB360A340-4316E02420</t>
  </si>
  <si>
    <t>CND01-CARRIER-24ABB360A340-4316E02420</t>
  </si>
  <si>
    <t>AHU02-CARRIER-FB4CNP060L00AEA0-3215A85668</t>
  </si>
  <si>
    <t>CND02-TRANE-4TTA3060D3000DA-24402P9A5F</t>
  </si>
  <si>
    <t>CND03-TRANE-4TTA3060D3000DA-24402PU25F</t>
  </si>
  <si>
    <t>AHU01-TRANE-TWE12043BAAP01H-24391727BA</t>
  </si>
  <si>
    <t>AHU02-LIEBERT-CDF1304-8904189</t>
  </si>
  <si>
    <t>AHU03-LIEBERT-CD130Y-3068512</t>
  </si>
  <si>
    <t>GEN01-CUMMINS-4BT39G2-A900292299</t>
  </si>
  <si>
    <t>AHU01-TRANE-TWE06043AAA04A10-21092272BA</t>
  </si>
  <si>
    <t>CND01-TRANE-4TTA3060D30000DA-21085SLD5F</t>
  </si>
  <si>
    <t>AHU02-AMERICAN STANDARD-TWE061D300AA-17271WRRBA</t>
  </si>
  <si>
    <t>CND02-AMERICAN STANDARD-AMS4A7C3060-16105M5D5F</t>
  </si>
  <si>
    <t>GEN01-STEWART&amp;STEVENSON-8V92CDT73155B-131219</t>
  </si>
  <si>
    <t>AHU03-LIEBERT-VS035ADC0E1284A-C116E8E0155</t>
  </si>
  <si>
    <t>AHU04-LIEBERT-VS035ADC0E1284A-C116E8E0156</t>
  </si>
  <si>
    <t>AHU05-TRANE-CRHE500B3C1POR1C2B0-N11K05061</t>
  </si>
  <si>
    <t>AHU02-YORK-AEG0CX21B-W206502908</t>
  </si>
  <si>
    <t>AHU01-BARD-WC0HCA05XXXXXJ-289H213877607-02</t>
  </si>
  <si>
    <t>CND01-BARD-4CE60CX21B-W1A6266795</t>
  </si>
  <si>
    <t>CND02-LIEBERT-MCM080E8YDF914-416EA40089</t>
  </si>
  <si>
    <t>CND03-LIEBERT-MCM080E8YDF914-416EAY0090</t>
  </si>
  <si>
    <t>GEN01-DETROIT-DDC90-17296</t>
  </si>
  <si>
    <t>AHU01-CARRIER-50BU006530-1092F89076</t>
  </si>
  <si>
    <t>AHU02-CARRIER-FB4CNP060-2015A82511</t>
  </si>
  <si>
    <t>CND02-CARRIER-113APA0606-1615E18937</t>
  </si>
  <si>
    <t>CND01-CARRIER-9AB6114-0492XO3811</t>
  </si>
  <si>
    <t>AHU01-BRYANT-FJ4DNXD60-4323F07952</t>
  </si>
  <si>
    <t>CND01-BRYANT-114SAN060A-1124E00346</t>
  </si>
  <si>
    <t>RCFDOHXA</t>
  </si>
  <si>
    <t>GEN01-Cummins-100DGDB5779074-K060989456</t>
  </si>
  <si>
    <t>WAC01-LIEBERT-UH125ACO1-87547A</t>
  </si>
  <si>
    <t>WAC02-LIEBERT-COF1304-85020118</t>
  </si>
  <si>
    <t>WAC03-DATAAIRE-GFAU-03532-2022-0328-A</t>
  </si>
  <si>
    <t>WAC04-DATAAIRE-GHRC-03932-2022-0329-A</t>
  </si>
  <si>
    <t>GEN01-CATERPILLAR-SR4-6JA01822</t>
  </si>
  <si>
    <t>AHU01-CARRIER-FB4CNF066T00A-3612A83259</t>
  </si>
  <si>
    <t>WAC01-LIEBERT-FH114AUCP-120676A</t>
  </si>
  <si>
    <t>WAC02-LIEBERT-FH114AUC10-120676B</t>
  </si>
  <si>
    <t>CND01-CARRIER -24ABB360A320-321E00120</t>
  </si>
  <si>
    <t>WAC03-YORK-AE36BX21C-WIH7035464</t>
  </si>
  <si>
    <t>CND01-YORK-YCD36B21SA-W1A7365690</t>
  </si>
  <si>
    <t>AHU03-YORK-AE36BX21C-WIH7035464</t>
  </si>
  <si>
    <t>GEN01-KOHLER-275RE0ZJE-5GM3228GL</t>
  </si>
  <si>
    <t>AHU01-TRANE-TWE300E400AA-18123RBAWA</t>
  </si>
  <si>
    <t>CND01-TRANE-TTA300J400AA-18101XWDTA</t>
  </si>
  <si>
    <t>AHU02-TRANE-TYPE21-U80D14079</t>
  </si>
  <si>
    <t>CND02-TRANE-TTA30044CABO1AE01-20101292TA</t>
  </si>
  <si>
    <t>GEN01-DETROIT-680FDR8060GG-P528-NA-3043135</t>
  </si>
  <si>
    <t>CND02-Carrier-30AH064F621BA-4213Q64364</t>
  </si>
  <si>
    <t>AHU04-CARRIER-CS402SVFCDPY-83916425AH1</t>
  </si>
  <si>
    <t>AHU03-YORK-NJ20C00ESAAA2-N1B7464131</t>
  </si>
  <si>
    <t>CND03-Hankinson-YJ20C00AWAEA4-N1C7518509</t>
  </si>
  <si>
    <t>AHU01-RHEEM-RHIT60245TNJA-W201626123</t>
  </si>
  <si>
    <t>AHU02-CARRIER-CS402SUFCDTY-83-916425-A-H-1</t>
  </si>
  <si>
    <t>CND01-RUUD-RA146DAJINA-W221600770</t>
  </si>
  <si>
    <t>CND04-CARRIER-38AH-064-E621BA-4215Q64366</t>
  </si>
  <si>
    <t>AHU05-TRANE-000-21222131TA</t>
  </si>
  <si>
    <t>CND05-TRANE-TWE35055BAA050-21252345WA</t>
  </si>
  <si>
    <t>CND04-CARRIER-38AH-064-E621BA-4215Q64364</t>
  </si>
  <si>
    <t>AHU06-CARRIER-38AH064E621BA-215Q64366</t>
  </si>
  <si>
    <t>SHBGKYAB</t>
  </si>
  <si>
    <t>WAC01-BARD-WA421A10XXXXXH-126A95089994902</t>
  </si>
  <si>
    <t>GEN01-OLYMPIAN-D60P3-OLY00000TNPF03771</t>
  </si>
  <si>
    <t>AHU01-LENNOX-CB29M651P-5898B26755</t>
  </si>
  <si>
    <t>CND01-TRANE-2TTA3060AB000BA-14265KJA4F</t>
  </si>
  <si>
    <t>CND02-LENNOX-CB29M6511-5898326756</t>
  </si>
  <si>
    <t>AHU02-CARRIER-24A135360A500-4308E11775</t>
  </si>
  <si>
    <t>AHU01-TRANE-TWE090A300BA-H21175745</t>
  </si>
  <si>
    <t>AHU02-TRANE-TWE000A300BA-H2117546</t>
  </si>
  <si>
    <t>AHU03-TRANE-TWE000A300BA-H21175744</t>
  </si>
  <si>
    <t>GEN01-CUMMINS-60GGHE5003821-J010301227</t>
  </si>
  <si>
    <t>CND01-TRANE-TTA090A300BA-H20198960</t>
  </si>
  <si>
    <t>CND02-TRANE-TTA090A300BA-847101696L</t>
  </si>
  <si>
    <t>CND03-TRANE-TTA090A300BA-H20198020</t>
  </si>
  <si>
    <t>CND04-TRANE-2TTA0048A3000AA-438283N3F</t>
  </si>
  <si>
    <t>CND05-TRANE-2TTA0048A3000AA-4383J7U3F</t>
  </si>
  <si>
    <t>AHU04-TRANE-TXC049C4HP00-4324NBT5G</t>
  </si>
  <si>
    <t>AHU05-TRANE-TXC049C4HP00-43450EH5G</t>
  </si>
  <si>
    <t>AHU06-TTA090A300BA-H20198023</t>
  </si>
  <si>
    <t>CND06-TRANE-TUX100C948D3-44254XL76</t>
  </si>
  <si>
    <t>AHU07-TRANE-TUX100C94803-44254XF7G</t>
  </si>
  <si>
    <t>AHU02-TRANE-TWE090K3AAAP01L-25511053BA</t>
  </si>
  <si>
    <t>CND03-TRANE-TTA090K3AAAE02Q-25481709YA</t>
  </si>
  <si>
    <t>GEN01-CUMMINS-200DFAA-E960606698</t>
  </si>
  <si>
    <t>AHU06-CARRIER-FB4CNF042-2612A84331</t>
  </si>
  <si>
    <t>AHU05-CARRIER-FB4CNF042-2612A84325</t>
  </si>
  <si>
    <t>AHU01-TRANE-TWE090D100AA-14124NKEBA</t>
  </si>
  <si>
    <t>AHU07-TRANE-TWE090A100BA-H21175682</t>
  </si>
  <si>
    <t>AHU02-CARRIER-FB4CNF060-304A87994</t>
  </si>
  <si>
    <t>CND01-TRANE-TTA090D300AA-14123502YA</t>
  </si>
  <si>
    <t>CND02-CARRIER-24ABB360A320-2511E05706</t>
  </si>
  <si>
    <t>CND03-RHEEM-RAND030JA2-7294M50060X459</t>
  </si>
  <si>
    <t>CND04-HEIL-N2A34BA-E063402</t>
  </si>
  <si>
    <t>CND05-CARRIER-25HBC336A300-2112E26399</t>
  </si>
  <si>
    <t>CND06-CARRIER-25HBC336A300-2312E27796</t>
  </si>
  <si>
    <t>AHU03-CARRIER-58STA110-3904A43293</t>
  </si>
  <si>
    <t>AHU04-HEIL-N8MPN100F20B1-A060946224</t>
  </si>
  <si>
    <t>CND07-TRANE-TTA090A300BA-H26198536</t>
  </si>
  <si>
    <t>AHU02-CARRIER-FB4CNF060-3011A87994</t>
  </si>
  <si>
    <t>CND01-TRANE-TTA090D300AA-14123SU2YA</t>
  </si>
  <si>
    <t>CND03-RHEEM-RAND030JA2-7294M500608459</t>
  </si>
  <si>
    <t>RTU01-RHEEM-RGEA14060AJT101AB-F112001275</t>
  </si>
  <si>
    <t>AHU08-Rheem-RH1P6024STANJA-92220502001</t>
  </si>
  <si>
    <t>CND08-Rheem-RA1460CC1NB-W402351454</t>
  </si>
  <si>
    <t>GEN01-KOHLER-60ROZJ-691196</t>
  </si>
  <si>
    <t>PAC01-TRANE-TSC060E3E0A00000000-938100045 L</t>
  </si>
  <si>
    <t>AHU01-TRANE-2TEC3F60B1000AA-73348FG2V</t>
  </si>
  <si>
    <t>CND01-TRANE-2TTA3060A3000AA-83120A54F</t>
  </si>
  <si>
    <t>PAC02-GE-BTC048D300B0-221790A16</t>
  </si>
  <si>
    <t>AHU02-YORK-JHE60C5CH2SS1A-W2F5164486</t>
  </si>
  <si>
    <t>CND02-YORK-XC360E3S11A-C2F5009611</t>
  </si>
  <si>
    <t>AHU03-YORK-JHE60C5CH2SS1A-W2F5164449</t>
  </si>
  <si>
    <t>CND03-YORK-XC360E3S11A-C2F5009612</t>
  </si>
  <si>
    <t>GEN01-CUMMINS-ONAN-G920476571</t>
  </si>
  <si>
    <t>WAC01-ARMSTRONG-LCC120SN1Y-5602E00321</t>
  </si>
  <si>
    <t>CND02-ALLIED-TSA090S4-5614B02334</t>
  </si>
  <si>
    <t>AHU01-ALLIED-TAA090S4D1Y-5614A09791</t>
  </si>
  <si>
    <t>AHU02-ALLIED-CB17953-5608B01990</t>
  </si>
  <si>
    <t>CND01-ALLIED-TSA090S4SN1Y-5615D04892</t>
  </si>
  <si>
    <t>PAC01-LENNOX-TCA240S2BN1Y-5606D5152</t>
  </si>
  <si>
    <t>GEN01-KOHLER-230ROZ71-86873</t>
  </si>
  <si>
    <t>CND02-Rudd-RAWL-240DA2-F011801743</t>
  </si>
  <si>
    <t>CND01-Trane-TTA24044CAA01AS0-20371367TA</t>
  </si>
  <si>
    <t>CND03-CARRIER-38BA008630-4280G12981</t>
  </si>
  <si>
    <t>AHU01-Trane-TWE24044BAA04A10-20371644WA</t>
  </si>
  <si>
    <t>AHU02-Rudd-RHGL-2402K-F331802485</t>
  </si>
  <si>
    <t>AHU03-LENNOX-CB17-95U1-5490B00064</t>
  </si>
  <si>
    <t>GEN01-Marathon-502FDR7024JJW-SA19520331151</t>
  </si>
  <si>
    <t>GEN02-STEWART&amp;STEVENSON-TM4GDT150-12757323</t>
  </si>
  <si>
    <t>AHU05-TRANE-M31-K2L227066</t>
  </si>
  <si>
    <t>AHU06-TRANE-L12-K22223067</t>
  </si>
  <si>
    <t>AHU03-LIEBERT-CCBB08CEGD0-K85M85286</t>
  </si>
  <si>
    <t>AHU01-LIEBERT-FH376CC01-107039A</t>
  </si>
  <si>
    <t>AHU02-LIEBERT-FH376C01-107039B</t>
  </si>
  <si>
    <t>AHU04-LIEBERT-M6-K2L227068</t>
  </si>
  <si>
    <t>GEN01-CUMMINS-60DGCBH-H880147892</t>
  </si>
  <si>
    <t>PAC01-TRANE-YCC060F3M0BH-22011XT2H</t>
  </si>
  <si>
    <t>WAC02-BARD-W42A1B15XPXXXE-319H122920951-02</t>
  </si>
  <si>
    <t>WAC01-EUBANKS-EAA1036AA000N-2403F34943305</t>
  </si>
  <si>
    <t>WAC01-BARD- WA372A00-225P03187374402</t>
  </si>
  <si>
    <t>GEN01-S&amp;S-8V92GDTA13400-136315219128</t>
  </si>
  <si>
    <t>AHU01-CARRIER-40RUAA25A5A6A0A0A0-2814U02207</t>
  </si>
  <si>
    <t>CND01-CARRIER-38AUDA25A0A6A0A0A0-3114P45656</t>
  </si>
  <si>
    <t>AHU02-CARRIER-40RUAA25A5A6A0A0A0-2814u02208</t>
  </si>
  <si>
    <t>CND02-CARRIER-38AUDA25A0A6A0A0A0-3114P45658</t>
  </si>
  <si>
    <t>AHU03-CARRIER-40AQ030311BU-2689A10726</t>
  </si>
  <si>
    <t>CND03-CARRIER-38TH030310DL-2589E54902</t>
  </si>
  <si>
    <t>CND01-CARRIER-38AUDA25A0A6A0A0A0-3114P45657</t>
  </si>
  <si>
    <t>GEN01-GENERAC-4897910100-2081608</t>
  </si>
  <si>
    <t>CND01-CARRIER-388Y024300-5092E012217</t>
  </si>
  <si>
    <t>AHU01-TRANE-TWE048C140C0-3256752V</t>
  </si>
  <si>
    <t>CND02-TRANE-TWA048D300A1-ZZ03UP42F</t>
  </si>
  <si>
    <t>AHU03-TRANE-2TEC3F60B1000AA-820448CAF</t>
  </si>
  <si>
    <t>PAC01-GENERAL ELECTRIC-BTC060D300B0-226941926</t>
  </si>
  <si>
    <t>PAC02-CARRIER-50HJ014551-3501G33201</t>
  </si>
  <si>
    <t>AHU02-CARRIER-AH40RUAA16A2AGA0A0A0-0614U04177</t>
  </si>
  <si>
    <t>CND04-CARRIER -38AUZ08A0A-0714C90729</t>
  </si>
  <si>
    <t>PAC03-TRANE-AH000AA4TEC3F4881-10142J841V</t>
  </si>
  <si>
    <t>CND05-TRANE -XB134TWA3048A3000BA-10035KJ92F</t>
  </si>
  <si>
    <t>WAC01-BARD-WA602B00-154D99133756702</t>
  </si>
  <si>
    <t>WAC02-BARD-WA60ACA00-289C20374564702</t>
  </si>
  <si>
    <t>PAC04-CARRIER-50TCD14A2A50A0A0-4716P85249</t>
  </si>
  <si>
    <t>RTU01-TRANE-4TCY4060A3000BB-204810022L</t>
  </si>
  <si>
    <t>GEN01-Cummins-60DVB15R27497-B850748511</t>
  </si>
  <si>
    <t>GEN02-ONAN-QUIETSITE50-L900362947</t>
  </si>
  <si>
    <t>AHU01-TRANE-TEMA0C60S51SAA-162565SK2V</t>
  </si>
  <si>
    <t>CND01-TRANE-TWA048D300A1-Z203UP42F</t>
  </si>
  <si>
    <t>CND02-TRANE-2TTA3060A3000AA-820448C4F</t>
  </si>
  <si>
    <t>CND03-CARRIER-38BY024300-5092E01217</t>
  </si>
  <si>
    <t>AHU01-CARRIER-TWE048C140C0-Z3256752V</t>
  </si>
  <si>
    <t>AHU02-AMERICAN STANDARD-2TEC360B1000AA-7021KSF2V</t>
  </si>
  <si>
    <t>PAC01-CARRIER-50TCD14A2A50A0A0-4716P85249</t>
  </si>
  <si>
    <t>WAC01-BARD-W60A2BOO-325L14316280602</t>
  </si>
  <si>
    <t>WAC02-BARD-W60A1BOO-325M12296002302</t>
  </si>
  <si>
    <t>PAC02-MARVAIR-EAA1060A4000N-2410-F353467-0-1</t>
  </si>
  <si>
    <t>GEN01-ONAN-75DYC15R15878G-K770278243</t>
  </si>
  <si>
    <t>GEN02-ONAN-200DL415R28281D-F850768324</t>
  </si>
  <si>
    <t>Natural Gas</t>
  </si>
  <si>
    <t>GEN03-ONAN-60DGCB1456L-D960604949</t>
  </si>
  <si>
    <t>AHU01-LENNOX-G51MPG111000- 5910G278541</t>
  </si>
  <si>
    <t>CND01-LENNOX-TSA060S4N434-5809K06438</t>
  </si>
  <si>
    <t>AHU03-LENNOX-G51MP60C11006-5910G27856</t>
  </si>
  <si>
    <t>CND03-LENNOX-TSA060S4N434-5809M09978</t>
  </si>
  <si>
    <t>AHU05-LENNOX-G51MP36B07001-5904C19147</t>
  </si>
  <si>
    <t>CND05-LENNOX-HS260364P-5804A63563</t>
  </si>
  <si>
    <t>WAC01-BARD-WA602A10-153J07237035102</t>
  </si>
  <si>
    <t>WAC02-BARD-W60AIAI0XXXXXJ-324F12290320902</t>
  </si>
  <si>
    <t>AHU04-LENNOX-G51MPG0111000-5910G270511</t>
  </si>
  <si>
    <t>CND04-LENNOX-TSA06054N434-5809M09974</t>
  </si>
  <si>
    <t>AHU01-LENNOX-G51MPG111000- 5910G27851</t>
  </si>
  <si>
    <t>AHU02-LENNOX-G51MP60C11008-5901G23854</t>
  </si>
  <si>
    <t>CND02-LENNOX-TSA060S4N43Y-5809J09822</t>
  </si>
  <si>
    <t>GEN02-ONAN-60DVB15R19889A-F850766916</t>
  </si>
  <si>
    <t>GEN01-ONAN-45EM15R17018M-H790443687</t>
  </si>
  <si>
    <t>AHU01-LENNOX-Cb29m512p-580h06746</t>
  </si>
  <si>
    <t>AHU02-LENNOX-Cb29m512p-5804h06745</t>
  </si>
  <si>
    <t>CND01-LENNOX-Hs260485p-580h35318</t>
  </si>
  <si>
    <t>CND02-LENNOX-Hs260485p-5804h35325</t>
  </si>
  <si>
    <t>WAC01-EUBANK-UnkModel-HT014010213R</t>
  </si>
  <si>
    <t>AHU03-RHEEM-RH1T6024AJ1NA-W042236416</t>
  </si>
  <si>
    <t>CND03-RHEEM-RA1630STANJA-W482136476</t>
  </si>
  <si>
    <t>CND01-RUUD-RA14AY48AJ1NA-W062566018</t>
  </si>
  <si>
    <t>AHU01-RUUD-RH2TY4821STANNJ-W192551602</t>
  </si>
  <si>
    <t>GEN01-ONAN-55KB15R10676P-671300046</t>
  </si>
  <si>
    <t>NG</t>
  </si>
  <si>
    <t>AHU01-LENNOX-G51MP60C09008-UnkSerial</t>
  </si>
  <si>
    <t>GEN01-KOHLER-50ROZJ01-360937</t>
  </si>
  <si>
    <t>RTU01-AIREASE-RPCE13A60P1-1609F03830</t>
  </si>
  <si>
    <t>RTU02-ALLIED-TCA06052BN1P-5608G01704</t>
  </si>
  <si>
    <t>AHU01-CHAMPION-AVC60DX21C-W1N8439572</t>
  </si>
  <si>
    <t>CND01-CHAMPION-TC4B6021SA-W1N8419789</t>
  </si>
  <si>
    <t>AHU02-CHAMPION-AVC60DX21C-W1N8439583</t>
  </si>
  <si>
    <t>CND02-CHAMPION-TC4B6021SA-W1N8419703</t>
  </si>
  <si>
    <t>TWBGOHXA</t>
  </si>
  <si>
    <t>GEN01-Cummins-115DFC4R81905F-1270272401</t>
  </si>
  <si>
    <t>AHU01-LENNOX-G81220V3-5872C00055</t>
  </si>
  <si>
    <t>CND01-LENNOX-HS2912034-5607E12658</t>
  </si>
  <si>
    <t>AHU02-TRANE-TTA240E300AA-14214P52WA</t>
  </si>
  <si>
    <t>CND02-TRANE-TWE240E300BB-14405L2DTA</t>
  </si>
  <si>
    <t>AHU03-TRANE-TTA240E300AA-14214P51WA</t>
  </si>
  <si>
    <t>CND03-TRANE-TWE240E300BB-141834AYA</t>
  </si>
  <si>
    <t>CND03-TRANE-TWE240E300BB-141834AYTA</t>
  </si>
  <si>
    <t>VIANOK05</t>
  </si>
  <si>
    <t>GEN01-CUMMINS-150DGFA3388427-A000054169</t>
  </si>
  <si>
    <t>WAC01-BARD-WA482A05BPXXXJ-149B00143429902</t>
  </si>
  <si>
    <t>WAC02-BARD-WA482A05BPXXXJ-149B00143463202</t>
  </si>
  <si>
    <t>WAC03-BARD-WA482A05BPXXXJ-149B00143462002</t>
  </si>
  <si>
    <t>WAC04-BARD-WA482A05BPXXXJ-149B00143430002</t>
  </si>
  <si>
    <t>PAC01-CARRIER-SOHCE08A2D5A0F1B0-491493917</t>
  </si>
  <si>
    <t>PAC02-CARRIER-SOHCE08A2D5A0F1B0-4914P3918</t>
  </si>
  <si>
    <t>GEN01-ONAN-DGHDB1422121-L140773872</t>
  </si>
  <si>
    <t>GEN01-CATERPILLAR-SR4-45BH01897</t>
  </si>
  <si>
    <t>UH01-EMERSON-UnkModel-UnkSerial</t>
  </si>
  <si>
    <t>UH02-NU-TONE-UnkModel-UnkSerial</t>
  </si>
  <si>
    <t>UH03-EMERSON-UnkModel-UnkSerial</t>
  </si>
  <si>
    <t>AHU02-LIEBERT-VH245ACAE0-547734001</t>
  </si>
  <si>
    <t>AHU01-CARRIER-40RM024B511HC-1802F50259</t>
  </si>
  <si>
    <t>CND02-LIEBERT-DCDF308Y-0327C64177</t>
  </si>
  <si>
    <t>CND01-CARRIER-38AKS024520-2302F58387</t>
  </si>
  <si>
    <t>GEN01-GENERAC-QT10068GNAC-8921563</t>
  </si>
  <si>
    <t>AHU01-TRANE-TWE180B300BB-H46179374</t>
  </si>
  <si>
    <t>AHU02-TRANE-TWE180B300BB-H50179537</t>
  </si>
  <si>
    <t>AHU03-TRANE-TUX2B060A9362AA-7025X8K57G</t>
  </si>
  <si>
    <t>CND01-TRANE-BDT0750H20-T06E02861</t>
  </si>
  <si>
    <t>CND02-TRANE-BDT0750H20-T08E02830</t>
  </si>
  <si>
    <t>CND03-TRANE-38TKB036500-0393E03425</t>
  </si>
  <si>
    <t>CND04-CARRIER-38TKB036500-0393E036500</t>
  </si>
  <si>
    <t>GEN01-CUMMINS-DSFAE7063851-D110207818</t>
  </si>
  <si>
    <t>AHU01-PAYNE-PF1NMB030-0504A65874</t>
  </si>
  <si>
    <t>AHU02-RHEEM-RH196024STANJA-W171509088</t>
  </si>
  <si>
    <t>CND03-PAYNE-PA10JA030C-2203E12708</t>
  </si>
  <si>
    <t>CND04-RHEEM-RP1360AC1NA-W181502131</t>
  </si>
  <si>
    <t>CND01-RHEEM-RANL060CAZ-7394W111101431</t>
  </si>
  <si>
    <t>AHU03-RHEEM-RHLLHM6024JA-W041113173</t>
  </si>
  <si>
    <t>GEN01-Cummins-CC534C-J890271506</t>
  </si>
  <si>
    <t>AHU01-CARRIER-39ED17-4789T22430</t>
  </si>
  <si>
    <t>CND01-CARRIER-38AUZA08A0M6A0A0A0-1711G20055</t>
  </si>
  <si>
    <t>CND02-CARRIER-38AUZA08A0A6A0A0A0-1711G20056</t>
  </si>
  <si>
    <t>CND03-CARRIER-24ABB348A0031010-2111E0767</t>
  </si>
  <si>
    <t>CND04-CARRIER-39ED17-4789T22431</t>
  </si>
  <si>
    <t>AHU02-CARRIER-38AUZA08A0A6A0A0A0-3011G50060</t>
  </si>
  <si>
    <t>CND05-CARRIER-38AUZA08A0A6A0A0A0-2311G/20129</t>
  </si>
  <si>
    <t>CND06-CARRIER-24ABB348A310-3411E15124</t>
  </si>
  <si>
    <t>AHU03-CARRIER-40AQ036310BU-4289A12968</t>
  </si>
  <si>
    <t>CND07-CARRIER-38TH036300-3239E36371</t>
  </si>
  <si>
    <t>WAC01-WTC12001W-A19112290563</t>
  </si>
  <si>
    <t>AHU04-DAIKIN-FTXB18AXVJU-KO67951</t>
  </si>
  <si>
    <t>CND08-DAIKIK-RXB18AXVJU-K061976</t>
  </si>
  <si>
    <t>WIN01-KOLDFRONT- WTC12001W-A19112290563</t>
  </si>
  <si>
    <t>CND03-CARRIER-24ABB348A0031010-2111E7671</t>
  </si>
  <si>
    <t>CND06-CARRIER-24ABB348A310-3411E15123</t>
  </si>
  <si>
    <t>WAC01-BARD-W24A2A05XPXXXJ-314L17347335102</t>
  </si>
  <si>
    <t>GEN01-ONAN-55KB15R10676P-671305942</t>
  </si>
  <si>
    <t>WAC01-BARD-W60A2B00-325J13303983502</t>
  </si>
  <si>
    <t>WAC02-BARD-WA602B00-154K02175940102</t>
  </si>
  <si>
    <t>GEN01-CATERPILLAR-LC6-G6B01753</t>
  </si>
  <si>
    <t>CND01-CARRIER-CAE120AAA-G053730149</t>
  </si>
  <si>
    <t>AHU01-CARRIER-ABC120M1AABAC120M1AA-4805X15421</t>
  </si>
  <si>
    <t>CND02-HEIL-UnkModel-UnkSerial</t>
  </si>
  <si>
    <t>CND03-CARRIER-38AUDB25A0A5A0A0A0-28134276252813US27625</t>
  </si>
  <si>
    <t>AHU03-CARRIER-40RUAA25A5A5A0A0A0-2513U245672513424567</t>
  </si>
  <si>
    <t>CND05-GOODMAN-CKL603-208426614</t>
  </si>
  <si>
    <t>AHU05-GOODMAN-AR601-207473887</t>
  </si>
  <si>
    <t>CND06-GOODMAN-GSH130361AC-72198893</t>
  </si>
  <si>
    <t>AHU06-GOODMAN-ARUF3633616AA-708019038</t>
  </si>
  <si>
    <t>CND07-GOODMAN-CPLE241A-301534862</t>
  </si>
  <si>
    <t>AHU07-GOODMAN-AR241-207418005</t>
  </si>
  <si>
    <t>CND08-TRANE-4TTA3060D3-16152B7F5F</t>
  </si>
  <si>
    <t>AHU08-TRANE-TEM4A0C60S51SA-16275Y4L2V</t>
  </si>
  <si>
    <t>WAC01-BARD-WH242B06XXXXXR-141B03179005602</t>
  </si>
  <si>
    <t>AHU09-TRANE-TWE240E300B-1804WLBWA</t>
  </si>
  <si>
    <t>CND09-TRANE-TTA240H300A-172757L4TA</t>
  </si>
  <si>
    <t>WAC02-BARD-WA60A2B09XPXXXJ-145B03179403902</t>
  </si>
  <si>
    <t>WAC03-BARD-WA602B09EXXXXJ-154P01169489202</t>
  </si>
  <si>
    <t>WAC04-BARD-W70A2BOOWXXXXJ-404D15322651302</t>
  </si>
  <si>
    <t>WAC05-BARD-WH242B06XXXXXR-141B03179005602</t>
  </si>
  <si>
    <t>WAC07-BARD-MGA1072ACOOOC-2101F17816501</t>
  </si>
  <si>
    <t>AHU10-GOODMAN-AR361-103457981</t>
  </si>
  <si>
    <t>CND10-GOODMAN-BRHS0361BD-20618555</t>
  </si>
  <si>
    <t>WAC06-Eubanks-EA1036AA000N-2403F34943303</t>
  </si>
  <si>
    <t>AHU09-TRANE-TWE240E300B-18064WLBWA</t>
  </si>
  <si>
    <t>CND11-TRANE-5TWR4036A1000A-250712YLHF</t>
  </si>
  <si>
    <t>AHU11-TRANE-5TEM4B03AC31SA-25072N2W3V</t>
  </si>
  <si>
    <t>AHU12-TRANE-TEM4B0C60S51SAA-2310173K3V</t>
  </si>
  <si>
    <t>CND12-TRANE-4TTA4060A3000AA-22462U4G5F</t>
  </si>
  <si>
    <t>WAC06-MARVAIR-EAA1060AC000N++1-2303-F302565-0-9</t>
  </si>
  <si>
    <t>AHU02-TRANE-GAMZA0C60551SBA-132251BN2V</t>
  </si>
  <si>
    <t>CND03-TRANE-4TTB306D10000CA-13314U654F</t>
  </si>
  <si>
    <t>CND02-TRANE-4TWR4060A1000AA-9083XCA2F</t>
  </si>
  <si>
    <t>AHU05-TRANE-TEE3F65B10000AA-91056H324</t>
  </si>
  <si>
    <t>AHU01-AHV-APH60DZCH21A-A0C6074083</t>
  </si>
  <si>
    <t>CND01-YORK-E1RA060506A-ECEM098544</t>
  </si>
  <si>
    <t>GEN01-ONAN-GGHG1342984-L130609256</t>
  </si>
  <si>
    <t>LP GAS</t>
  </si>
  <si>
    <t>AHU04-CHAMPION-AP36BX21B-W1L6048428</t>
  </si>
  <si>
    <t>CND04-CHAMPION-TC4B3621HA-W1K7082119</t>
  </si>
  <si>
    <t>AHU05-TRANE-TEE3F65B10000AA-91056H32V</t>
  </si>
  <si>
    <t>AHU04-CHAMPION-RH1PZ36175TANNJ-W392425018</t>
  </si>
  <si>
    <t>CND03-WEATHER KING-WA1660AJ1NA-W262110914</t>
  </si>
  <si>
    <t>AHU01-TRANE-TWE180B300CA-N252YPGGH</t>
  </si>
  <si>
    <t>CND02-TRANE-TTA180B30DCA-N32519UAH</t>
  </si>
  <si>
    <t>AHU02-TRANE-TWE180B300CA-3122JUX6H</t>
  </si>
  <si>
    <t>GEN01-Kohler-230RE0ZV-772397</t>
  </si>
  <si>
    <t>CND01-CARRIER-38AUDA16A0A50A0A0-3917P44655</t>
  </si>
  <si>
    <t>GNFDIAAJ</t>
  </si>
  <si>
    <t>TWBGOHIR</t>
  </si>
  <si>
    <t xml:space="preserve">Selected? </t>
  </si>
  <si>
    <t>Yes: 12k sqft + Owned</t>
  </si>
  <si>
    <t>Yes - High Rack count</t>
  </si>
  <si>
    <t xml:space="preserve">MBN Selected? </t>
  </si>
  <si>
    <t>Y</t>
  </si>
  <si>
    <t>Inputs</t>
  </si>
  <si>
    <t>W/Sqft</t>
  </si>
  <si>
    <t xml:space="preserve">TA: Est. site MW capacity (sqft based) </t>
  </si>
  <si>
    <t xml:space="preserve">MW&gt;5? </t>
  </si>
  <si>
    <t xml:space="preserve">Strong </t>
  </si>
  <si>
    <t xml:space="preserve">Medium </t>
  </si>
  <si>
    <t>Strong</t>
  </si>
  <si>
    <t>significant additional wooded space; commercial area; residential on single side of parcel, set back from edge</t>
  </si>
  <si>
    <t>some parking lot, commercial space, but highly residential around site</t>
  </si>
  <si>
    <t>corner of what looks like agricultural land.</t>
  </si>
  <si>
    <t>Dense, residential neighborhood. Limited space.</t>
  </si>
  <si>
    <t>Middle of a field basically. Nothing but room.</t>
  </si>
  <si>
    <t>Some parking lot, commercial space, but highly residential around site</t>
  </si>
  <si>
    <t xml:space="preserve">Corner of what looks like agricultural land. </t>
  </si>
  <si>
    <t xml:space="preserve">Middle of a field basically. Room for days. </t>
  </si>
  <si>
    <t>Relatively dense commercial + residential</t>
  </si>
  <si>
    <t xml:space="preserve">Space on the block but looks like it's residential; expect limited availability; exception is relatively large parking space which seems to serve only this building. </t>
  </si>
  <si>
    <t xml:space="preserve">Relatively dense commercial </t>
  </si>
  <si>
    <t xml:space="preserve">Space on the lot but relatively dense around it </t>
  </si>
  <si>
    <t>Little to no room for expansion, but enough interior sq ft for significant MW IT if power available</t>
  </si>
  <si>
    <t>Medium/Strong</t>
  </si>
  <si>
    <t>Medium/Low</t>
  </si>
  <si>
    <t xml:space="preserve">Dense industrial area. Parking lot behind but expect it may be too dense. </t>
  </si>
  <si>
    <t xml:space="preserve">Lot is ~4x building footprint currently incl. parking; commercial + residential surrounding </t>
  </si>
  <si>
    <t xml:space="preserve">Significant existing interior sq ft; significant lot space for expansion </t>
  </si>
  <si>
    <t xml:space="preserve">Significant additional space on lot; minimal density surrounding </t>
  </si>
  <si>
    <t xml:space="preserve">Limited additional space on lot; BUT looks like multiple empty lots adjoining </t>
  </si>
  <si>
    <t xml:space="preserve">Limited additional space on lot; relatively high commercial + residential density </t>
  </si>
  <si>
    <t>Low</t>
  </si>
  <si>
    <t>Eye test site attractiveness</t>
  </si>
  <si>
    <t>Eye test site attractiveness explanation</t>
  </si>
  <si>
    <t>A</t>
  </si>
  <si>
    <t>X</t>
  </si>
  <si>
    <t>Site</t>
  </si>
  <si>
    <t>Parcel (Regrid via Mireye)</t>
  </si>
  <si>
    <t>Power</t>
  </si>
  <si>
    <t>Gas / BTM</t>
  </si>
  <si>
    <t>Flood &amp; Hazard</t>
  </si>
  <si>
    <t>Climate / Cooling</t>
  </si>
  <si>
    <t>Air &amp; Environment</t>
  </si>
  <si>
    <t>Water / Sewer</t>
  </si>
  <si>
    <t>Connectivity</t>
  </si>
  <si>
    <t>Neighbors</t>
  </si>
  <si>
    <t>Summary</t>
  </si>
  <si>
    <t>Lat</t>
  </si>
  <si>
    <t>Lng</t>
  </si>
  <si>
    <t>Screen depth</t>
  </si>
  <si>
    <t>Situs address</t>
  </si>
  <si>
    <t>Owner of record</t>
  </si>
  <si>
    <t>APN</t>
  </si>
  <si>
    <t>Zoning</t>
  </si>
  <si>
    <t>Parcel area (m2)</t>
  </si>
  <si>
    <t>Parcel area (acres)</t>
  </si>
  <si>
    <t>Parcel caveat</t>
  </si>
  <si>
    <t>ISO/RTO</t>
  </si>
  <si>
    <t>Serving utility (retail)</t>
  </si>
  <si>
    <t>Ind. elec price ($/kWh)</t>
  </si>
  <si>
    <t>Est. annual cost ($/MW-yr)</t>
  </si>
  <si>
    <t>Substation dist (m)</t>
  </si>
  <si>
    <t>Substation max kV</t>
  </si>
  <si>
    <t>Trans line dist (m)</t>
  </si>
  <si>
    <t>Trans line kV</t>
  </si>
  <si>
    <t>Trans line owner</t>
  </si>
  <si>
    <t>Max kV within 10 km</t>
  </si>
  <si>
    <t>Substations in 10 km</t>
  </si>
  <si>
    <t>Redundancy flag</t>
  </si>
  <si>
    <t>County queue (MW, generator-side)</t>
  </si>
  <si>
    <t>Gas pipeline dist (m)</t>
  </si>
  <si>
    <t>Interstate pipeline (m)</t>
  </si>
  <si>
    <t>Ind. gas ($/MCF)</t>
  </si>
  <si>
    <t>Grid ($/MWh)</t>
  </si>
  <si>
    <t>Modeled gas gen ($/MWh, fuel-only)</t>
  </si>
  <si>
    <t>BTM gas flag</t>
  </si>
  <si>
    <t>FEMA zone</t>
  </si>
  <si>
    <t>In SFHA</t>
  </si>
  <si>
    <t>Seismic design cat.</t>
  </si>
  <si>
    <t>PGA 2%/50yr (g)</t>
  </si>
  <si>
    <t>Design wind (mph)</t>
  </si>
  <si>
    <t>Karst</t>
  </si>
  <si>
    <t>Nearest dam (m)</t>
  </si>
  <si>
    <t>Dam hazard class</t>
  </si>
  <si>
    <t>High-hazard dams 10 km</t>
  </si>
  <si>
    <t>Shrink-swell</t>
  </si>
  <si>
    <t>Slope (deg)</t>
  </si>
  <si>
    <t>Design wet bulb (degC)</t>
  </si>
  <si>
    <t>Days &gt;=32C /yr</t>
  </si>
  <si>
    <t>Free cooling h/yr @15C</t>
  </si>
  <si>
    <t>Free cooling h/yr @10C</t>
  </si>
  <si>
    <t>Ozone nonattainment</t>
  </si>
  <si>
    <t>Worst class</t>
  </si>
  <si>
    <t>Maintenance area</t>
  </si>
  <si>
    <t>Superfund in 8 km</t>
  </si>
  <si>
    <t>Brownfields in 8 km</t>
  </si>
  <si>
    <t>USTs in 1 km</t>
  </si>
  <si>
    <t>Open LUST in 1 km</t>
  </si>
  <si>
    <t>Opportunity Zone</t>
  </si>
  <si>
    <t>Incentive stack</t>
  </si>
  <si>
    <t>In water service area</t>
  </si>
  <si>
    <t>Water system</t>
  </si>
  <si>
    <t>System pop served</t>
  </si>
  <si>
    <t>In sewer service area</t>
  </si>
  <si>
    <t>Sewer provider</t>
  </si>
  <si>
    <t>WWTP dist (m)</t>
  </si>
  <si>
    <t>WWTP pop served</t>
  </si>
  <si>
    <t>FTTP providers</t>
  </si>
  <si>
    <t>5G class</t>
  </si>
  <si>
    <t>Housing units 1 km</t>
  </si>
  <si>
    <t>Density (units/km2)</t>
  </si>
  <si>
    <t>Residential context</t>
  </si>
  <si>
    <t>School dist (m)</t>
  </si>
  <si>
    <t>School name</t>
  </si>
  <si>
    <t>Rank</t>
  </si>
  <si>
    <t>Key strengths</t>
  </si>
  <si>
    <t>Key risks</t>
  </si>
  <si>
    <t>Verdict</t>
  </si>
  <si>
    <t>Recommendation</t>
  </si>
  <si>
    <t>Baldwin GA - 2000 Communications Blvd</t>
  </si>
  <si>
    <t>Full (conversion screen)</t>
  </si>
  <si>
    <t>2000 COMMUNICATIONS BLVD</t>
  </si>
  <si>
    <t>absent</t>
  </si>
  <si>
    <t>090 016</t>
  </si>
  <si>
    <t>HI</t>
  </si>
  <si>
    <t>Validated: coord + address pulls returned same parcel; address exact match</t>
  </si>
  <si>
    <t>Georgia Power Co</t>
  </si>
  <si>
    <t>TRUE</t>
  </si>
  <si>
    <t>No</t>
  </si>
  <si>
    <t>C</t>
  </si>
  <si>
    <t>(none)</t>
  </si>
  <si>
    <t>No (54 m to boundary)</t>
  </si>
  <si>
    <t>Yes</t>
  </si>
  <si>
    <t>Baldwin WPCP</t>
  </si>
  <si>
    <t>5g_high_speed</t>
  </si>
  <si>
    <t>dense</t>
  </si>
  <si>
    <t>Baldwin Elementary School</t>
  </si>
  <si>
    <t>No gas fallback (interstate 52 km); outside water area (54 m extension); small WWTP (5,231); no queue visibility (non-RTO)</t>
  </si>
  <si>
    <t>GO</t>
  </si>
  <si>
    <t>Pursue first - open Georgia Power capacity inquiry now</t>
  </si>
  <si>
    <t>Northfield OH - 54 Leonard Ave</t>
  </si>
  <si>
    <t>LEONARD AVE</t>
  </si>
  <si>
    <t>Kinetic ABS OH LLC</t>
  </si>
  <si>
    <t>4002466</t>
  </si>
  <si>
    <t>T-C</t>
  </si>
  <si>
    <t>FRAGMENT - wrong parcel for address; county shows 7-parcel assemblage (APNs 4002461-4002467); building on 4002461</t>
  </si>
  <si>
    <t>PJM</t>
  </si>
  <si>
    <t>City of Cleveland (OH) - SUSPECT</t>
  </si>
  <si>
    <t>B</t>
  </si>
  <si>
    <t>High</t>
  </si>
  <si>
    <t>Yes - ozone (2015 std)</t>
  </si>
  <si>
    <t>Serious</t>
  </si>
  <si>
    <t>Yes (2008 ozone)</t>
  </si>
  <si>
    <t>Cleveland Public Water System</t>
  </si>
  <si>
    <t>NEORSD Southerly WWTP</t>
  </si>
  <si>
    <t>Nordonia Middle School</t>
  </si>
  <si>
    <t>REVIEW</t>
  </si>
  <si>
    <t>Hudson OH - 1300 Terex Rd</t>
  </si>
  <si>
    <t>1300 TEREX RD</t>
  </si>
  <si>
    <t>3003811</t>
  </si>
  <si>
    <t>DISTRICT-8</t>
  </si>
  <si>
    <t>Single matched parcel; owner holds 16 Summit Co parcels - may be part of assemblage</t>
  </si>
  <si>
    <t>City of Hudson (OH) - verified real muni</t>
  </si>
  <si>
    <t>Significant</t>
  </si>
  <si>
    <t>Hudson City PWS</t>
  </si>
  <si>
    <t>No (546 m to boundary)</t>
  </si>
  <si>
    <t>The Goddard School</t>
  </si>
  <si>
    <t>Newark OH - 66 N 4th St</t>
  </si>
  <si>
    <t>66 N 4 ST</t>
  </si>
  <si>
    <t>02121190402004058000</t>
  </si>
  <si>
    <t>DC</t>
  </si>
  <si>
    <t>Single matched parcel; downtown CBD - possible assemblage</t>
  </si>
  <si>
    <t>Ohio Power Co (AEP)</t>
  </si>
  <si>
    <t>Ohio Power Co</t>
  </si>
  <si>
    <t>Yes (2008+2015 ozone)</t>
  </si>
  <si>
    <t>brownfield_repowering_screened</t>
  </si>
  <si>
    <t>Newark City PWS</t>
  </si>
  <si>
    <t>Newark WWTP &amp; Sewer System</t>
  </si>
  <si>
    <t>Child Of God Preschool</t>
  </si>
  <si>
    <t>Riverside TX - FM 980 (Walker Co)</t>
  </si>
  <si>
    <t>FM 980</t>
  </si>
  <si>
    <t>Valor Telecommunications of Texas LP</t>
  </si>
  <si>
    <t>14123</t>
  </si>
  <si>
    <t>Single matched parcel; rural - assemblage unknown</t>
  </si>
  <si>
    <t>ERCOT (field) - SUSPECT, wires are Entergy TX (likely MISO)</t>
  </si>
  <si>
    <t>Mid-South Electric Coop Assn</t>
  </si>
  <si>
    <t>Entergy Texas, Inc.</t>
  </si>
  <si>
    <t>FALSE</t>
  </si>
  <si>
    <t>YES - SFHA, no BFE published</t>
  </si>
  <si>
    <t>Riverside SUD</t>
  </si>
  <si>
    <t>No (7,460 m to boundary)</t>
  </si>
  <si>
    <t>moderate</t>
  </si>
  <si>
    <t>(unreliable Overture record)</t>
  </si>
  <si>
    <t>NO-GO (flood)</t>
  </si>
  <si>
    <t>Park - spend ~$2k on elevation certificate; revive only if LOMA path viable</t>
  </si>
  <si>
    <t>Harrison AR - 202 Graham St</t>
  </si>
  <si>
    <t>202 GRAHAM STRE</t>
  </si>
  <si>
    <t>825-14426-200</t>
  </si>
  <si>
    <t>C3</t>
  </si>
  <si>
    <t>Single matched parcel - 10.0 ac; only multi-acre parcel besides Baldwin</t>
  </si>
  <si>
    <t>MISO</t>
  </si>
  <si>
    <t>Entergy Arkansas LLC</t>
  </si>
  <si>
    <t>Entergy Arkansas Inc</t>
  </si>
  <si>
    <t>TRUE (flag only - see risks)</t>
  </si>
  <si>
    <t>D</t>
  </si>
  <si>
    <t>YES - carbonate, EXPOSED (Boone Fm)</t>
  </si>
  <si>
    <t>Harrison Waterworks</t>
  </si>
  <si>
    <t>Harrison WWTP</t>
  </si>
  <si>
    <t>Educational Opportunity Center</t>
  </si>
  <si>
    <t>GO (leaning)</t>
  </si>
  <si>
    <t>Moultrie GA - 216 4th St SE</t>
  </si>
  <si>
    <t>216 4TH ST SE</t>
  </si>
  <si>
    <t>M035  001</t>
  </si>
  <si>
    <t>C-3</t>
  </si>
  <si>
    <t>Single matched parcel - 1.31 ac</t>
  </si>
  <si>
    <t>City of Moultrie (GA) - muni</t>
  </si>
  <si>
    <t>Buried carbonate (low confidence)</t>
  </si>
  <si>
    <t>YES - tract 13071970702</t>
  </si>
  <si>
    <t>opportunity_zone</t>
  </si>
  <si>
    <t>Moultrie WPCP</t>
  </si>
  <si>
    <t>Stringfellow Elementary School</t>
  </si>
  <si>
    <t>Hold as OZ-advantaged backup; Phase I environmental if advanced</t>
  </si>
  <si>
    <t>Newton IA - 115 S 2nd Ave W</t>
  </si>
  <si>
    <t>115 S 2ND AVE W</t>
  </si>
  <si>
    <t>CSL Iowa System LLC (Uniti leaseback)</t>
  </si>
  <si>
    <t>0834158001</t>
  </si>
  <si>
    <t>C-CBD</t>
  </si>
  <si>
    <t>Consumers Energy - SUSPECT (likely Alliant/IPL; a Consumers Energy Coop exists in IA)</t>
  </si>
  <si>
    <t>MidAmerican Energy Co</t>
  </si>
  <si>
    <t>Moderate</t>
  </si>
  <si>
    <t>Newton Water Supply</t>
  </si>
  <si>
    <t>Newton WWTP</t>
  </si>
  <si>
    <t>Central Junior High School</t>
  </si>
  <si>
    <t>Sugar Land TX - Fort Bend Co</t>
  </si>
  <si>
    <t>TRIAGE ONLY (credits) - no parcel/building/school</t>
  </si>
  <si>
    <t>not pulled</t>
  </si>
  <si>
    <t>Parcel fields not pulled - credit exhaustion; complete after Sept 1 reset</t>
  </si>
  <si>
    <t>ERCOT (eGRID ERCT)</t>
  </si>
  <si>
    <t>CenterPoint Energy (wires; retail via competitive REP)</t>
  </si>
  <si>
    <t>VERY HIGH</t>
  </si>
  <si>
    <t>Yes - ozone (2008+2015 stds)</t>
  </si>
  <si>
    <t>SEVERE</t>
  </si>
  <si>
    <t>City of Sugar Land</t>
  </si>
  <si>
    <t>Sugar Land North WWTP</t>
  </si>
  <si>
    <t>REVIEW (incomplete)</t>
  </si>
  <si>
    <t>Complete parcel screen after Sept 1 credit reset before judging</t>
  </si>
  <si>
    <t>SEVERE ozone (25 tpy NOx major threshold - neutralizes gas play, forces Tier 4 on incremental gensets); 136 mph design wind; very-high shrink-swell clays; worst cooling (1,994 h); screen incomplete</t>
  </si>
  <si>
    <t>Operating facility; Zone X despite Houston metro; 18 substations/10 km; 3.3 GW county queue (hot market); best gas economics on paper; nearest UST 29 m likely own tank</t>
  </si>
  <si>
    <t>Hold - verify Alliant service, assemblage, and Uniti lease terms; mid-tier</t>
  </si>
  <si>
    <t>0.43-ac CBD fragment (assemblage unknown); Uniti (CSL) leaseback ownership - counterparty differs; utility attribution suspect; superfund 827 m + 2 open LUST (diligence); expansion friction from junior high 426 m</t>
  </si>
  <si>
    <t>Operating facility; 161 kV substation 784 m; cheap power ($548k/MW-yr); attainment; excellent cooling (5,312 h)</t>
  </si>
  <si>
    <t>Muni retail counterparty; nearest UST 31 m likely own tank but 32 USTs + 2 open LUST in 1 km (Phase I); hot climate (69 days &gt;=32C); 1.31-ac parcel</t>
  </si>
  <si>
    <t>Operating facility; only Opportunity Zone site (capital-stack sweetener); 115 kV line 303 m (GA Power wires); attainment; 15 substations/10 km</t>
  </si>
  <si>
    <t>Pursue #2 - geotech karst study for expansion footprint + Entergy capacity inquiry in parallel</t>
  </si>
  <si>
    <t>Exposed carbonate karst + seismic design cat. D - governs NEW expansion structures (existing building's decades of service partly de-risk); only 3 substations/10 km; gas gen uneconomic</t>
  </si>
  <si>
    <t>Operating facility + 10.0-ac C3 parcel for expansion; 161 kV substation+line ~960 m; cheapest power in portfolio ($543k/MW-yr); attainment; spotless environmental</t>
  </si>
  <si>
    <t>FEMA Zone A (no BFE) - substantial-improvement rule bites densification capex &gt;50% of building value regardless of existing ops; worst-tier cooling; 2 substations/10 km, redundancy FALSE; sewer 7.5 km</t>
  </si>
  <si>
    <t>Operating facility already living with the flood zone; cheapest grid ($555k/MW-yr); best usable gas hedge ($29 vs $63, pipeline 545 m, attainment air); 138 kV</t>
  </si>
  <si>
    <t>Keep as low-band expansion candidate - AEP capacity inquiry decides it</t>
  </si>
  <si>
    <t>REVIEW (5-15 MW band)</t>
  </si>
  <si>
    <t>69 kV ceiling in entire radius caps ~5-15 MW; nearest UST 33 m likely own tank but 16 USTs/16 brownfields in downtown radius (diligence); expansion friction from preschool 182 m + density</t>
  </si>
  <si>
    <t>Operating facility (established downtown use); solid AEP counterparty; maintenance-only air (best air status in the OH group); water+sewer in-area; 710 MW county queue</t>
  </si>
  <si>
    <t>Advance - gauge Hudson Public Power capacity appetite for the increment; spec Tier 4 gensets</t>
  </si>
  <si>
    <t>Municipal utility counterparty at 50 MW; Serious ozone (incremental gensets need Tier 4); outside sewer area; small water system</t>
  </si>
  <si>
    <t>Operating facility; 138 kV substation 1.1 km; 21 substations/10 km; clean environmental; strong cooling; 4 fiber providers</t>
  </si>
  <si>
    <t>Rises under operating-facility lens - verify serving utility (FirstEnergy?) + assemblage, then utility capacity inquiry on the 345 kV path</t>
  </si>
  <si>
    <t>Serious ozone (incremental genset permitting, netting possible vs existing permits); $872k/MW-yr power; parcel data unreliable (7-parcel assemblage); utility attribution suspect; nearest UST 30 m likely own fuel tank</t>
  </si>
  <si>
    <t>Operating facility (established use beside school); best wires in portfolio - 345 kV line 893 m, 23 substations/10 km; 1.3M-person water system; 4 fiber providers; strong cooling</t>
  </si>
  <si>
    <t>Operating facility + 26.35-ac HI parcel for expansion; 115 kV line 170 m; attainment air; clean environmental radius; full 5-50 MW band</t>
  </si>
  <si>
    <t>Keep as low-band expansion candidate; re-screen with conversion recipe + county assemblage check after Sept 1</t>
  </si>
  <si>
    <t>69 kV ceiling in radius caps ~5-15 MW; expansion friction from dense residential + childcare 221 m; parcel zoning/size unverified (fragment risk); greenfield-recipe screen only</t>
  </si>
  <si>
    <t>Operating facility (established use); Zone X; flat; water+sewer in-area; best OH-valley gas economics ($41 vs $73 grid); 345 kV substation 6.6 km</t>
  </si>
  <si>
    <t>Ashland Child Development Center</t>
  </si>
  <si>
    <t>Ashland Water Works</t>
  </si>
  <si>
    <t>Kentucky Power Co</t>
  </si>
  <si>
    <t>Single-point Regrid match - FRAGMENT RISK: R-5/1.08-ac may be adjacent lot if site is a multi-parcel assemblage (Northfield pattern); county check needed</t>
  </si>
  <si>
    <t>R-5</t>
  </si>
  <si>
    <t>Full (greenfield recipe - predates conversion recipe; no building/conversion fields)</t>
  </si>
  <si>
    <t>Ashland, Boyd Co KY</t>
  </si>
  <si>
    <t xml:space="preserve">White space as % of whole </t>
  </si>
  <si>
    <t>Mireye results</t>
  </si>
  <si>
    <t>Mireye lookup code</t>
  </si>
  <si>
    <t>ID</t>
  </si>
  <si>
    <t>Mireye recommendation</t>
  </si>
  <si>
    <t xml:space="preserve">Which estimate is greater? </t>
  </si>
  <si>
    <t>Estimated Power kW (racks x 1.74)</t>
  </si>
  <si>
    <t># racks</t>
  </si>
  <si>
    <t>Total Generator KW</t>
  </si>
  <si>
    <t>#</t>
  </si>
  <si>
    <t>County</t>
  </si>
  <si>
    <t>Street Address</t>
  </si>
  <si>
    <t>Latitude</t>
  </si>
  <si>
    <t>Longitude</t>
  </si>
  <si>
    <t>Parcel Size (acres)</t>
  </si>
  <si>
    <t>Racks - Legacy Tenant (SG4 portfolio range)</t>
  </si>
  <si>
    <t>Site Capacity (SG4 portfolio range)</t>
  </si>
  <si>
    <t>Facility Size (sq ft)</t>
  </si>
  <si>
    <t>Moore</t>
  </si>
  <si>
    <t>Stanly</t>
  </si>
  <si>
    <t>Rowan</t>
  </si>
  <si>
    <t>Fairview (Barnesville?)</t>
  </si>
  <si>
    <t>Guernsey (Belmont?)</t>
  </si>
  <si>
    <t>Ashtabula</t>
  </si>
  <si>
    <t>Bainbridge Twp</t>
  </si>
  <si>
    <t>Geauga</t>
  </si>
  <si>
    <t>seeing parcel size as 0.25</t>
  </si>
  <si>
    <t>Lorain</t>
  </si>
  <si>
    <t>Madison</t>
  </si>
  <si>
    <t>Lake</t>
  </si>
  <si>
    <t>Summit</t>
  </si>
  <si>
    <t>seeing parcel size as 0.3</t>
  </si>
  <si>
    <t>2684 Route 82 (2678 E Aurora Rd?)</t>
  </si>
  <si>
    <t>potential duplicate</t>
  </si>
  <si>
    <t>Licking</t>
  </si>
  <si>
    <t>7322 Dorsey Mill Road Southeast (343 Dorsey Mills Rd?)</t>
  </si>
  <si>
    <t>seeing parcel size as 0.52</t>
  </si>
  <si>
    <t>Meads</t>
  </si>
  <si>
    <t>Boyd</t>
  </si>
  <si>
    <t>9200 US Route 60</t>
  </si>
  <si>
    <t>Union</t>
  </si>
  <si>
    <t>parcel id: 071A-004 (071A 004)</t>
  </si>
  <si>
    <t>Cherokee</t>
  </si>
  <si>
    <t>seeing parcel size as 1</t>
  </si>
  <si>
    <t>Murray</t>
  </si>
  <si>
    <t>parcel id: 0067A-073 (0067A 073)</t>
  </si>
  <si>
    <t>White</t>
  </si>
  <si>
    <t>Habersham</t>
  </si>
  <si>
    <t>parcel id: 087D120 (087D120)??</t>
  </si>
  <si>
    <t>2000 Communications Boulevard (1155 Communications Bv, Baldwin, GA, 30511)</t>
  </si>
  <si>
    <t>seeing parcel size as 27.25</t>
  </si>
  <si>
    <t>Lumpkin</t>
  </si>
  <si>
    <t>cant find this</t>
  </si>
  <si>
    <t>Whitfield</t>
  </si>
  <si>
    <t>seeing parcel size as 5.01</t>
  </si>
  <si>
    <t>LaFayette</t>
  </si>
  <si>
    <t>Walker</t>
  </si>
  <si>
    <t>Walton</t>
  </si>
  <si>
    <t>[Missing]</t>
  </si>
  <si>
    <t>Chattooga</t>
  </si>
  <si>
    <t>parcel id: 00S27-00000-009</t>
  </si>
  <si>
    <t>Granite Quarry (Rockwell?)</t>
  </si>
  <si>
    <t>Belmont</t>
  </si>
  <si>
    <t>parcel id: 53-90011-000. seeing parcel size as 0.2</t>
  </si>
  <si>
    <t>Heath (Newark?)</t>
  </si>
  <si>
    <t>214 Neal Avenue (685 W Church St?)</t>
  </si>
  <si>
    <t>seeing parcel size as 0.39</t>
  </si>
  <si>
    <t>seeing parcel size as 0.41</t>
  </si>
  <si>
    <t>304 Laurel St. (Laurel St 310 1/2, Greenup, KY, 41144?)</t>
  </si>
  <si>
    <t>parcel id: 102-098? Seeing parcel size as 0.57</t>
  </si>
  <si>
    <t>Jackson</t>
  </si>
  <si>
    <t>45 Georgia Avenue (45 Little Street?)</t>
  </si>
  <si>
    <t>Towns</t>
  </si>
  <si>
    <t>parcel id: H002 076? No parcel size information</t>
  </si>
  <si>
    <t>Pickens</t>
  </si>
  <si>
    <t>parcel id: JA07 0U2 102? No parcel size information</t>
  </si>
  <si>
    <t>no parcel id, no parcel size information</t>
  </si>
  <si>
    <t>Barrow</t>
  </si>
  <si>
    <t>seeing parcel size as 0.59</t>
  </si>
  <si>
    <t>Reeves</t>
  </si>
  <si>
    <t>parcel id: 0003227? Seeing parcel size as 0.2</t>
  </si>
  <si>
    <t>Hardin</t>
  </si>
  <si>
    <t>clli</t>
  </si>
  <si>
    <t>address</t>
  </si>
  <si>
    <t>tier</t>
  </si>
  <si>
    <t>county</t>
  </si>
  <si>
    <t>state</t>
  </si>
  <si>
    <t>lat</t>
  </si>
  <si>
    <t>lng</t>
  </si>
  <si>
    <t>status</t>
  </si>
  <si>
    <t>acres_gis</t>
  </si>
  <si>
    <t>sqft_gis</t>
  </si>
  <si>
    <t>m2_gis</t>
  </si>
  <si>
    <t>acres_stated</t>
  </si>
  <si>
    <t>acres_stated_field</t>
  </si>
  <si>
    <t>parcel_id</t>
  </si>
  <si>
    <t>owner</t>
  </si>
  <si>
    <t>parcel_address</t>
  </si>
  <si>
    <t>source</t>
  </si>
  <si>
    <t>notes</t>
  </si>
  <si>
    <t>Interesting</t>
  </si>
  <si>
    <t>33.99464785000001</t>
  </si>
  <si>
    <t>ok</t>
  </si>
  <si>
    <t>WN12   293</t>
  </si>
  <si>
    <t>10802 EXECUTIVE CENTER DR</t>
  </si>
  <si>
    <t>https://services5.arcgis.com/OVFGXfRTCVcPwl55/arcgis/rest/services/Barrow_Parcels_w_Owner/FeatureServer/0</t>
  </si>
  <si>
    <t>Top Site</t>
  </si>
  <si>
    <t>ACRES</t>
  </si>
  <si>
    <t>S27-009</t>
  </si>
  <si>
    <t>COX STREET</t>
  </si>
  <si>
    <t>https://services9.arcgis.com/eXIsbyIncFwEzqul/arcgis/rest/services/parcels_zoning/FeatureServer/2</t>
  </si>
  <si>
    <t>34.23610952999998</t>
  </si>
  <si>
    <t>Acreage</t>
  </si>
  <si>
    <t>14-0166-0003</t>
  </si>
  <si>
    <t>CSL GEORGIA SYSTEM LLC</t>
  </si>
  <si>
    <t>190 S Church St</t>
  </si>
  <si>
    <t>https://services6.arcgis.com/dpaY3zboICQILFY5/arcgis/rest/services/Property_Value_TY2024/FeatureServer/0</t>
  </si>
  <si>
    <t>34.61483837000001</t>
  </si>
  <si>
    <t>CALC_ACRE</t>
  </si>
  <si>
    <t>098</t>
  </si>
  <si>
    <t>https://arcgis5.roktech.net/arcgis/rest/services/habersham/habersham_rokmaps/MapServer/8</t>
  </si>
  <si>
    <t>016</t>
  </si>
  <si>
    <t xml:space="preserve">Mireye/Regrid reported 26.35 ac. </t>
  </si>
  <si>
    <t>34.20397641999998</t>
  </si>
  <si>
    <t>TOTALACRES</t>
  </si>
  <si>
    <t>C14    049</t>
  </si>
  <si>
    <t>https://services8.arcgis.com/bcbi4lYRFOsss0F5/ArcGIS/rest/services/jackson_baselayers/FeatureServer/9</t>
  </si>
  <si>
    <t>GIS_ACRES</t>
  </si>
  <si>
    <t>D10    049</t>
  </si>
  <si>
    <t>P O BOX 400</t>
  </si>
  <si>
    <t>https://services6.arcgis.com/BAJNi3EgCdtQ1BCG/arcgis/rest/services/Lumpkin_2025Parcels/FeatureServer/0</t>
  </si>
  <si>
    <t>34.76833751000002</t>
  </si>
  <si>
    <t>UNRESOLVED</t>
  </si>
  <si>
    <t>https://qpublic.schneidercorp.com/  (search county + address)</t>
  </si>
  <si>
    <t>qPublic (Schneider) - blocks automated access</t>
  </si>
  <si>
    <t>34.86402509999999</t>
  </si>
  <si>
    <t>071A   050</t>
  </si>
  <si>
    <t>https://services.arcgis.com/ISpzx3B5ZsVA6e1Z/ArcGIS/rest/services/Union_Parcels/FeatureServer/0</t>
  </si>
  <si>
    <t>34.70665254999999</t>
  </si>
  <si>
    <t>33.79645657999999</t>
  </si>
  <si>
    <t>33.89043801999999</t>
  </si>
  <si>
    <t>34.59702661999999</t>
  </si>
  <si>
    <t>totalacres</t>
  </si>
  <si>
    <t>CROSSPLAINS</t>
  </si>
  <si>
    <t>https://gis.whitfieldcountyga.com/server/rest/services/Parcels_and_Development/MapServer/4</t>
  </si>
  <si>
    <t>38.47579999999999</t>
  </si>
  <si>
    <t>county PVA site / https://qpublic.schneidercorp.com/</t>
  </si>
  <si>
    <t>KY PVA - no public service (state server hosts Webster Co only)</t>
  </si>
  <si>
    <t>38.40964997000001</t>
  </si>
  <si>
    <t>38.57342447000001</t>
  </si>
  <si>
    <t>35.13471956000002</t>
  </si>
  <si>
    <t>CALC_ACRES</t>
  </si>
  <si>
    <t>8.57013E+11</t>
  </si>
  <si>
    <t>2101 RIVERFRONT DR  #A</t>
  </si>
  <si>
    <t>https://services7.arcgis.com/WOKJvFrknOcT2chj/arcgis/rest/services/Accela_taxparcels/FeatureServer/0</t>
  </si>
  <si>
    <t>35.55692202999999</t>
  </si>
  <si>
    <t>DEEDACRE</t>
  </si>
  <si>
    <t>163 012</t>
  </si>
  <si>
    <t>KINETIC ABS NC LLC</t>
  </si>
  <si>
    <t>https://gis.rowancountync.gov/arcgis/rest/services/Public/RowanTaxParcels/MapServer/0</t>
  </si>
  <si>
    <t>CALCACRE</t>
  </si>
  <si>
    <t>357 085</t>
  </si>
  <si>
    <t>35.35404215000001</t>
  </si>
  <si>
    <t>6.54801E+11</t>
  </si>
  <si>
    <t>250 N FIRST ST</t>
  </si>
  <si>
    <t>https://services6.arcgis.com/w1igg0Q14weqYXUh/arcgis/rest/services/parcel_records_base_2/FeatureServer/3</t>
  </si>
  <si>
    <t>6.56301E+11</t>
  </si>
  <si>
    <t>238 N MAIN ST</t>
  </si>
  <si>
    <t>05-000-00-403-00</t>
  </si>
  <si>
    <t>4616  PARK AVE</t>
  </si>
  <si>
    <t>https://services2.arcgis.com/MlJ0G8iWUyC7jAmu/arcgis/rest/services/OhioStatewidePacels_full_view/FeatureServer/0</t>
  </si>
  <si>
    <t>41.80531692000002</t>
  </si>
  <si>
    <t>20-000-00-150-00</t>
  </si>
  <si>
    <t>37  FOREST ST</t>
  </si>
  <si>
    <t>40.05949739999999</t>
  </si>
  <si>
    <t>12-90007.000</t>
  </si>
  <si>
    <t>32699 OLD NATIONAL RD</t>
  </si>
  <si>
    <t>39.86595076000002</t>
  </si>
  <si>
    <t>53-90011.000</t>
  </si>
  <si>
    <t>BEN AVE</t>
  </si>
  <si>
    <t>41.38569895000002</t>
  </si>
  <si>
    <t>02-601000</t>
  </si>
  <si>
    <t>8425  BAINBRIDGE RD</t>
  </si>
  <si>
    <t>41.58128454000003</t>
  </si>
  <si>
    <t>10-601300</t>
  </si>
  <si>
    <t>205 S HAMBDEN ST</t>
  </si>
  <si>
    <t>40.64789637000001</t>
  </si>
  <si>
    <t>3.606E+11</t>
  </si>
  <si>
    <t>41.80027422000001</t>
  </si>
  <si>
    <t>01B8880006000</t>
  </si>
  <si>
    <t>2745  HUBBARD RD  MADISON 44057</t>
  </si>
  <si>
    <t>02005675401000</t>
  </si>
  <si>
    <t>131 E BROADWAY GRANVILLE, OH 43023 GRANVILLE 43023</t>
  </si>
  <si>
    <t>05428208405000</t>
  </si>
  <si>
    <t>HARRIS AVE NEWARK, OH 43055 NEWARK 43055</t>
  </si>
  <si>
    <t>40.05944852999998</t>
  </si>
  <si>
    <t>05428208401000</t>
  </si>
  <si>
    <t>66 N 4TH ST NEWARK, OH 43055 NEWARK 43055</t>
  </si>
  <si>
    <t xml:space="preserve">Mireye/Regrid reported 0.28 ac. </t>
  </si>
  <si>
    <t>40.08689351000001</t>
  </si>
  <si>
    <t>09629514601000</t>
  </si>
  <si>
    <t>40.05750810000003</t>
  </si>
  <si>
    <t>05428208406000</t>
  </si>
  <si>
    <t>685 W CHURCH ST NEWARK, OH 43055 NEWARK 43055</t>
  </si>
  <si>
    <t>40.01356484999999</t>
  </si>
  <si>
    <t>04113653601000</t>
  </si>
  <si>
    <t>0626055000001</t>
  </si>
  <si>
    <t xml:space="preserve">Mireye/Regrid reported 0.11 ac. </t>
  </si>
  <si>
    <t>41.23925716999999</t>
  </si>
  <si>
    <t>41.31113087000001</t>
  </si>
  <si>
    <t>Reeves County Appraisal District</t>
  </si>
  <si>
    <t>TX appraisal district - no public parcel service found</t>
  </si>
  <si>
    <t>nearest_tx_line_m</t>
  </si>
  <si>
    <t>nearest_tx_line_ft</t>
  </si>
  <si>
    <t>voltage_kv</t>
  </si>
  <si>
    <t>volt_class</t>
  </si>
  <si>
    <t>nearest_100kv_plus_m</t>
  </si>
  <si>
    <t>kv_100plus</t>
  </si>
  <si>
    <t>owner_100plus</t>
  </si>
  <si>
    <t>UNDER 100</t>
  </si>
  <si>
    <t>PROGRESS ENERGY CAROLINAS INC</t>
  </si>
  <si>
    <t>IN SERVICE</t>
  </si>
  <si>
    <t>https://services2.arcgis.com/FiaPA4ga0iQKduv3/arcgis/rest/services/US_Electric_Power_Transmission_Lines/FeatureServer/0</t>
  </si>
  <si>
    <t>NOT AVAILABLE</t>
  </si>
  <si>
    <t>GEORGIA POWER CO</t>
  </si>
  <si>
    <t>EAST KENTUCKY POWER COOP, INC</t>
  </si>
  <si>
    <t>100-161</t>
  </si>
  <si>
    <t>MIDAMERICAN ENERGY CO</t>
  </si>
  <si>
    <t>ONCOR ELECTRIC DELIVERY CO.</t>
  </si>
  <si>
    <t>KENTUCKY POWER CO</t>
  </si>
  <si>
    <t>AMERICAN TRANSMISSION SYSTEMS, INC.</t>
  </si>
  <si>
    <t>BARBOURVILLE UTILITY COMM</t>
  </si>
  <si>
    <t>OHIO POWER CO</t>
  </si>
  <si>
    <t>UNDER CONSTRUCTION</t>
  </si>
  <si>
    <t>TENNESSEE VALLEY AUTHORITY</t>
  </si>
  <si>
    <t>DUKE ENERGY FLORIDA, LLC</t>
  </si>
  <si>
    <t>PUBLIC SERVICE CO OF OKLAHOMA</t>
  </si>
  <si>
    <t>XCEL ENERGY</t>
  </si>
  <si>
    <t>220-287</t>
  </si>
  <si>
    <t>FLORIDA POWER &amp; LIGHT CO</t>
  </si>
  <si>
    <t>KENTUCKY UTILITIES CO</t>
  </si>
  <si>
    <t>SOUTHWESTERN POWER ADMINISTRATION</t>
  </si>
  <si>
    <t>DUKE ENERGY CAROLINAS, LLC</t>
  </si>
  <si>
    <t>WAPA-- WESTERN AREA POWER ADMINISTRATION</t>
  </si>
  <si>
    <t>ENTERGY ARKANSAS INC</t>
  </si>
  <si>
    <t>SOUTHWESTERN PUBLIC SERVICE CO</t>
  </si>
  <si>
    <t>SOUTHWESTERN PUBLIC SERVICE CO.</t>
  </si>
  <si>
    <t>CITY OF MONTEZUMA - (IA)</t>
  </si>
  <si>
    <t>AMERICAN TRANSMISSION</t>
  </si>
  <si>
    <t>SAM HOUSTON ELECTRIC COOP INC</t>
  </si>
  <si>
    <t>PEDERNALES ELECTRIC COOP, INC</t>
  </si>
  <si>
    <t>ALABAMA POWER CO</t>
  </si>
  <si>
    <t>BAILEY COUNTY ELEC COOP ASSN</t>
  </si>
  <si>
    <t>LIGHTHOUSE ELECTRIC COOP, INC</t>
  </si>
  <si>
    <t>NOT FOUND (no line within 15000 m)</t>
  </si>
  <si>
    <t>TEXAS-NEW MEXICO POWER CO.</t>
  </si>
  <si>
    <t>WHEELING POWER CO</t>
  </si>
  <si>
    <t>735 AND ABOVE</t>
  </si>
  <si>
    <t>ENTERGY TEXAS, INC.</t>
  </si>
  <si>
    <t>NORTHEAST OKLAHOMA ELECTRIC CO</t>
  </si>
  <si>
    <t>CENTERPOINT ENERGY HOUSTON ELECTRIC, LLC</t>
  </si>
  <si>
    <t>OKLAHOMA GAS &amp; ELECTRIC CO</t>
  </si>
  <si>
    <t>SOUTHWESTERN ELECTRIC POWER CO</t>
  </si>
  <si>
    <t>Nearest transmission capacity (kv)</t>
  </si>
  <si>
    <t>line_name</t>
  </si>
  <si>
    <t>line_from_sub</t>
  </si>
  <si>
    <t>line_to_sub</t>
  </si>
  <si>
    <t>line_id</t>
  </si>
  <si>
    <t>line_type</t>
  </si>
  <si>
    <t>voltage_basis</t>
  </si>
  <si>
    <t>attrs_inferred</t>
  </si>
  <si>
    <t>line_name_100plus</t>
  </si>
  <si>
    <t>line_id_100plus</t>
  </si>
  <si>
    <t>TAP147638 - TAP147639</t>
  </si>
  <si>
    <t>TAP147638</t>
  </si>
  <si>
    <t>TAP147639</t>
  </si>
  <si>
    <t>OVERHEAD</t>
  </si>
  <si>
    <t>class_band</t>
  </si>
  <si>
    <t>TAP147619 - WEST END</t>
  </si>
  <si>
    <t>UNKNOWN111786</t>
  </si>
  <si>
    <t>UNKNOWN111787</t>
  </si>
  <si>
    <t>not_published</t>
  </si>
  <si>
    <t>N</t>
  </si>
  <si>
    <t>TAP142751</t>
  </si>
  <si>
    <t>TAP140530 - SUB T</t>
  </si>
  <si>
    <t>TAP140530</t>
  </si>
  <si>
    <t>SUB T</t>
  </si>
  <si>
    <t>AC; OVERHEAD</t>
  </si>
  <si>
    <t>numeric</t>
  </si>
  <si>
    <t>TAP150494 - ALACHUA</t>
  </si>
  <si>
    <t>TAP150494</t>
  </si>
  <si>
    <t>ALACHUA</t>
  </si>
  <si>
    <t>GE ALACHUA - TAP151115</t>
  </si>
  <si>
    <t>TAP143289 - ALACHUA</t>
  </si>
  <si>
    <t>TAP143289</t>
  </si>
  <si>
    <t>UNKNOWN124782</t>
  </si>
  <si>
    <t>UNKNOWN124783</t>
  </si>
  <si>
    <t>TAP155474</t>
  </si>
  <si>
    <t>TAP150528</t>
  </si>
  <si>
    <t>UNKNOWN114426</t>
  </si>
  <si>
    <t>LUCAS CO - OTTUMWA GENERATION STATION</t>
  </si>
  <si>
    <t>LUCAS CO</t>
  </si>
  <si>
    <t>OTTUMWA GENERATION STATION</t>
  </si>
  <si>
    <t>TAP301929</t>
  </si>
  <si>
    <t>BELLEFONTE</t>
  </si>
  <si>
    <t>UNKNOWN121253</t>
  </si>
  <si>
    <t>BELLEFONTE - NORTH PROCTORVILLE SUBSTATION</t>
  </si>
  <si>
    <t>BELLEFONTE - PRINCESS</t>
  </si>
  <si>
    <t>PRINCESS</t>
  </si>
  <si>
    <t>BAKER - HANGING ROCK</t>
  </si>
  <si>
    <t>UNKNOWN131001</t>
  </si>
  <si>
    <t>UNKNOWN168109</t>
  </si>
  <si>
    <t>EXIRA</t>
  </si>
  <si>
    <t>CASE - AURORA</t>
  </si>
  <si>
    <t>CASE</t>
  </si>
  <si>
    <t>AURORA</t>
  </si>
  <si>
    <t>JUNIPER - HANNA</t>
  </si>
  <si>
    <t>LEROY CENTER</t>
  </si>
  <si>
    <t>UNKNOWN137113</t>
  </si>
  <si>
    <t>TAP153139</t>
  </si>
  <si>
    <t>UNKNOWN110332</t>
  </si>
  <si>
    <t>UNKNOWN109489</t>
  </si>
  <si>
    <t>UNKNOWN109491</t>
  </si>
  <si>
    <t>TAP155041</t>
  </si>
  <si>
    <t>SPEIDEL - BARNESVILLE</t>
  </si>
  <si>
    <t>SPEIDEL</t>
  </si>
  <si>
    <t>BARNESVILLE</t>
  </si>
  <si>
    <t>TAP155090</t>
  </si>
  <si>
    <t>UNKNOWN129944</t>
  </si>
  <si>
    <t>UNKNOWN109449</t>
  </si>
  <si>
    <t>UNKNOWN121396</t>
  </si>
  <si>
    <t>YOUNGCANE - BLAIRSVILLE</t>
  </si>
  <si>
    <t>YOUNGCANE</t>
  </si>
  <si>
    <t>BLAIRSVILLE</t>
  </si>
  <si>
    <t>UNKNOWN111113</t>
  </si>
  <si>
    <t>UNKNOWN111114</t>
  </si>
  <si>
    <t>FORT WHITE</t>
  </si>
  <si>
    <t>UNKNOWN107673</t>
  </si>
  <si>
    <t>TAP155074</t>
  </si>
  <si>
    <t>UNKNOWN125497</t>
  </si>
  <si>
    <t>BROWN PLANT</t>
  </si>
  <si>
    <t>UNKNOWN118409</t>
  </si>
  <si>
    <t>UNKNOWN119537</t>
  </si>
  <si>
    <t>TAP149292</t>
  </si>
  <si>
    <t>UNKNOWN119540</t>
  </si>
  <si>
    <t>TAP149299</t>
  </si>
  <si>
    <t>UNKNOWN118449</t>
  </si>
  <si>
    <t>ONETA - NORTHEASTERN (345KV)</t>
  </si>
  <si>
    <t>ONETA</t>
  </si>
  <si>
    <t>NORTHEASTERN (345KV)</t>
  </si>
  <si>
    <t>UNKNOWN121735</t>
  </si>
  <si>
    <t>UNKNOWN121738</t>
  </si>
  <si>
    <t>TAP137345</t>
  </si>
  <si>
    <t>GOODPASTURE - BROWNFIELD SWITCHING</t>
  </si>
  <si>
    <t>GOODPASTURE</t>
  </si>
  <si>
    <t>BROWNFIELD SWITCHING</t>
  </si>
  <si>
    <t>TUCO</t>
  </si>
  <si>
    <t>TAP155086</t>
  </si>
  <si>
    <t>UNKNOWN125401</t>
  </si>
  <si>
    <t>COOPER</t>
  </si>
  <si>
    <t>UNKNOWN111599</t>
  </si>
  <si>
    <t>UNKNOWN116698</t>
  </si>
  <si>
    <t>TAP143132</t>
  </si>
  <si>
    <t>YULEE</t>
  </si>
  <si>
    <t>UNKNOWN120481</t>
  </si>
  <si>
    <t>TAP155483</t>
  </si>
  <si>
    <t>UNKNOWN124806</t>
  </si>
  <si>
    <t>TAP160471</t>
  </si>
  <si>
    <t>UNKNOWN111132</t>
  </si>
  <si>
    <t>UNKNOWN172553</t>
  </si>
  <si>
    <t>TAP173568</t>
  </si>
  <si>
    <t>UNKNOWN156481</t>
  </si>
  <si>
    <t>SOUTH HICKSVILLE - LOCKWOOD RD</t>
  </si>
  <si>
    <t>CENTERVILLE</t>
  </si>
  <si>
    <t>TAP143049 - TAP169139</t>
  </si>
  <si>
    <t>TAP143049</t>
  </si>
  <si>
    <t>TAP169139</t>
  </si>
  <si>
    <t>TAP148482</t>
  </si>
  <si>
    <t>UNKNOWN112912</t>
  </si>
  <si>
    <t>UNKNOWN132644</t>
  </si>
  <si>
    <t>TAP176873</t>
  </si>
  <si>
    <t>UNKNOWN109911</t>
  </si>
  <si>
    <t>UNKNOWN119169</t>
  </si>
  <si>
    <t>UNKNOWN119170</t>
  </si>
  <si>
    <t>UNKNOWN114688</t>
  </si>
  <si>
    <t>UNKNOWN114689</t>
  </si>
  <si>
    <t>UNKNOWN131420</t>
  </si>
  <si>
    <t>UNKNOWN168198</t>
  </si>
  <si>
    <t>TAP173810</t>
  </si>
  <si>
    <t>UNKNOWN173811</t>
  </si>
  <si>
    <t>UNKNOWN110446</t>
  </si>
  <si>
    <t>UNKNOWN110447</t>
  </si>
  <si>
    <t>TAP151228</t>
  </si>
  <si>
    <t>AVON LAKE - JUNIPER</t>
  </si>
  <si>
    <t>AVON LAKE</t>
  </si>
  <si>
    <t>JUNIPER</t>
  </si>
  <si>
    <t>SUB T - LOUISA</t>
  </si>
  <si>
    <t>LOUISA</t>
  </si>
  <si>
    <t>UNKNOWN111494</t>
  </si>
  <si>
    <t>UNKNOWN111501</t>
  </si>
  <si>
    <t>ONETA - CLARKSVILLE</t>
  </si>
  <si>
    <t>CLARKSVILLE</t>
  </si>
  <si>
    <t>DEADEND172586</t>
  </si>
  <si>
    <t>UNKNOWN168404</t>
  </si>
  <si>
    <t>CRESTON</t>
  </si>
  <si>
    <t>UNKNOWN117366</t>
  </si>
  <si>
    <t>UNKNOWN107892</t>
  </si>
  <si>
    <t>UNKNOWN117215</t>
  </si>
  <si>
    <t>TAP160520</t>
  </si>
  <si>
    <t>UNKNOWN160519</t>
  </si>
  <si>
    <t>ARNOLD - TAP154618</t>
  </si>
  <si>
    <t>TAP155238</t>
  </si>
  <si>
    <t>UNKNOWN110442</t>
  </si>
  <si>
    <t>TAP155196</t>
  </si>
  <si>
    <t>UNKNOWN107953</t>
  </si>
  <si>
    <t>UNKNOWN108006</t>
  </si>
  <si>
    <t>TAP303669</t>
  </si>
  <si>
    <t>DALLAM</t>
  </si>
  <si>
    <t>TAP145943 - TAP173382</t>
  </si>
  <si>
    <t>TAP145943</t>
  </si>
  <si>
    <t>TAP173382</t>
  </si>
  <si>
    <t>UNKNOWN111737</t>
  </si>
  <si>
    <t>UNKNOWN176209</t>
  </si>
  <si>
    <t>UNKNOWN113825</t>
  </si>
  <si>
    <t>UNKNOWN171366</t>
  </si>
  <si>
    <t>UNKNOWN111610</t>
  </si>
  <si>
    <t>UNKNOWN111611</t>
  </si>
  <si>
    <t>TAP159141</t>
  </si>
  <si>
    <t>UNKNOWN159143</t>
  </si>
  <si>
    <t>DUMAS 19TH STREET</t>
  </si>
  <si>
    <t>UNKNOWN301331</t>
  </si>
  <si>
    <t>UNKNOWN159100</t>
  </si>
  <si>
    <t>UNKNOWN163555</t>
  </si>
  <si>
    <t>DUNDEE - HICKORY CREEK</t>
  </si>
  <si>
    <t>ELK WIND FARM</t>
  </si>
  <si>
    <t>SALEM - HAZLETON</t>
  </si>
  <si>
    <t>UNKNOWN113152</t>
  </si>
  <si>
    <t>UNKNOWN113217</t>
  </si>
  <si>
    <t>TAP171401 - TAP172609</t>
  </si>
  <si>
    <t>TAP171401</t>
  </si>
  <si>
    <t>TAP172609</t>
  </si>
  <si>
    <t>UNKNOWN113248</t>
  </si>
  <si>
    <t>UNKNOWN113295</t>
  </si>
  <si>
    <t>UNKNOWN130503</t>
  </si>
  <si>
    <t>UNKNOWN130507</t>
  </si>
  <si>
    <t>TAP154622 - TAP160523</t>
  </si>
  <si>
    <t>TAP154622</t>
  </si>
  <si>
    <t>TAP160523</t>
  </si>
  <si>
    <t>HARLAN Y - ARNOLD</t>
  </si>
  <si>
    <t>TAP137749</t>
  </si>
  <si>
    <t>UNKNOWN137739</t>
  </si>
  <si>
    <t>JEFFERSON - HENRY CO</t>
  </si>
  <si>
    <t>UNKNOWN111755</t>
  </si>
  <si>
    <t>UNKNOWN116847</t>
  </si>
  <si>
    <t>BELLEFONTE - RUSSELL</t>
  </si>
  <si>
    <t>RUSSELL</t>
  </si>
  <si>
    <t>CHADWICK - RUSSELL</t>
  </si>
  <si>
    <t>TAP137340</t>
  </si>
  <si>
    <t>UNKNOWN121422</t>
  </si>
  <si>
    <t>UNKNOWN111393</t>
  </si>
  <si>
    <t>UNKNOWN111565</t>
  </si>
  <si>
    <t>UNKNOWN121602</t>
  </si>
  <si>
    <t>UNKNOWN161364</t>
  </si>
  <si>
    <t>FOREST CITY LIGHT PLANT</t>
  </si>
  <si>
    <t>TAP163601</t>
  </si>
  <si>
    <t>TAP136893 - PERRY</t>
  </si>
  <si>
    <t>TAP136893</t>
  </si>
  <si>
    <t>TAP171386</t>
  </si>
  <si>
    <t>UNKNOWN112973</t>
  </si>
  <si>
    <t>NORTH NEWARK SUBSTATION</t>
  </si>
  <si>
    <t>GREENBRIER</t>
  </si>
  <si>
    <t>UNKNOWN108014</t>
  </si>
  <si>
    <t>NORTH - TAP177103</t>
  </si>
  <si>
    <t>NORTH</t>
  </si>
  <si>
    <t>TAP177103</t>
  </si>
  <si>
    <t>CRESTON - ANITA</t>
  </si>
  <si>
    <t>UNKNOWN137848</t>
  </si>
  <si>
    <t>JEFFERSON - HANGING ROCK</t>
  </si>
  <si>
    <t>UNKNOWN173659</t>
  </si>
  <si>
    <t>UNKNOWN173801</t>
  </si>
  <si>
    <t>MONTEZUMA SWITCHING STATION - BONDURANT</t>
  </si>
  <si>
    <t>UNKNOWN107930</t>
  </si>
  <si>
    <t>UNKNOWN121832</t>
  </si>
  <si>
    <t>HAZARD</t>
  </si>
  <si>
    <t>UNKNOWN121485</t>
  </si>
  <si>
    <t>HAZARD - WOOTON</t>
  </si>
  <si>
    <t>TAP151237</t>
  </si>
  <si>
    <t>UNKNOWN116503</t>
  </si>
  <si>
    <t>HAYESVILLE</t>
  </si>
  <si>
    <t>DUVAL - THALMANN</t>
  </si>
  <si>
    <t>DUVAL</t>
  </si>
  <si>
    <t>THALMANN</t>
  </si>
  <si>
    <t>HIGHLAND - CHAMBERLIN</t>
  </si>
  <si>
    <t>HIGHLAND</t>
  </si>
  <si>
    <t>CHAMBERLIN</t>
  </si>
  <si>
    <t>TAP159090 - TAP159092</t>
  </si>
  <si>
    <t>TAP159090</t>
  </si>
  <si>
    <t>TAP159092</t>
  </si>
  <si>
    <t>TURKEY RIVER - TAP400199</t>
  </si>
  <si>
    <t>TAP148087 - DARROW</t>
  </si>
  <si>
    <t>TAP148087</t>
  </si>
  <si>
    <t>DARROW</t>
  </si>
  <si>
    <t>DARROW - HANNA</t>
  </si>
  <si>
    <t>UNKNOWN112784</t>
  </si>
  <si>
    <t>UNKNOWN301204</t>
  </si>
  <si>
    <t>UNKNOWN301486</t>
  </si>
  <si>
    <t>MEAG3</t>
  </si>
  <si>
    <t>UNKNOWN112282</t>
  </si>
  <si>
    <t>TAP169054</t>
  </si>
  <si>
    <t>UNKNOWN169053</t>
  </si>
  <si>
    <t>UNKNOWN130435</t>
  </si>
  <si>
    <t>UNKNOWN168197</t>
  </si>
  <si>
    <t>TAP140023</t>
  </si>
  <si>
    <t>UNKNOWN137331</t>
  </si>
  <si>
    <t>TRAVIS</t>
  </si>
  <si>
    <t>UNKNOWN302447</t>
  </si>
  <si>
    <t>TAP136902</t>
  </si>
  <si>
    <t>UNKNOWN113675</t>
  </si>
  <si>
    <t>KNOXVILLE BATTERY ENERGY STORAGE</t>
  </si>
  <si>
    <t>UNKNOWN137742</t>
  </si>
  <si>
    <t>ROCK SPRING</t>
  </si>
  <si>
    <t>UNKNOWN109795</t>
  </si>
  <si>
    <t>SHINROCK</t>
  </si>
  <si>
    <t>LEHIGH - RAUN</t>
  </si>
  <si>
    <t>UNKNOWN300952</t>
  </si>
  <si>
    <t>UNKNOWN301048</t>
  </si>
  <si>
    <t>TAP173822 - DEADEND173825</t>
  </si>
  <si>
    <t>TAP173822</t>
  </si>
  <si>
    <t>DEADEND173825</t>
  </si>
  <si>
    <t>TAP154604</t>
  </si>
  <si>
    <t>TAP145830</t>
  </si>
  <si>
    <t>UNKNOWN110130</t>
  </si>
  <si>
    <t>TAP155982</t>
  </si>
  <si>
    <t>UNKNOWN124713</t>
  </si>
  <si>
    <t>TAP155580</t>
  </si>
  <si>
    <t>UNKNOWN302193</t>
  </si>
  <si>
    <t>TAP300226</t>
  </si>
  <si>
    <t>UNKNOWN301554</t>
  </si>
  <si>
    <t>UNKNOWN304715</t>
  </si>
  <si>
    <t>PLANT X</t>
  </si>
  <si>
    <t>LIVE OAK</t>
  </si>
  <si>
    <t>UNKNOWN107674</t>
  </si>
  <si>
    <t>DUNDEE</t>
  </si>
  <si>
    <t>HICKORY CREEK</t>
  </si>
  <si>
    <t>DUNDEE - COGGON</t>
  </si>
  <si>
    <t>COGGON</t>
  </si>
  <si>
    <t>UNKNOWN112106</t>
  </si>
  <si>
    <t>UNKNOWN116695</t>
  </si>
  <si>
    <t>TAP168104 - TAP168107</t>
  </si>
  <si>
    <t>TAP168104</t>
  </si>
  <si>
    <t>TAP168107</t>
  </si>
  <si>
    <t>UNKNOWN107670</t>
  </si>
  <si>
    <t>UNKNOWN111843</t>
  </si>
  <si>
    <t>UNKNOWN154655</t>
  </si>
  <si>
    <t>TAP155816</t>
  </si>
  <si>
    <t>UNKNOWN302870</t>
  </si>
  <si>
    <t>UNKNOWN305278</t>
  </si>
  <si>
    <t>FLOYD</t>
  </si>
  <si>
    <t>UNKNOWN113534</t>
  </si>
  <si>
    <t>UNKNOWN113536</t>
  </si>
  <si>
    <t>DOYLE ENERGY FACILITY</t>
  </si>
  <si>
    <t>UNKNOWN133851</t>
  </si>
  <si>
    <t>UNKNOWN116149</t>
  </si>
  <si>
    <t>UNKNOWN116150</t>
  </si>
  <si>
    <t>UNKNOWN116910</t>
  </si>
  <si>
    <t>UNKNOWN116911</t>
  </si>
  <si>
    <t>TAP142440</t>
  </si>
  <si>
    <t>UNKNOWN124791</t>
  </si>
  <si>
    <t>UNKNOWN176197</t>
  </si>
  <si>
    <t>MCCREARY COUNTY - TAP155477</t>
  </si>
  <si>
    <t>TAP142570</t>
  </si>
  <si>
    <t>UNKNOWN112347</t>
  </si>
  <si>
    <t>TAP160510</t>
  </si>
  <si>
    <t>UNKNOWN157707</t>
  </si>
  <si>
    <t>RODBURN - TAP137343</t>
  </si>
  <si>
    <t>TAP142756</t>
  </si>
  <si>
    <t>UNKNOWN116718</t>
  </si>
  <si>
    <t>TAP142748 - TAP142757</t>
  </si>
  <si>
    <t>TAP142748</t>
  </si>
  <si>
    <t>TAP142757</t>
  </si>
  <si>
    <t>MT PLEASANT</t>
  </si>
  <si>
    <t>UNKNOWN109495</t>
  </si>
  <si>
    <t>UNKNOWN125068</t>
  </si>
  <si>
    <t>UNKNOWN111791</t>
  </si>
  <si>
    <t>UNKNOWN111792</t>
  </si>
  <si>
    <t>UNKNOWN132119</t>
  </si>
  <si>
    <t>UNKNOWN173446</t>
  </si>
  <si>
    <t>NEW HAMPTON</t>
  </si>
  <si>
    <t>PIONEER PRAIRIE PHASE I - HAZLETON</t>
  </si>
  <si>
    <t>UNKNOWN112976</t>
  </si>
  <si>
    <t>UNKNOWN112977</t>
  </si>
  <si>
    <t>UNKNOWN171395</t>
  </si>
  <si>
    <t>TAP158957</t>
  </si>
  <si>
    <t>UNKNOWN163359</t>
  </si>
  <si>
    <t>KIRK</t>
  </si>
  <si>
    <t>UNKNOWN113882</t>
  </si>
  <si>
    <t>UNKNOWN158903</t>
  </si>
  <si>
    <t>TAP151048</t>
  </si>
  <si>
    <t>UNKNOWN131595</t>
  </si>
  <si>
    <t>UNKNOWN137653</t>
  </si>
  <si>
    <t>JASPER</t>
  </si>
  <si>
    <t>TAP160500</t>
  </si>
  <si>
    <t>UNKNOWN129158</t>
  </si>
  <si>
    <t>BROWN PLANT - TAP155024</t>
  </si>
  <si>
    <t>UNKNOWN301022</t>
  </si>
  <si>
    <t>HANNA</t>
  </si>
  <si>
    <t>UNKNOWN114221</t>
  </si>
  <si>
    <t>TAP121270</t>
  </si>
  <si>
    <t>UNKNOWN121271</t>
  </si>
  <si>
    <t>TAP137349</t>
  </si>
  <si>
    <t>UNKNOWN121760</t>
  </si>
  <si>
    <t>TAP137344</t>
  </si>
  <si>
    <t>UNKNOWN153927</t>
  </si>
  <si>
    <t>HAVILAND - TIMBER SWITCH</t>
  </si>
  <si>
    <t>UNKNOWN300467</t>
  </si>
  <si>
    <t>PECOS</t>
  </si>
  <si>
    <t>TAP137177 - TAP137179</t>
  </si>
  <si>
    <t>TAP137177</t>
  </si>
  <si>
    <t>TAP137179</t>
  </si>
  <si>
    <t>TAP160570 - TAP176816</t>
  </si>
  <si>
    <t>TAP160570</t>
  </si>
  <si>
    <t>TAP176816</t>
  </si>
  <si>
    <t>PERRY - TAP160570</t>
  </si>
  <si>
    <t>PERRY - LEROY CENTER</t>
  </si>
  <si>
    <t>OCHILTREE</t>
  </si>
  <si>
    <t>TAP159234 - TAP159236</t>
  </si>
  <si>
    <t>TAP159234</t>
  </si>
  <si>
    <t>TAP159236</t>
  </si>
  <si>
    <t>PITTS - NORTH TIFTON</t>
  </si>
  <si>
    <t>PITTS</t>
  </si>
  <si>
    <t>NORTH TIFTON</t>
  </si>
  <si>
    <t>TAP159852</t>
  </si>
  <si>
    <t>UNKNOWN159853</t>
  </si>
  <si>
    <t>TAP149548 - TAP149655</t>
  </si>
  <si>
    <t>UNKNOWN159854</t>
  </si>
  <si>
    <t>TAP149548</t>
  </si>
  <si>
    <t>KAMMER (138KV) - GEORGE WASHINGTON</t>
  </si>
  <si>
    <t>KAMMER (138KV)</t>
  </si>
  <si>
    <t>GEORGE WASHINGTON</t>
  </si>
  <si>
    <t>PURCELL</t>
  </si>
  <si>
    <t>UNKNOWN119290</t>
  </si>
  <si>
    <t>KAMMER (765KV)</t>
  </si>
  <si>
    <t>UNKNOWN151647</t>
  </si>
  <si>
    <t>TAP137138 - WEST AKRON</t>
  </si>
  <si>
    <t>TAP137138</t>
  </si>
  <si>
    <t>WEST AKRON</t>
  </si>
  <si>
    <t>UNKNOWN114573</t>
  </si>
  <si>
    <t>UNKNOWN114701</t>
  </si>
  <si>
    <t>TAP303442</t>
  </si>
  <si>
    <t>UNKNOWN304022</t>
  </si>
  <si>
    <t>TAP138391</t>
  </si>
  <si>
    <t>UNKNOWN129154</t>
  </si>
  <si>
    <t>CAMPGROUND - TAP138385</t>
  </si>
  <si>
    <t>POYEN - TAP149972</t>
  </si>
  <si>
    <t>POYEN</t>
  </si>
  <si>
    <t>TAP149972</t>
  </si>
  <si>
    <t>TAP155030</t>
  </si>
  <si>
    <t>UNKNOWN125487</t>
  </si>
  <si>
    <t>BROWN PLANT - HARDIN</t>
  </si>
  <si>
    <t>UNKNOWN118418</t>
  </si>
  <si>
    <t>UNKNOWN118419</t>
  </si>
  <si>
    <t>TAP149396</t>
  </si>
  <si>
    <t>ALIEF</t>
  </si>
  <si>
    <t>IMPERIAL - TAP305071</t>
  </si>
  <si>
    <t>IMPERIAL</t>
  </si>
  <si>
    <t>TAP305071</t>
  </si>
  <si>
    <t>TAP149900</t>
  </si>
  <si>
    <t>UNKNOWN110421</t>
  </si>
  <si>
    <t>SWEENY</t>
  </si>
  <si>
    <t>UNKNOWN112376</t>
  </si>
  <si>
    <t>UNKNOWN155699</t>
  </si>
  <si>
    <t>UNKNOWN118594</t>
  </si>
  <si>
    <t>UNKNOWN119057</t>
  </si>
  <si>
    <t>TAP149653</t>
  </si>
  <si>
    <t>UNKNOWN115676</t>
  </si>
  <si>
    <t>UNKNOWN142386</t>
  </si>
  <si>
    <t>UNKNOWN115678</t>
  </si>
  <si>
    <t>TIPTON</t>
  </si>
  <si>
    <t>EAST CALAMUS - SUTLIFF</t>
  </si>
  <si>
    <t>MARSHALLTOWN</t>
  </si>
  <si>
    <t>UNKNOWN131065</t>
  </si>
  <si>
    <t>TRAER</t>
  </si>
  <si>
    <t>UNKNOWN137975</t>
  </si>
  <si>
    <t>UNKNOWN110420</t>
  </si>
  <si>
    <t>UNKNOWN110422</t>
  </si>
  <si>
    <t>TAP168566</t>
  </si>
  <si>
    <t>UNKNOWN119550</t>
  </si>
  <si>
    <t>CASE - TWINSBURG</t>
  </si>
  <si>
    <t>TWINSBURG</t>
  </si>
  <si>
    <t>JEFFERSON</t>
  </si>
  <si>
    <t>HANGING ROCK</t>
  </si>
  <si>
    <t>TAP159661</t>
  </si>
  <si>
    <t>UNKNOWN119087</t>
  </si>
  <si>
    <t>WEBBERS FALLS</t>
  </si>
  <si>
    <t>UNKNOWN121600</t>
  </si>
  <si>
    <t>UNKNOWN121601</t>
  </si>
  <si>
    <t>TAP159676</t>
  </si>
  <si>
    <t>UNKNOWN119008</t>
  </si>
  <si>
    <t>TAP149257 - TAP149258</t>
  </si>
  <si>
    <t>GREENLAND - TAP149406</t>
  </si>
  <si>
    <t>GREENLAND</t>
  </si>
  <si>
    <t>TAP149406</t>
  </si>
  <si>
    <t>WESTSIDE WASTEWATER TREATMENT PLANT - FAYETTEVILLE SOUTH</t>
  </si>
  <si>
    <t>MONTEZUMA SWITCHING STATION - HILLS</t>
  </si>
  <si>
    <t>MONTEZUMA SWITCHING STATION</t>
  </si>
  <si>
    <t>HILLS</t>
  </si>
  <si>
    <t>WINDER</t>
  </si>
  <si>
    <t>UNKNOWN111503</t>
  </si>
  <si>
    <t>MIDDLETOWN 345 KV</t>
  </si>
  <si>
    <t>UNKNOWN129145</t>
  </si>
  <si>
    <t>Distance: Nearest transmission (mi)</t>
  </si>
  <si>
    <t>[Davis notes?]</t>
  </si>
  <si>
    <t>Were you making notes in the Windstream 200 file? If so, possible to move those to the main Targeted_Sites_Overview file?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</si>
</sst>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7" formatCode="#,##0.0"/>
    <numFmt numFmtId="168" formatCode="\$0.0000"/>
    <numFmt numFmtId="169" formatCode="0.0000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1A042E"/>
      <name val="Arial"/>
      <family val="2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rgb="FF9C6500"/>
      <name val="Arial"/>
      <family val="2"/>
    </font>
    <font>
      <i/>
      <sz val="9"/>
      <color rgb="FF808080"/>
      <name val="Arial"/>
      <family val="2"/>
    </font>
    <font>
      <b/>
      <sz val="9"/>
      <color rgb="FF006100"/>
      <name val="Arial"/>
      <family val="2"/>
    </font>
    <font>
      <b/>
      <sz val="9"/>
      <color rgb="FF9C0006"/>
      <name val="Arial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  <charset val="1"/>
    </font>
    <font>
      <sz val="10"/>
      <name val="Arial"/>
      <family val="2"/>
    </font>
    <font>
      <sz val="10"/>
      <color rgb="FF0000FF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D9D9D9"/>
      </patternFill>
    </fill>
    <fill>
      <patternFill patternType="solid"/>
    </fill>
    <fill>
      <patternFill patternType="solid">
        <fgColor rgb="FF6B3A5B"/>
      </patternFill>
    </fill>
    <fill>
      <patternFill patternType="solid">
        <fgColor rgb="FF555555"/>
      </patternFill>
    </fill>
    <fill>
      <patternFill patternType="solid">
        <fgColor rgb="FF1F4E79"/>
      </patternFill>
    </fill>
    <fill>
      <patternFill patternType="solid">
        <fgColor rgb="FF4A5A23"/>
      </patternFill>
    </fill>
    <fill>
      <patternFill patternType="solid">
        <fgColor rgb="FF1F5F6B"/>
      </patternFill>
    </fill>
    <fill>
      <patternFill patternType="solid">
        <fgColor rgb="FF7A2020"/>
      </patternFill>
    </fill>
    <fill>
      <patternFill patternType="solid">
        <fgColor rgb="FF5A3E7A"/>
      </patternFill>
    </fill>
    <fill>
      <patternFill patternType="solid">
        <fgColor rgb="FF7A4A00"/>
      </patternFill>
    </fill>
    <fill>
      <patternFill patternType="solid">
        <fgColor rgb="FF2E5A46"/>
      </patternFill>
    </fill>
    <fill>
      <patternFill patternType="solid">
        <fgColor rgb="FF1F38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5">
    <xf numFmtId="0" fontId="0" fillId="0" borderId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2" fillId="0" borderId="0"/>
  </cellStyleXfs>
  <cellXfs count="67">
    <xf numFmtId="0" fontId="0" fillId="0" borderId="0" xfId="0"/>
    <xf numFmtId="0" fontId="2" fillId="3" borderId="0" xfId="3" applyFill="1"/>
    <xf numFmtId="14" fontId="0" fillId="3" borderId="0" xfId="0" applyNumberFormat="1" applyFill="1"/>
    <xf numFmtId="165" fontId="0" fillId="3" borderId="0" xfId="2" applyNumberFormat="1" applyFont="1" applyFill="1"/>
    <xf numFmtId="164" fontId="0" fillId="3" borderId="0" xfId="1" applyNumberFormat="1" applyFont="1" applyFill="1"/>
    <xf numFmtId="0" fontId="0" fillId="3" borderId="0" xfId="0" applyFill="1"/>
    <xf numFmtId="165" fontId="0" fillId="0" borderId="0" xfId="2" applyNumberFormat="1" applyFont="1" applyFill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1" applyNumberFormat="1" applyFont="1" applyFill="1"/>
    <xf numFmtId="14" fontId="0" fillId="0" borderId="0" xfId="0" applyNumberFormat="1"/>
    <xf numFmtId="0" fontId="2" fillId="0" borderId="0" xfId="3" applyFill="1"/>
    <xf numFmtId="0" fontId="3" fillId="0" borderId="0" xfId="0" applyFont="1"/>
    <xf numFmtId="3" fontId="0" fillId="0" borderId="0" xfId="0" applyNumberFormat="1"/>
    <xf numFmtId="3" fontId="1" fillId="0" borderId="0" xfId="0" applyNumberFormat="1" applyFont="1"/>
    <xf numFmtId="3" fontId="0" fillId="3" borderId="0" xfId="0" applyNumberFormat="1" applyFill="1"/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/>
    </xf>
    <xf numFmtId="3" fontId="6" fillId="0" borderId="1" xfId="0" applyNumberFormat="1" applyFont="1" applyBorder="1" applyAlignment="1">
      <alignment vertical="top"/>
    </xf>
    <xf numFmtId="2" fontId="6" fillId="0" borderId="1" xfId="0" applyNumberFormat="1" applyFont="1" applyBorder="1" applyAlignment="1">
      <alignment vertical="top"/>
    </xf>
    <xf numFmtId="168" fontId="6" fillId="0" borderId="1" xfId="0" applyNumberFormat="1" applyFont="1" applyBorder="1" applyAlignment="1">
      <alignment vertical="top"/>
    </xf>
    <xf numFmtId="0" fontId="7" fillId="6" borderId="1" xfId="0" applyFont="1" applyFill="1" applyBorder="1" applyAlignment="1">
      <alignment vertical="top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/>
    </xf>
    <xf numFmtId="167" fontId="6" fillId="0" borderId="1" xfId="0" applyNumberFormat="1" applyFont="1" applyBorder="1" applyAlignment="1">
      <alignment vertical="top"/>
    </xf>
    <xf numFmtId="0" fontId="9" fillId="4" borderId="1" xfId="0" applyFont="1" applyFill="1" applyBorder="1" applyAlignment="1">
      <alignment vertical="top"/>
    </xf>
    <xf numFmtId="0" fontId="10" fillId="5" borderId="1" xfId="0" applyFont="1" applyFill="1" applyBorder="1" applyAlignment="1">
      <alignment vertical="top"/>
    </xf>
    <xf numFmtId="0" fontId="5" fillId="7" borderId="1" xfId="0" applyFont="1" applyFill="1" applyBorder="1" applyAlignment="1">
      <alignment horizontal="center" vertical="center" wrapText="1"/>
    </xf>
    <xf numFmtId="9" fontId="0" fillId="0" borderId="0" xfId="0" applyNumberFormat="1"/>
    <xf numFmtId="0" fontId="11" fillId="8" borderId="1" xfId="0" applyFont="1" applyFill="1" applyBorder="1" applyAlignment="1">
      <alignment vertical="center"/>
    </xf>
    <xf numFmtId="0" fontId="0" fillId="8" borderId="1" xfId="0" applyFill="1" applyBorder="1"/>
    <xf numFmtId="0" fontId="11" fillId="14" borderId="1" xfId="0" applyFont="1" applyFill="1" applyBorder="1" applyAlignment="1">
      <alignment vertical="center"/>
    </xf>
    <xf numFmtId="0" fontId="0" fillId="14" borderId="1" xfId="0" applyFill="1" applyBorder="1"/>
    <xf numFmtId="0" fontId="11" fillId="17" borderId="1" xfId="0" applyFont="1" applyFill="1" applyBorder="1" applyAlignment="1">
      <alignment vertical="center"/>
    </xf>
    <xf numFmtId="0" fontId="0" fillId="17" borderId="1" xfId="0" applyFill="1" applyBorder="1"/>
    <xf numFmtId="0" fontId="11" fillId="13" borderId="1" xfId="0" applyFont="1" applyFill="1" applyBorder="1" applyAlignment="1">
      <alignment vertical="center"/>
    </xf>
    <xf numFmtId="0" fontId="0" fillId="13" borderId="1" xfId="0" applyFill="1" applyBorder="1"/>
    <xf numFmtId="0" fontId="11" fillId="11" borderId="1" xfId="0" applyFont="1" applyFill="1" applyBorder="1" applyAlignment="1">
      <alignment vertical="center"/>
    </xf>
    <xf numFmtId="0" fontId="0" fillId="11" borderId="1" xfId="0" applyFill="1" applyBorder="1"/>
    <xf numFmtId="0" fontId="11" fillId="16" borderId="1" xfId="0" applyFont="1" applyFill="1" applyBorder="1" applyAlignment="1">
      <alignment vertical="center"/>
    </xf>
    <xf numFmtId="0" fontId="0" fillId="16" borderId="1" xfId="0" applyFill="1" applyBorder="1"/>
    <xf numFmtId="0" fontId="11" fillId="18" borderId="1" xfId="0" applyFont="1" applyFill="1" applyBorder="1" applyAlignment="1">
      <alignment vertical="center"/>
    </xf>
    <xf numFmtId="0" fontId="0" fillId="18" borderId="1" xfId="0" applyFill="1" applyBorder="1"/>
    <xf numFmtId="0" fontId="11" fillId="9" borderId="1" xfId="0" applyFont="1" applyFill="1" applyBorder="1" applyAlignment="1">
      <alignment vertical="center"/>
    </xf>
    <xf numFmtId="0" fontId="0" fillId="9" borderId="1" xfId="0" applyFill="1" applyBorder="1"/>
    <xf numFmtId="0" fontId="11" fillId="12" borderId="1" xfId="0" applyFont="1" applyFill="1" applyBorder="1" applyAlignment="1">
      <alignment vertical="center"/>
    </xf>
    <xf numFmtId="0" fontId="0" fillId="12" borderId="1" xfId="0" applyFill="1" applyBorder="1"/>
    <xf numFmtId="0" fontId="11" fillId="15" borderId="1" xfId="0" applyFont="1" applyFill="1" applyBorder="1" applyAlignment="1">
      <alignment vertical="center"/>
    </xf>
    <xf numFmtId="0" fontId="0" fillId="15" borderId="1" xfId="0" applyFill="1" applyBorder="1"/>
    <xf numFmtId="0" fontId="11" fillId="10" borderId="1" xfId="0" applyFont="1" applyFill="1" applyBorder="1" applyAlignment="1">
      <alignment vertical="center"/>
    </xf>
    <xf numFmtId="0" fontId="0" fillId="10" borderId="1" xfId="0" applyFill="1" applyBorder="1"/>
    <xf numFmtId="0" fontId="12" fillId="0" borderId="0" xfId="4"/>
    <xf numFmtId="0" fontId="13" fillId="0" borderId="1" xfId="4" applyFont="1" applyBorder="1"/>
    <xf numFmtId="0" fontId="14" fillId="0" borderId="1" xfId="4" applyFont="1" applyBorder="1"/>
    <xf numFmtId="169" fontId="14" fillId="0" borderId="1" xfId="4" applyNumberFormat="1" applyFont="1" applyBorder="1"/>
    <xf numFmtId="0" fontId="13" fillId="19" borderId="1" xfId="4" applyFont="1" applyFill="1" applyBorder="1"/>
    <xf numFmtId="0" fontId="13" fillId="20" borderId="1" xfId="4" applyFont="1" applyFill="1" applyBorder="1"/>
    <xf numFmtId="0" fontId="14" fillId="21" borderId="1" xfId="4" applyFont="1" applyFill="1" applyBorder="1"/>
    <xf numFmtId="2" fontId="14" fillId="0" borderId="1" xfId="4" applyNumberFormat="1" applyFont="1" applyBorder="1"/>
    <xf numFmtId="169" fontId="14" fillId="2" borderId="1" xfId="4" applyNumberFormat="1" applyFont="1" applyFill="1" applyBorder="1"/>
    <xf numFmtId="0" fontId="12" fillId="0" borderId="0" xfId="4" applyAlignment="1">
      <alignment horizontal="left" vertical="center"/>
    </xf>
    <xf numFmtId="0" fontId="12" fillId="0" borderId="0" xfId="4" applyAlignment="1">
      <alignment wrapText="1"/>
    </xf>
    <xf numFmtId="0" fontId="13" fillId="22" borderId="1" xfId="4" applyFont="1" applyFill="1" applyBorder="1"/>
    <xf numFmtId="0" fontId="14" fillId="22" borderId="1" xfId="4" applyFont="1" applyFill="1" applyBorder="1"/>
    <xf numFmtId="169" fontId="14" fillId="22" borderId="1" xfId="4" applyNumberFormat="1" applyFont="1" applyFill="1" applyBorder="1"/>
    <xf numFmtId="0" fontId="0" fillId="0" borderId="0" xfId="0" quotePrefix="1"/>
    <xf numFmtId="0" fontId="13" fillId="19" borderId="1" xfId="4" applyFont="1" applyFill="1" applyBorder="1" applyAlignment="1">
      <alignment horizontal="right"/>
    </xf>
  </cellXfs>
  <cellStyles count="5">
    <cellStyle name="Comma" xfId="2" builtinId="3"/>
    <cellStyle name="Currency" xfId="1" builtinId="4"/>
    <cellStyle name="Hyperlink" xfId="3" builtinId="8"/>
    <cellStyle name="Normal" xfId="0" builtinId="0"/>
    <cellStyle name="Normal 2" xfId="4" xr:uid="{4995C669-DF1F-4139-ABA6-25F75C518B59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rotect.checkpoint.com/v2/r01/___https:/www.google.com/maps/place/130+Howell+Dr,+Elizabethtown,+KY+42701/_@37.7137354,-85.8271202,860m/data=!3m2!1e3!4b1!4m6!3m5!1s0x8868ef14cb372ebf:0xa1909efe4828c1f5!8m2!3d37.7137312!4d-85.8245453!16s*2Fg*2F11bw4nx7h4?entry=ttu&amp;amp;g_ep=EgoyMDI2MDIwNC4wIKXMDSoASAFQAw%3D%3D%22%3eGoogle%20Maps%3c/a%3e___.YzJ1OnNpdGVzZWxlY3Rpb25ncm91cDpjOm9mZmljZTM2NV9lbWFpbHNfYXR0YWNobWVudDo2MzdhMjllZTM1Yzk5ZDkyZWNkZjllZGY3ZDQ3N2I4OTo3OmEyN2E6YTAwMDdkNWJkNjI2MzY5NjBkNDkyZjBlZWQxM2ExNjMxYjE3Mzc4Nzk4NjNkMjRhOWY2YjM3YmI0OGRkYjBiZDpwOlQ6Rg" TargetMode="External"/><Relationship Id="rId3" Type="http://schemas.openxmlformats.org/officeDocument/2006/relationships/hyperlink" Target="https://protect.checkpoint.com/v2/r01/___https:/www.google.com/maps/place/104+W+6th+Ave,+Crossett,+AR+71635/_@33.1285045,-91.9626419,114m/data=!3m1!1e3!4m12!1m5!3m4!2zMzPCsDA3JzQyLjYiTiA5McKwNTcnNDQuNCJX!8m2!3d33.1285!4d-91.96232!3m5!1s0x862dd7165e613c93:0x9d6fd601f14e7437!8m2!3d33.1284789!4d-91.9623317!16s*2Fg*2F11c1hc9zn8?entry=ttu&amp;amp;g_ep=EgoyMDI1MTExNy4wIKXMDSoASAFQAw%3D%3D%22%3eGoogle%20Maps%3c/a%3e___.YzJ1OnNpdGVzZWxlY3Rpb25ncm91cDpjOm9mZmljZTM2NV9lbWFpbHNfYXR0YWNobWVudDo2MzdhMjllZTM1Yzk5ZDkyZWNkZjllZGY3ZDQ3N2I4OTo3OjdhNmM6ZDQ1MzhiNTMxNWJkYjRmOGNkNTczZmE0OTMxMjc0ZmE4YjhiNDRjYzk1YTVkYzZhN2EzMzk1NzNkMDNhNjQ2NzpwOlQ6Rg" TargetMode="External"/><Relationship Id="rId7" Type="http://schemas.openxmlformats.org/officeDocument/2006/relationships/hyperlink" Target="https://protect.checkpoint.com/v2/r01/___https:/www.google.com/maps/place/8425+Bainbridge+Rd,+Chagrin+Falls,+OH+44023/_@41.385724,-81.3409919,102m/data=!3m1!1e3!4m12!1m5!3m4!2zNDHCsDIzJzA4LjYiTiA4McKwMjAnMjYuNCJX!8m2!3d41.38572!4d-81.34067!3m5!1s0x88311a7811e73ce9:0x8ae504c98819a4a0!8m2!3d41.3857038!4d-81.3406819!16s*2Fg*2F11b8v5dgqb?entry=ttu&amp;amp;g_ep=EgoyMDI1MTAwNy4wIKXMDSoASAFQAw%3D%3D%22%3eGoogle%20Maps%3c/a%3e___.YzJ1OnNpdGVzZWxlY3Rpb25ncm91cDpjOm9mZmljZTM2NV9lbWFpbHNfYXR0YWNobWVudDo2MzdhMjllZTM1Yzk5ZDkyZWNkZjllZGY3ZDQ3N2I4OTo3OmU5OGM6MzA2YzY5NzU2Nzc4MDhhNTliZjIyMjMzZGNhN2ZhNTM1MzBiYTlhZTY4MWMzYzhkMWQ0ZDhjNTAxMzU0Y2U4NDpwOlQ6Rg" TargetMode="External"/><Relationship Id="rId2" Type="http://schemas.openxmlformats.org/officeDocument/2006/relationships/hyperlink" Target="https://protect.checkpoint.com/v2/r01/___https:/www.google.com/maps/place/Kinetic+Fiber+Internet+-+Leeds,+AL/_@33.5437994,-86.544579,122m/data=!3m1!1e3!4m12!1m5!3m4!2zMzPCsDMyJzM3LjUiTiA4NsKwMzInMzguOSJX!8m2!3d33.54375!4d-86.54415!3m5!1s0x889a4da4998c95e9:0x11c2307e37c41fd5!8m2!3d33.5436989!4d-86.5443555!16s*2Fg*2F1s04fts47?entry=ttu&amp;amp;g_ep=EgoyMDI2MDIyMi4wIKXMDSoASAFQAw%3D%3D%22%3eGoogle%20Maps%3c/a%3e___.YzJ1OnNpdGVzZWxlY3Rpb25ncm91cDpjOm9mZmljZTM2NV9lbWFpbHNfYXR0YWNobWVudDo2MzdhMjllZTM1Yzk5ZDkyZWNkZjllZGY3ZDQ3N2I4OTo3OmM1MWM6MWQ1MWY0ZDRjYzkzMDg0NzkwOTdlZTQ2M2VkZDA2NGYwNmY3ZTdjZjk2NGU4MTJhZDI1YWEyMTFlZTdlODljODpwOlQ6Rg" TargetMode="External"/><Relationship Id="rId1" Type="http://schemas.openxmlformats.org/officeDocument/2006/relationships/hyperlink" Target="https://protect.checkpoint.com/v2/r01/___https:/www.google.com/maps/place/Kinetic+Fiber+Internet+-+Leeds,+AL/_@33.5437994,-86.544579,122m/data=!3m1!1e3!4m12!1m5!3m4!2zMzPCsDMyJzM3LjUiTiA4NsKwMzInMzguOSJX!8m2!3d33.54375!4d-86.54415!3m5!1s0x889a4da4998c95e9:0x11c2307e37c41fd5!8m2!3d33.5436989!4d-86.5443555!16s*2Fg*2F1s04fts47?entry=ttu&amp;amp;g_ep=EgoyMDI2MDIyMi4wIKXMDSoASAFQAw%3D%3D%22%3eGoogle%20Maps%3c/a%3e___.YzJ1OnNpdGVzZWxlY3Rpb25ncm91cDpjOm9mZmljZTM2NV9lbWFpbHNfYXR0YWNobWVudDo2MzdhMjllZTM1Yzk5ZDkyZWNkZjllZGY3ZDQ3N2I4OTo3OmM1MWM6MWQ1MWY0ZDRjYzkzMDg0NzkwOTdlZTQ2M2VkZDA2NGYwNmY3ZTdjZjk2NGU4MTJhZDI1YWEyMTFlZTdlODljODpwOlQ6Rg" TargetMode="External"/><Relationship Id="rId6" Type="http://schemas.openxmlformats.org/officeDocument/2006/relationships/hyperlink" Target="https://protect.checkpoint.com/v2/r01/___https:/www.google.com/maps/place/3375+GA-11,+Monroe,+GA+30656/_@33.8905049,-83.7205933,226m/data=!3m2!1e3!4b1!4m6!3m5!1s0x88f5db77d56dfa87:0x273261ea0cd03aa7!8m2!3d33.8905038!4d-83.7199496!16s*2Fg*2F11bw4cc7y6?entry=ttu&amp;amp;g_ep=EgoyMDI1MTAyMi4wIKXMDSoASAFQAw%3D%3D%22%3eGoogle%20Maps%3c/a%3e___.YzJ1OnNpdGVzZWxlY3Rpb25ncm91cDpjOm9mZmljZTM2NV9lbWFpbHNfYXR0YWNobWVudDo2MzdhMjllZTM1Yzk5ZDkyZWNkZjllZGY3ZDQ3N2I4OTo3OjM3OTM6Y2Y2Yjk4MDNjZTA0NTZkMDU1YmM0YjI0MzI1YTZkYmZiOTY4N2FiMTA1YmU3ZTM0N2ZmYzc5NmY0OTc3MjYyMjpwOlQ6Rg" TargetMode="External"/><Relationship Id="rId11" Type="http://schemas.openxmlformats.org/officeDocument/2006/relationships/hyperlink" Target="https://protect.checkpoint.com/v2/r01/___https:/www.google.com/maps/place/130+Howell+Dr,+Elizabethtown,+KY+42701/_@37.7137354,-85.8271202,860m/data=!3m2!1e3!4b1!4m6!3m5!1s0x8868ef14cb372ebf:0xa1909efe4828c1f5!8m2!3d37.7137312!4d-85.8245453!16s*2Fg*2F11bw4nx7h4?entry=ttu&amp;amp;g_ep=EgoyMDI2MDIwNC4wIKXMDSoASAFQAw%3D%3D%22%3eGoogle%20Maps%3c/a%3e___.YzJ1OnNpdGVzZWxlY3Rpb25ncm91cDpjOm9mZmljZTM2NV9lbWFpbHNfYXR0YWNobWVudDo2MzdhMjllZTM1Yzk5ZDkyZWNkZjllZGY3ZDQ3N2I4OTo3OmEyN2E6YTAwMDdkNWJkNjI2MzY5NjBkNDkyZjBlZWQxM2ExNjMxYjE3Mzc4Nzk4NjNkMjRhOWY2YjM3YmI0OGRkYjBiZDpwOlQ6Rg" TargetMode="External"/><Relationship Id="rId5" Type="http://schemas.openxmlformats.org/officeDocument/2006/relationships/hyperlink" Target="https://protect.checkpoint.com/v2/r01/___https:/www.google.com/maps/place/153+NW+Crawford+St,+Mayo,+FL+32066/_@30.0542213,-83.1769053,235m/data=!3m2!1e3!4b1!4m6!3m5!1s0x88eecbed82a913b9:0x979775c6de9bea5c!8m2!3d30.0542201!4d-83.1762616!16s*2Fg*2F11d_vtw9rc?entry=ttu&amp;amp;g_ep=EgoyMDI2MDEyOC4wIKXMDSoASAFQAw%3D%3D%22%3eGoogle%20Maps%3c/a%3e___.YzJ1OnNpdGVzZWxlY3Rpb25ncm91cDpjOm9mZmljZTM2NV9lbWFpbHNfYXR0YWNobWVudDo2MzdhMjllZTM1Yzk5ZDkyZWNkZjllZGY3ZDQ3N2I4OTo3OjExZGQ6M2M4YTYxMTRkMGJjMzZhYzNlY2Y4MzlhNDc3NjA3YTg4Yjg0YzY3Mzk4MzZhMDI4MjJmYzg5YTVkZjc1ZDc4OTpwOlQ6Rg" TargetMode="External"/><Relationship Id="rId10" Type="http://schemas.openxmlformats.org/officeDocument/2006/relationships/hyperlink" Target="https://protect.checkpoint.com/v2/r01/___https:/www.google.com/maps/place/130+Howell+Dr,+Elizabethtown,+KY+42701/_@37.7137354,-85.8271202,860m/data=!3m2!1e3!4b1!4m6!3m5!1s0x8868ef14cb372ebf:0xa1909efe4828c1f5!8m2!3d37.7137312!4d-85.8245453!16s*2Fg*2F11bw4nx7h4?entry=ttu&amp;amp;g_ep=EgoyMDI2MDIwNC4wIKXMDSoASAFQAw%3D%3D%22%3eGoogle%20Maps%3c/a%3e___.YzJ1OnNpdGVzZWxlY3Rpb25ncm91cDpjOm9mZmljZTM2NV9lbWFpbHNfYXR0YWNobWVudDo2MzdhMjllZTM1Yzk5ZDkyZWNkZjllZGY3ZDQ3N2I4OTo3OmEyN2E6YTAwMDdkNWJkNjI2MzY5NjBkNDkyZjBlZWQxM2ExNjMxYjE3Mzc4Nzk4NjNkMjRhOWY2YjM3YmI0OGRkYjBiZDpwOlQ6Rg" TargetMode="External"/><Relationship Id="rId4" Type="http://schemas.openxmlformats.org/officeDocument/2006/relationships/hyperlink" Target="https://protect.checkpoint.com/v2/r01/___https:/www.google.com/maps/place/11+Dallas+311,+Arkadelphia,+AR+71923/_@34.0381252,-92.887999,225m/data=!3m2!1e3!4b1!4m6!3m5!1s0x8632e92e3ea991cb:0xb86be4a0c450aca2!8m2!3d34.0381241!4d-92.8873553!16s*2Fg*2F11dzn71cvv?entry=ttu&amp;amp;g_ep=EgoyMDI1MTExNy4wIKXMDSoASAFQAw%3D%3D%22%3eGoogle%20Maps%3c/a%3e___.YzJ1OnNpdGVzZWxlY3Rpb25ncm91cDpjOm9mZmljZTM2NV9lbWFpbHNfYXR0YWNobWVudDo2MzdhMjllZTM1Yzk5ZDkyZWNkZjllZGY3ZDQ3N2I4OTo3OjMxYmE6MDczOWRlOTcyM2IwMjY3ZDIxNWZjNjJmODIzYzNmMGYyYzY5MmY4N2MyMDM4M2NkYzhlYzM2OWI4OWEwNmE1NTpwOlQ6Rg" TargetMode="External"/><Relationship Id="rId9" Type="http://schemas.openxmlformats.org/officeDocument/2006/relationships/hyperlink" Target="https://protect.checkpoint.com/v2/r01/___https:/www.google.com/maps/place/130+Howell+Dr,+Elizabethtown,+KY+42701/_@37.7137354,-85.8271202,860m/data=!3m2!1e3!4b1!4m6!3m5!1s0x8868ef14cb372ebf:0xa1909efe4828c1f5!8m2!3d37.7137312!4d-85.8245453!16s*2Fg*2F11bw4nx7h4?entry=ttu&amp;amp;g_ep=EgoyMDI2MDIwNC4wIKXMDSoASAFQAw%3D%3D%22%3eGoogle%20Maps%3c/a%3e___.YzJ1OnNpdGVzZWxlY3Rpb25ncm91cDpjOm9mZmljZTM2NV9lbWFpbHNfYXR0YWNobWVudDo2MzdhMjllZTM1Yzk5ZDkyZWNkZjllZGY3ZDQ3N2I4OTo3OmEyN2E6YTAwMDdkNWJkNjI2MzY5NjBkNDkyZjBlZWQxM2ExNjMxYjE3Mzc4Nzk4NjNkMjRhOWY2YjM3YmI0OGRkYjBiZDpwOlQ6Rg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2E110-E446-424D-999E-71161CD44E7D}">
  <dimension ref="A1:AJ201"/>
  <sheetViews>
    <sheetView topLeftCell="O1" workbookViewId="0">
      <selection activeCell="W1" sqref="W1"/>
    </sheetView>
  </sheetViews>
  <sheetFormatPr defaultColWidth="8.85546875" defaultRowHeight="15" outlineLevelCol="1" x14ac:dyDescent="0.25"/>
  <cols>
    <col min="3" max="3" width="11.42578125" bestFit="1" customWidth="1"/>
    <col min="4" max="4" width="12.140625" bestFit="1" customWidth="1"/>
    <col min="5" max="5" width="16.42578125" customWidth="1"/>
    <col min="6" max="6" width="15.42578125" customWidth="1"/>
    <col min="7" max="7" width="18" customWidth="1" outlineLevel="1"/>
    <col min="8" max="8" width="16.140625" customWidth="1" outlineLevel="1"/>
    <col min="9" max="9" width="12" customWidth="1" outlineLevel="1"/>
    <col min="10" max="10" width="12.7109375" customWidth="1" outlineLevel="1"/>
    <col min="11" max="11" width="26.42578125" customWidth="1" outlineLevel="1"/>
    <col min="12" max="12" width="18.140625" customWidth="1" outlineLevel="1"/>
    <col min="13" max="13" width="5.28515625" customWidth="1" outlineLevel="1"/>
    <col min="14" max="14" width="18.42578125" customWidth="1" outlineLevel="1"/>
    <col min="15" max="15" width="10" customWidth="1" outlineLevel="1"/>
    <col min="16" max="16" width="10.42578125" customWidth="1" outlineLevel="1"/>
    <col min="17" max="17" width="46.42578125" customWidth="1"/>
    <col min="18" max="18" width="12.7109375" customWidth="1"/>
    <col min="19" max="19" width="29.140625" customWidth="1"/>
    <col min="20" max="20" width="26.28515625" customWidth="1"/>
    <col min="21" max="21" width="24.140625" customWidth="1"/>
    <col min="22" max="22" width="26.28515625" customWidth="1"/>
    <col min="23" max="33" width="25.85546875" customWidth="1"/>
    <col min="34" max="34" width="16.85546875" customWidth="1"/>
    <col min="35" max="35" width="81.140625" customWidth="1"/>
    <col min="36" max="36" width="55.7109375" customWidth="1"/>
  </cols>
  <sheetData>
    <row r="1" spans="1:36" s="7" customFormat="1" x14ac:dyDescent="0.25">
      <c r="A1" s="7" t="s">
        <v>3407</v>
      </c>
      <c r="B1" s="7" t="s">
        <v>3404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8" t="s">
        <v>1001</v>
      </c>
      <c r="T1" s="8" t="s">
        <v>1002</v>
      </c>
      <c r="U1" s="8" t="s">
        <v>1054</v>
      </c>
      <c r="V1" s="8" t="s">
        <v>1055</v>
      </c>
      <c r="W1" s="7" t="s">
        <v>1187</v>
      </c>
      <c r="X1" s="7" t="s">
        <v>1188</v>
      </c>
      <c r="Y1" s="7" t="s">
        <v>1189</v>
      </c>
      <c r="Z1" s="7" t="s">
        <v>1190</v>
      </c>
      <c r="AA1" s="7" t="s">
        <v>1191</v>
      </c>
      <c r="AB1" s="7" t="s">
        <v>1192</v>
      </c>
      <c r="AC1" s="7" t="s">
        <v>1193</v>
      </c>
      <c r="AD1" s="7" t="s">
        <v>1194</v>
      </c>
      <c r="AE1" s="7" t="s">
        <v>1195</v>
      </c>
      <c r="AF1" s="7" t="s">
        <v>1196</v>
      </c>
      <c r="AG1" s="7" t="s">
        <v>1197</v>
      </c>
      <c r="AH1" s="7" t="s">
        <v>1204</v>
      </c>
      <c r="AI1" s="7" t="s">
        <v>1003</v>
      </c>
      <c r="AJ1" s="8" t="s">
        <v>1003</v>
      </c>
    </row>
    <row r="2" spans="1:36" x14ac:dyDescent="0.25">
      <c r="C2" t="s">
        <v>647</v>
      </c>
      <c r="D2" t="s">
        <v>648</v>
      </c>
      <c r="E2" t="s">
        <v>16</v>
      </c>
      <c r="F2" t="s">
        <v>17</v>
      </c>
      <c r="G2" t="s">
        <v>18</v>
      </c>
      <c r="I2">
        <v>35.134719560000001</v>
      </c>
      <c r="J2">
        <v>-79.426782549999899</v>
      </c>
      <c r="K2" t="s">
        <v>649</v>
      </c>
      <c r="L2" t="s">
        <v>650</v>
      </c>
      <c r="M2" t="s">
        <v>651</v>
      </c>
      <c r="N2" t="s">
        <v>652</v>
      </c>
      <c r="O2">
        <v>204</v>
      </c>
      <c r="P2" t="s">
        <v>20</v>
      </c>
      <c r="Q2" t="s">
        <v>653</v>
      </c>
      <c r="R2" t="s">
        <v>22</v>
      </c>
      <c r="S2" s="9">
        <v>34426.06</v>
      </c>
      <c r="T2" s="9">
        <v>17596.95</v>
      </c>
      <c r="U2" s="9">
        <v>9988.85</v>
      </c>
      <c r="V2" s="9">
        <v>4668.7700000000004</v>
      </c>
      <c r="W2">
        <v>3604</v>
      </c>
      <c r="X2" s="6">
        <v>27</v>
      </c>
      <c r="Y2" s="6">
        <v>244</v>
      </c>
      <c r="Z2" s="6">
        <v>682</v>
      </c>
      <c r="AA2" s="6">
        <v>926</v>
      </c>
      <c r="AB2" s="6">
        <v>1470</v>
      </c>
      <c r="AC2" s="6">
        <v>14248.52</v>
      </c>
      <c r="AD2" s="6">
        <v>4304.8</v>
      </c>
      <c r="AE2" s="6">
        <v>15718.52</v>
      </c>
      <c r="AF2" s="6">
        <v>0</v>
      </c>
      <c r="AG2" s="6">
        <v>15718.52</v>
      </c>
      <c r="AH2" s="10"/>
      <c r="AI2" t="s">
        <v>1146</v>
      </c>
      <c r="AJ2" s="11" t="str">
        <f t="shared" ref="AJ2:AJ15" si="0">HYPERLINK(AI2,"LINK")</f>
        <v>LINK</v>
      </c>
    </row>
    <row r="3" spans="1:36" x14ac:dyDescent="0.25">
      <c r="C3" t="s">
        <v>122</v>
      </c>
      <c r="D3" t="s">
        <v>123</v>
      </c>
      <c r="E3" t="s">
        <v>16</v>
      </c>
      <c r="F3" t="s">
        <v>17</v>
      </c>
      <c r="G3" t="s">
        <v>18</v>
      </c>
      <c r="I3">
        <v>31.137891830000001</v>
      </c>
      <c r="J3">
        <v>-83.422446519999895</v>
      </c>
      <c r="K3" t="s">
        <v>124</v>
      </c>
      <c r="L3" t="s">
        <v>125</v>
      </c>
      <c r="M3" t="s">
        <v>120</v>
      </c>
      <c r="N3" t="s">
        <v>126</v>
      </c>
      <c r="O3">
        <v>2354</v>
      </c>
      <c r="P3" t="s">
        <v>20</v>
      </c>
      <c r="Q3" t="s">
        <v>121</v>
      </c>
      <c r="R3" t="s">
        <v>37</v>
      </c>
      <c r="S3" s="9">
        <v>21133.02</v>
      </c>
      <c r="T3" s="9">
        <v>36863.82</v>
      </c>
      <c r="U3" s="9">
        <v>8916.16</v>
      </c>
      <c r="V3" s="9">
        <v>2275.09</v>
      </c>
      <c r="W3">
        <v>3331</v>
      </c>
      <c r="X3" s="6">
        <v>27</v>
      </c>
      <c r="Y3" s="6">
        <v>205</v>
      </c>
      <c r="Z3" s="6">
        <v>1371</v>
      </c>
      <c r="AA3" s="6">
        <v>1576</v>
      </c>
      <c r="AB3" s="6">
        <v>7641.5</v>
      </c>
      <c r="AC3" s="6">
        <v>11048.81</v>
      </c>
      <c r="AD3" s="6">
        <v>2320</v>
      </c>
      <c r="AE3" s="6">
        <v>18690.310000000001</v>
      </c>
      <c r="AF3" s="6">
        <v>0</v>
      </c>
      <c r="AG3" s="6">
        <v>18690.310000000001</v>
      </c>
      <c r="AH3" s="10">
        <v>42881</v>
      </c>
      <c r="AI3" t="s">
        <v>1073</v>
      </c>
      <c r="AJ3" s="11" t="str">
        <f t="shared" si="0"/>
        <v>LINK</v>
      </c>
    </row>
    <row r="4" spans="1:36" x14ac:dyDescent="0.25">
      <c r="C4" t="s">
        <v>1297</v>
      </c>
      <c r="D4" t="s">
        <v>330</v>
      </c>
      <c r="E4" t="s">
        <v>16</v>
      </c>
      <c r="F4" t="s">
        <v>17</v>
      </c>
      <c r="G4" t="s">
        <v>18</v>
      </c>
      <c r="I4">
        <v>41.2891466499999</v>
      </c>
      <c r="J4">
        <v>-91.555144679999898</v>
      </c>
      <c r="K4" t="s">
        <v>331</v>
      </c>
      <c r="L4" t="s">
        <v>332</v>
      </c>
      <c r="M4" t="s">
        <v>328</v>
      </c>
      <c r="N4" t="s">
        <v>333</v>
      </c>
      <c r="O4">
        <v>3053</v>
      </c>
      <c r="P4" t="s">
        <v>20</v>
      </c>
      <c r="Q4" t="s">
        <v>329</v>
      </c>
      <c r="R4" t="s">
        <v>22</v>
      </c>
      <c r="S4" s="9">
        <v>0</v>
      </c>
      <c r="T4" s="9">
        <v>0</v>
      </c>
      <c r="U4" s="9">
        <v>0</v>
      </c>
      <c r="V4" s="9">
        <v>0</v>
      </c>
      <c r="W4">
        <v>10084</v>
      </c>
      <c r="X4" s="6">
        <v>8</v>
      </c>
      <c r="Y4" s="6">
        <v>64</v>
      </c>
      <c r="Z4" s="6">
        <v>67</v>
      </c>
      <c r="AA4" s="6">
        <v>131</v>
      </c>
      <c r="AB4" s="6">
        <v>565</v>
      </c>
      <c r="AC4" s="6">
        <v>10064.1</v>
      </c>
      <c r="AD4" s="6">
        <v>19832.400000000001</v>
      </c>
      <c r="AE4" s="6">
        <v>10629.1</v>
      </c>
      <c r="AF4" s="6">
        <v>0</v>
      </c>
      <c r="AG4" s="6">
        <v>10629.1</v>
      </c>
      <c r="AH4" s="10"/>
      <c r="AJ4" s="11" t="str">
        <f t="shared" si="0"/>
        <v>LINK</v>
      </c>
    </row>
    <row r="5" spans="1:36" x14ac:dyDescent="0.25">
      <c r="C5" t="s">
        <v>1200</v>
      </c>
      <c r="D5" t="s">
        <v>87</v>
      </c>
      <c r="E5" t="s">
        <v>16</v>
      </c>
      <c r="F5" t="s">
        <v>17</v>
      </c>
      <c r="G5" t="s">
        <v>18</v>
      </c>
      <c r="H5" t="s">
        <v>25</v>
      </c>
      <c r="I5">
        <v>29.802351340000001</v>
      </c>
      <c r="J5">
        <v>-82.492207980000003</v>
      </c>
      <c r="K5" t="s">
        <v>88</v>
      </c>
      <c r="L5" t="s">
        <v>80</v>
      </c>
      <c r="M5" t="s">
        <v>81</v>
      </c>
      <c r="N5" t="s">
        <v>89</v>
      </c>
      <c r="O5">
        <v>2334</v>
      </c>
      <c r="P5" t="s">
        <v>20</v>
      </c>
      <c r="Q5" t="s">
        <v>82</v>
      </c>
      <c r="R5" t="s">
        <v>22</v>
      </c>
      <c r="S5" s="9">
        <v>0</v>
      </c>
      <c r="T5" s="9">
        <v>0</v>
      </c>
      <c r="U5" s="9">
        <v>0</v>
      </c>
      <c r="V5" s="9">
        <v>0</v>
      </c>
      <c r="W5">
        <v>10685</v>
      </c>
      <c r="X5" s="6">
        <v>4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10"/>
      <c r="AI5" t="s">
        <v>1064</v>
      </c>
      <c r="AJ5" s="11" t="str">
        <f t="shared" si="0"/>
        <v>LINK</v>
      </c>
    </row>
    <row r="6" spans="1:36" x14ac:dyDescent="0.25">
      <c r="C6" t="s">
        <v>1201</v>
      </c>
      <c r="E6" t="s">
        <v>16</v>
      </c>
      <c r="F6" t="s">
        <v>17</v>
      </c>
      <c r="G6" t="s">
        <v>18</v>
      </c>
      <c r="I6">
        <v>29.789387080000001</v>
      </c>
      <c r="J6">
        <v>-82.495895579999896</v>
      </c>
      <c r="K6" t="s">
        <v>90</v>
      </c>
      <c r="L6" t="s">
        <v>80</v>
      </c>
      <c r="M6" t="s">
        <v>81</v>
      </c>
      <c r="N6" t="s">
        <v>91</v>
      </c>
      <c r="O6">
        <v>2335</v>
      </c>
      <c r="P6" t="s">
        <v>20</v>
      </c>
      <c r="Q6" t="s">
        <v>82</v>
      </c>
      <c r="R6" t="s">
        <v>22</v>
      </c>
      <c r="S6" s="9">
        <v>0</v>
      </c>
      <c r="T6" s="9">
        <v>0</v>
      </c>
      <c r="U6" s="9">
        <v>0</v>
      </c>
      <c r="V6" s="9">
        <v>0</v>
      </c>
      <c r="W6">
        <v>10685</v>
      </c>
      <c r="X6" s="6" t="e">
        <v>#N/A</v>
      </c>
      <c r="Y6" s="6" t="e">
        <v>#N/A</v>
      </c>
      <c r="Z6" s="6" t="e">
        <v>#N/A</v>
      </c>
      <c r="AA6" s="6" t="e">
        <v>#N/A</v>
      </c>
      <c r="AB6" s="6" t="e">
        <v>#N/A</v>
      </c>
      <c r="AC6" s="6" t="e">
        <v>#N/A</v>
      </c>
      <c r="AD6" s="6" t="e">
        <v>#N/A</v>
      </c>
      <c r="AE6" s="6" t="e">
        <v>#N/A</v>
      </c>
      <c r="AF6" s="6" t="e">
        <v>#N/A</v>
      </c>
      <c r="AG6" s="6" t="e">
        <v>#N/A</v>
      </c>
      <c r="AH6" s="10"/>
      <c r="AI6" t="s">
        <v>1064</v>
      </c>
      <c r="AJ6" s="11" t="str">
        <f t="shared" si="0"/>
        <v>LINK</v>
      </c>
    </row>
    <row r="7" spans="1:36" x14ac:dyDescent="0.25">
      <c r="C7" t="s">
        <v>83</v>
      </c>
      <c r="D7" t="s">
        <v>84</v>
      </c>
      <c r="E7" t="s">
        <v>16</v>
      </c>
      <c r="F7" t="s">
        <v>17</v>
      </c>
      <c r="G7" t="s">
        <v>18</v>
      </c>
      <c r="I7">
        <v>29.789400000000001</v>
      </c>
      <c r="J7">
        <v>-82.496200000000002</v>
      </c>
      <c r="K7" t="s">
        <v>85</v>
      </c>
      <c r="L7" t="s">
        <v>80</v>
      </c>
      <c r="M7" t="s">
        <v>81</v>
      </c>
      <c r="N7" t="s">
        <v>86</v>
      </c>
      <c r="P7" t="s">
        <v>38</v>
      </c>
      <c r="Q7" t="s">
        <v>82</v>
      </c>
      <c r="R7" t="s">
        <v>22</v>
      </c>
      <c r="S7" s="9">
        <v>46914.99</v>
      </c>
      <c r="T7" s="9">
        <v>21147.61</v>
      </c>
      <c r="U7" s="9">
        <v>6951.12</v>
      </c>
      <c r="V7" s="9">
        <v>14497.16</v>
      </c>
      <c r="W7">
        <v>3786</v>
      </c>
      <c r="X7" s="6">
        <v>32</v>
      </c>
      <c r="Y7" s="6">
        <v>385</v>
      </c>
      <c r="Z7" s="6">
        <v>769</v>
      </c>
      <c r="AA7" s="6">
        <v>1154</v>
      </c>
      <c r="AB7" s="6">
        <v>9195.43</v>
      </c>
      <c r="AC7" s="6">
        <v>14725.04</v>
      </c>
      <c r="AD7" s="6">
        <v>31318.52</v>
      </c>
      <c r="AE7" s="6">
        <v>23920.47</v>
      </c>
      <c r="AF7" s="6">
        <v>0</v>
      </c>
      <c r="AG7" s="6">
        <v>23920.47</v>
      </c>
      <c r="AH7" s="10">
        <v>43282</v>
      </c>
      <c r="AI7" t="s">
        <v>1067</v>
      </c>
      <c r="AJ7" s="11" t="str">
        <f t="shared" si="0"/>
        <v>LINK</v>
      </c>
    </row>
    <row r="8" spans="1:36" x14ac:dyDescent="0.25">
      <c r="C8" t="s">
        <v>513</v>
      </c>
      <c r="D8" t="s">
        <v>514</v>
      </c>
      <c r="E8" t="s">
        <v>16</v>
      </c>
      <c r="F8" t="s">
        <v>17</v>
      </c>
      <c r="G8" t="s">
        <v>18</v>
      </c>
      <c r="I8">
        <v>36.693022079999899</v>
      </c>
      <c r="J8">
        <v>-85.134498120000003</v>
      </c>
      <c r="K8" t="s">
        <v>515</v>
      </c>
      <c r="L8" t="s">
        <v>516</v>
      </c>
      <c r="M8" t="s">
        <v>517</v>
      </c>
      <c r="N8" t="s">
        <v>518</v>
      </c>
      <c r="P8" t="s">
        <v>38</v>
      </c>
      <c r="Q8" t="s">
        <v>519</v>
      </c>
      <c r="R8" t="s">
        <v>37</v>
      </c>
      <c r="S8" s="9">
        <v>12426.38</v>
      </c>
      <c r="T8" s="9">
        <v>39268.07</v>
      </c>
      <c r="U8" s="9">
        <v>845.98</v>
      </c>
      <c r="V8" s="9">
        <v>14894.06</v>
      </c>
      <c r="W8">
        <v>3680</v>
      </c>
      <c r="X8" s="6">
        <v>38</v>
      </c>
      <c r="Y8" s="6">
        <v>353</v>
      </c>
      <c r="Z8" s="6">
        <v>610</v>
      </c>
      <c r="AA8" s="6">
        <v>963</v>
      </c>
      <c r="AB8" s="6">
        <v>1940</v>
      </c>
      <c r="AC8" s="6">
        <v>21598.18</v>
      </c>
      <c r="AD8" s="6">
        <v>32660.33</v>
      </c>
      <c r="AE8" s="6">
        <v>23538.18</v>
      </c>
      <c r="AF8" s="6">
        <v>0</v>
      </c>
      <c r="AG8" s="6">
        <v>23538.18</v>
      </c>
      <c r="AH8" s="10"/>
      <c r="AI8" t="s">
        <v>1122</v>
      </c>
      <c r="AJ8" s="11" t="str">
        <f t="shared" si="0"/>
        <v>LINK</v>
      </c>
    </row>
    <row r="9" spans="1:36" x14ac:dyDescent="0.25">
      <c r="C9" t="s">
        <v>654</v>
      </c>
      <c r="D9" t="s">
        <v>655</v>
      </c>
      <c r="E9" t="s">
        <v>16</v>
      </c>
      <c r="F9" t="s">
        <v>17</v>
      </c>
      <c r="G9" t="s">
        <v>18</v>
      </c>
      <c r="H9" t="s">
        <v>206</v>
      </c>
      <c r="I9">
        <v>35.354042149999898</v>
      </c>
      <c r="J9">
        <v>-80.199091730000006</v>
      </c>
      <c r="K9" t="s">
        <v>656</v>
      </c>
      <c r="L9" t="s">
        <v>657</v>
      </c>
      <c r="M9" t="s">
        <v>651</v>
      </c>
      <c r="N9" t="s">
        <v>658</v>
      </c>
      <c r="O9">
        <v>2508</v>
      </c>
      <c r="P9" t="s">
        <v>20</v>
      </c>
      <c r="Q9" t="s">
        <v>659</v>
      </c>
      <c r="R9" t="s">
        <v>22</v>
      </c>
      <c r="S9" s="9">
        <v>34465.89</v>
      </c>
      <c r="T9" s="9">
        <v>57466.96</v>
      </c>
      <c r="U9" s="9">
        <v>8877.6200000000008</v>
      </c>
      <c r="V9" s="9">
        <v>2845.28</v>
      </c>
      <c r="W9">
        <v>8000</v>
      </c>
      <c r="X9" s="6">
        <v>55</v>
      </c>
      <c r="Y9" s="6">
        <v>617</v>
      </c>
      <c r="Z9" s="6">
        <v>1991</v>
      </c>
      <c r="AA9" s="6">
        <v>2608</v>
      </c>
      <c r="AB9" s="6">
        <v>12968.9</v>
      </c>
      <c r="AC9" s="6">
        <v>17608.62</v>
      </c>
      <c r="AD9" s="6">
        <v>6325.38</v>
      </c>
      <c r="AE9" s="6">
        <v>30577.52</v>
      </c>
      <c r="AF9" s="6">
        <v>0</v>
      </c>
      <c r="AG9" s="6">
        <v>30577.52</v>
      </c>
      <c r="AH9" s="10">
        <v>41883</v>
      </c>
      <c r="AI9" t="s">
        <v>1026</v>
      </c>
      <c r="AJ9" s="11" t="str">
        <f t="shared" si="0"/>
        <v>LINK</v>
      </c>
    </row>
    <row r="10" spans="1:36" x14ac:dyDescent="0.25">
      <c r="C10" t="s">
        <v>334</v>
      </c>
      <c r="D10" t="s">
        <v>335</v>
      </c>
      <c r="E10" t="s">
        <v>16</v>
      </c>
      <c r="F10" t="s">
        <v>17</v>
      </c>
      <c r="G10" t="s">
        <v>18</v>
      </c>
      <c r="I10">
        <v>41.0259585599999</v>
      </c>
      <c r="J10">
        <v>-92.805646170000003</v>
      </c>
      <c r="K10" t="s">
        <v>336</v>
      </c>
      <c r="L10" t="s">
        <v>337</v>
      </c>
      <c r="M10" t="s">
        <v>328</v>
      </c>
      <c r="N10" t="s">
        <v>338</v>
      </c>
      <c r="O10">
        <v>1643</v>
      </c>
      <c r="P10" t="s">
        <v>20</v>
      </c>
      <c r="Q10" t="s">
        <v>329</v>
      </c>
      <c r="R10" t="s">
        <v>22</v>
      </c>
      <c r="S10" s="9">
        <v>4611.78</v>
      </c>
      <c r="T10" s="9">
        <v>8454.1</v>
      </c>
      <c r="U10" s="9">
        <v>1202.44</v>
      </c>
      <c r="V10" s="9">
        <v>2008.76</v>
      </c>
      <c r="W10">
        <v>4650</v>
      </c>
      <c r="X10" s="6">
        <v>13</v>
      </c>
      <c r="Y10" s="6">
        <v>469</v>
      </c>
      <c r="Z10" s="6">
        <v>269</v>
      </c>
      <c r="AA10" s="6">
        <v>738</v>
      </c>
      <c r="AB10" s="6">
        <v>860.5</v>
      </c>
      <c r="AC10" s="6">
        <v>6964.3</v>
      </c>
      <c r="AD10" s="6">
        <v>6047.8</v>
      </c>
      <c r="AE10" s="6">
        <v>7824.8</v>
      </c>
      <c r="AF10" s="6">
        <v>21</v>
      </c>
      <c r="AG10" s="6">
        <v>7845.8</v>
      </c>
      <c r="AH10" s="10"/>
      <c r="AI10" t="s">
        <v>1012</v>
      </c>
      <c r="AJ10" s="11" t="str">
        <f t="shared" si="0"/>
        <v>LINK</v>
      </c>
    </row>
    <row r="11" spans="1:36" x14ac:dyDescent="0.25">
      <c r="C11" t="s">
        <v>907</v>
      </c>
      <c r="D11" t="s">
        <v>908</v>
      </c>
      <c r="E11" t="s">
        <v>16</v>
      </c>
      <c r="F11" t="s">
        <v>17</v>
      </c>
      <c r="G11" t="s">
        <v>18</v>
      </c>
      <c r="I11">
        <v>32.317614120000002</v>
      </c>
      <c r="J11">
        <v>-102.5477171</v>
      </c>
      <c r="K11" t="s">
        <v>909</v>
      </c>
      <c r="L11" t="s">
        <v>910</v>
      </c>
      <c r="M11" t="s">
        <v>905</v>
      </c>
      <c r="N11" t="s">
        <v>911</v>
      </c>
      <c r="O11">
        <v>2824</v>
      </c>
      <c r="P11" t="s">
        <v>20</v>
      </c>
      <c r="Q11" t="s">
        <v>840</v>
      </c>
      <c r="R11" t="s">
        <v>37</v>
      </c>
      <c r="S11" s="9">
        <v>54750.84</v>
      </c>
      <c r="T11" s="9">
        <v>33972.51</v>
      </c>
      <c r="U11" s="9">
        <v>17661.46</v>
      </c>
      <c r="V11" s="9">
        <v>10902.59</v>
      </c>
      <c r="W11">
        <v>7280</v>
      </c>
      <c r="X11" s="6">
        <v>46</v>
      </c>
      <c r="Y11" s="6">
        <v>434</v>
      </c>
      <c r="Z11" s="6">
        <v>2113</v>
      </c>
      <c r="AA11" s="6">
        <v>2547</v>
      </c>
      <c r="AB11" s="6">
        <v>6552.65</v>
      </c>
      <c r="AC11" s="6">
        <v>15910.17</v>
      </c>
      <c r="AD11" s="6">
        <v>89613.87</v>
      </c>
      <c r="AE11" s="6">
        <v>22462.82</v>
      </c>
      <c r="AF11" s="6">
        <v>0</v>
      </c>
      <c r="AG11" s="6">
        <v>22462.82</v>
      </c>
      <c r="AH11" s="10"/>
      <c r="AI11" t="s">
        <v>1174</v>
      </c>
      <c r="AJ11" s="11" t="str">
        <f t="shared" si="0"/>
        <v>LINK</v>
      </c>
    </row>
    <row r="12" spans="1:36" s="5" customFormat="1" x14ac:dyDescent="0.25">
      <c r="B12" s="5" t="s">
        <v>3405</v>
      </c>
      <c r="C12" s="5" t="s">
        <v>521</v>
      </c>
      <c r="D12" s="5" t="s">
        <v>522</v>
      </c>
      <c r="E12" s="5" t="s">
        <v>16</v>
      </c>
      <c r="F12" s="5" t="s">
        <v>17</v>
      </c>
      <c r="G12" s="5" t="s">
        <v>18</v>
      </c>
      <c r="I12" s="5">
        <v>38.4758</v>
      </c>
      <c r="J12" s="5">
        <v>-82.64385</v>
      </c>
      <c r="K12" s="5" t="s">
        <v>523</v>
      </c>
      <c r="L12" s="5" t="s">
        <v>520</v>
      </c>
      <c r="M12" s="5" t="s">
        <v>517</v>
      </c>
      <c r="N12" s="5" t="s">
        <v>524</v>
      </c>
      <c r="O12" s="5">
        <v>3469</v>
      </c>
      <c r="P12" s="5" t="s">
        <v>20</v>
      </c>
      <c r="Q12" s="5" t="s">
        <v>519</v>
      </c>
      <c r="R12" s="5" t="s">
        <v>37</v>
      </c>
      <c r="S12" s="4">
        <v>80399.73</v>
      </c>
      <c r="T12" s="4">
        <v>247287.21</v>
      </c>
      <c r="U12" s="4">
        <v>15495.96</v>
      </c>
      <c r="V12" s="4">
        <v>97031.63</v>
      </c>
      <c r="W12" s="5">
        <v>34184</v>
      </c>
      <c r="X12" s="3">
        <v>232</v>
      </c>
      <c r="Y12" s="3">
        <v>223</v>
      </c>
      <c r="Z12" s="3">
        <v>1165</v>
      </c>
      <c r="AA12" s="3">
        <v>1388</v>
      </c>
      <c r="AB12" s="3">
        <v>23231.37</v>
      </c>
      <c r="AC12" s="3">
        <v>120711.48</v>
      </c>
      <c r="AD12" s="3">
        <v>101921.69</v>
      </c>
      <c r="AE12" s="3">
        <v>143942.85</v>
      </c>
      <c r="AF12" s="3">
        <v>0</v>
      </c>
      <c r="AG12" s="3">
        <v>143942.85</v>
      </c>
      <c r="AH12" s="2">
        <v>42881</v>
      </c>
      <c r="AI12" s="5" t="s">
        <v>1123</v>
      </c>
      <c r="AJ12" s="1" t="str">
        <f t="shared" si="0"/>
        <v>LINK</v>
      </c>
    </row>
    <row r="13" spans="1:36" x14ac:dyDescent="0.25">
      <c r="B13" s="5" t="s">
        <v>3405</v>
      </c>
      <c r="C13" t="s">
        <v>525</v>
      </c>
      <c r="D13" t="s">
        <v>526</v>
      </c>
      <c r="E13" t="s">
        <v>16</v>
      </c>
      <c r="F13" t="s">
        <v>17</v>
      </c>
      <c r="G13" t="s">
        <v>18</v>
      </c>
      <c r="I13">
        <v>38.409649969999897</v>
      </c>
      <c r="J13">
        <v>-82.713032350000006</v>
      </c>
      <c r="K13" t="s">
        <v>527</v>
      </c>
      <c r="L13" t="s">
        <v>520</v>
      </c>
      <c r="M13" t="s">
        <v>517</v>
      </c>
      <c r="N13" t="s">
        <v>528</v>
      </c>
      <c r="P13" t="s">
        <v>38</v>
      </c>
      <c r="Q13" t="s">
        <v>519</v>
      </c>
      <c r="R13" t="s">
        <v>37</v>
      </c>
      <c r="S13" s="9">
        <v>56902.92</v>
      </c>
      <c r="T13" s="9">
        <v>87147.61</v>
      </c>
      <c r="U13" s="9">
        <v>18735.57</v>
      </c>
      <c r="V13" s="9">
        <v>34174.83</v>
      </c>
      <c r="W13">
        <v>12209</v>
      </c>
      <c r="X13" s="6">
        <v>76</v>
      </c>
      <c r="Y13" s="6">
        <v>281</v>
      </c>
      <c r="Z13" s="6">
        <v>1025</v>
      </c>
      <c r="AA13" s="6">
        <v>1306</v>
      </c>
      <c r="AB13" s="6">
        <v>16039.46</v>
      </c>
      <c r="AC13" s="6">
        <v>39822.17</v>
      </c>
      <c r="AD13" s="6">
        <v>92545.24</v>
      </c>
      <c r="AE13" s="6">
        <v>55861.63</v>
      </c>
      <c r="AF13" s="6">
        <v>0</v>
      </c>
      <c r="AG13" s="6">
        <v>55861.63</v>
      </c>
      <c r="AH13" s="10"/>
      <c r="AI13" t="s">
        <v>1124</v>
      </c>
      <c r="AJ13" s="11" t="str">
        <f t="shared" si="0"/>
        <v>LINK</v>
      </c>
    </row>
    <row r="14" spans="1:36" x14ac:dyDescent="0.25">
      <c r="C14" t="s">
        <v>339</v>
      </c>
      <c r="D14" t="s">
        <v>340</v>
      </c>
      <c r="E14" t="s">
        <v>16</v>
      </c>
      <c r="F14" t="s">
        <v>17</v>
      </c>
      <c r="G14" t="s">
        <v>18</v>
      </c>
      <c r="I14">
        <v>41.72127167</v>
      </c>
      <c r="J14">
        <v>-94.929383329999894</v>
      </c>
      <c r="K14" t="s">
        <v>341</v>
      </c>
      <c r="L14" t="s">
        <v>342</v>
      </c>
      <c r="M14" t="s">
        <v>328</v>
      </c>
      <c r="N14" t="s">
        <v>343</v>
      </c>
      <c r="O14">
        <v>2381</v>
      </c>
      <c r="P14" t="s">
        <v>20</v>
      </c>
      <c r="Q14" t="s">
        <v>329</v>
      </c>
      <c r="R14" t="s">
        <v>22</v>
      </c>
      <c r="S14" s="9">
        <v>15615.69</v>
      </c>
      <c r="T14" s="9">
        <v>14045</v>
      </c>
      <c r="U14" s="9">
        <v>2820.67</v>
      </c>
      <c r="V14" s="9">
        <v>3549.97</v>
      </c>
      <c r="W14">
        <v>3744</v>
      </c>
      <c r="X14" s="6">
        <v>30</v>
      </c>
      <c r="Y14" s="6">
        <v>250</v>
      </c>
      <c r="Z14" s="6">
        <v>434</v>
      </c>
      <c r="AA14" s="6">
        <v>684</v>
      </c>
      <c r="AB14" s="6">
        <v>2819</v>
      </c>
      <c r="AC14" s="6">
        <v>6105.57</v>
      </c>
      <c r="AD14" s="6">
        <v>7682.1</v>
      </c>
      <c r="AE14" s="6">
        <v>8924.57</v>
      </c>
      <c r="AF14" s="6">
        <v>0</v>
      </c>
      <c r="AG14" s="6">
        <v>8924.57</v>
      </c>
      <c r="AH14" s="10"/>
      <c r="AI14" t="s">
        <v>1106</v>
      </c>
      <c r="AJ14" s="11" t="str">
        <f t="shared" si="0"/>
        <v>LINK</v>
      </c>
    </row>
    <row r="15" spans="1:36" x14ac:dyDescent="0.25">
      <c r="C15" t="s">
        <v>677</v>
      </c>
      <c r="D15" t="s">
        <v>678</v>
      </c>
      <c r="E15" t="s">
        <v>16</v>
      </c>
      <c r="F15" t="s">
        <v>17</v>
      </c>
      <c r="G15" t="s">
        <v>18</v>
      </c>
      <c r="I15">
        <v>41.317158030000002</v>
      </c>
      <c r="J15">
        <v>-81.346599389999895</v>
      </c>
      <c r="K15" t="s">
        <v>679</v>
      </c>
      <c r="L15" t="s">
        <v>680</v>
      </c>
      <c r="M15" t="s">
        <v>675</v>
      </c>
      <c r="N15" t="s">
        <v>681</v>
      </c>
      <c r="O15">
        <v>135</v>
      </c>
      <c r="P15" t="s">
        <v>20</v>
      </c>
      <c r="Q15" t="s">
        <v>676</v>
      </c>
      <c r="R15" t="s">
        <v>37</v>
      </c>
      <c r="S15" s="9">
        <v>50923.85</v>
      </c>
      <c r="T15" s="9">
        <v>58199.56</v>
      </c>
      <c r="U15" s="9">
        <v>22396.81</v>
      </c>
      <c r="V15" s="9">
        <v>12206.46</v>
      </c>
      <c r="W15">
        <v>5726</v>
      </c>
      <c r="X15" s="6">
        <v>70</v>
      </c>
      <c r="Y15" s="6">
        <v>391</v>
      </c>
      <c r="Z15" s="6">
        <v>288</v>
      </c>
      <c r="AA15" s="6">
        <v>679</v>
      </c>
      <c r="AB15" s="6">
        <v>12890.14</v>
      </c>
      <c r="AC15" s="6">
        <v>13102.87</v>
      </c>
      <c r="AD15" s="6">
        <v>44705.599999999999</v>
      </c>
      <c r="AE15" s="6">
        <v>25993.01</v>
      </c>
      <c r="AF15" s="6">
        <v>0</v>
      </c>
      <c r="AG15" s="6">
        <v>25993.01</v>
      </c>
      <c r="AH15" s="10"/>
      <c r="AI15" t="s">
        <v>1148</v>
      </c>
      <c r="AJ15" s="11" t="str">
        <f t="shared" si="0"/>
        <v>LINK</v>
      </c>
    </row>
    <row r="16" spans="1:36" x14ac:dyDescent="0.25">
      <c r="B16" s="5" t="s">
        <v>3405</v>
      </c>
      <c r="C16" t="s">
        <v>682</v>
      </c>
      <c r="D16" t="s">
        <v>683</v>
      </c>
      <c r="E16" t="s">
        <v>16</v>
      </c>
      <c r="F16" t="s">
        <v>17</v>
      </c>
      <c r="G16" t="s">
        <v>18</v>
      </c>
      <c r="I16">
        <v>41.385698949999899</v>
      </c>
      <c r="J16">
        <v>-81.340629230000005</v>
      </c>
      <c r="K16" t="s">
        <v>684</v>
      </c>
      <c r="L16" t="s">
        <v>685</v>
      </c>
      <c r="M16" t="s">
        <v>675</v>
      </c>
      <c r="N16" t="s">
        <v>686</v>
      </c>
      <c r="O16">
        <v>2020</v>
      </c>
      <c r="P16" t="s">
        <v>20</v>
      </c>
      <c r="Q16" t="s">
        <v>676</v>
      </c>
      <c r="R16" t="s">
        <v>37</v>
      </c>
      <c r="S16" s="9">
        <v>31055.14</v>
      </c>
      <c r="T16" s="9">
        <v>57971.48</v>
      </c>
      <c r="U16" s="9">
        <v>12785.38</v>
      </c>
      <c r="V16" s="9">
        <v>19898.04</v>
      </c>
      <c r="W16">
        <v>14355</v>
      </c>
      <c r="X16" s="6">
        <v>64</v>
      </c>
      <c r="Y16" s="6">
        <v>285</v>
      </c>
      <c r="Z16" s="6">
        <v>474</v>
      </c>
      <c r="AA16" s="6">
        <v>759</v>
      </c>
      <c r="AB16" s="6">
        <v>1021</v>
      </c>
      <c r="AC16" s="6">
        <v>7569.59</v>
      </c>
      <c r="AD16" s="6">
        <v>18040.8</v>
      </c>
      <c r="AE16" s="6">
        <v>8590.59</v>
      </c>
      <c r="AF16" s="6">
        <v>0</v>
      </c>
      <c r="AG16" s="6">
        <v>8590.59</v>
      </c>
      <c r="AH16" s="10"/>
      <c r="AI16" t="s">
        <v>1149</v>
      </c>
      <c r="AJ16" s="11" t="s">
        <v>1149</v>
      </c>
    </row>
    <row r="17" spans="2:36" s="5" customFormat="1" x14ac:dyDescent="0.25">
      <c r="B17" s="5" t="s">
        <v>3405</v>
      </c>
      <c r="C17" s="5" t="s">
        <v>128</v>
      </c>
      <c r="D17" s="5" t="s">
        <v>129</v>
      </c>
      <c r="E17" s="5" t="s">
        <v>16</v>
      </c>
      <c r="F17" s="5" t="s">
        <v>17</v>
      </c>
      <c r="G17" s="5" t="s">
        <v>18</v>
      </c>
      <c r="I17" s="5">
        <v>34.497208469999897</v>
      </c>
      <c r="J17" s="5">
        <v>-83.549977670000004</v>
      </c>
      <c r="K17" s="5" t="s">
        <v>130</v>
      </c>
      <c r="L17" s="5" t="s">
        <v>131</v>
      </c>
      <c r="M17" s="5" t="s">
        <v>120</v>
      </c>
      <c r="N17" s="5" t="s">
        <v>132</v>
      </c>
      <c r="O17" s="5">
        <v>3405</v>
      </c>
      <c r="P17" s="5" t="s">
        <v>20</v>
      </c>
      <c r="Q17" s="5" t="s">
        <v>127</v>
      </c>
      <c r="R17" s="5" t="s">
        <v>22</v>
      </c>
      <c r="S17" s="4">
        <v>0</v>
      </c>
      <c r="T17" s="4">
        <v>131239.21</v>
      </c>
      <c r="U17" s="4">
        <v>0</v>
      </c>
      <c r="V17" s="4">
        <v>35861.89</v>
      </c>
      <c r="W17" s="5">
        <v>55823</v>
      </c>
      <c r="X17" s="3">
        <v>11</v>
      </c>
      <c r="Y17" s="3">
        <v>541</v>
      </c>
      <c r="Z17" s="3">
        <v>0</v>
      </c>
      <c r="AA17" s="3">
        <v>541</v>
      </c>
      <c r="AB17" s="3">
        <v>0</v>
      </c>
      <c r="AC17" s="3">
        <v>0</v>
      </c>
      <c r="AD17" s="3">
        <v>1299</v>
      </c>
      <c r="AE17" s="3">
        <v>0</v>
      </c>
      <c r="AF17" s="3">
        <v>0</v>
      </c>
      <c r="AG17" s="3">
        <v>0</v>
      </c>
      <c r="AH17" s="2">
        <v>31383</v>
      </c>
      <c r="AI17" s="5" t="s">
        <v>1074</v>
      </c>
      <c r="AJ17" s="1" t="str">
        <f>HYPERLINK(AI17,"LINK")</f>
        <v>LINK</v>
      </c>
    </row>
    <row r="18" spans="2:36" x14ac:dyDescent="0.25">
      <c r="C18" t="s">
        <v>530</v>
      </c>
      <c r="D18" t="s">
        <v>531</v>
      </c>
      <c r="E18" t="s">
        <v>16</v>
      </c>
      <c r="F18" t="s">
        <v>17</v>
      </c>
      <c r="G18" t="s">
        <v>18</v>
      </c>
      <c r="I18">
        <v>36.86533403</v>
      </c>
      <c r="J18">
        <v>-83.888273350000006</v>
      </c>
      <c r="K18" t="s">
        <v>532</v>
      </c>
      <c r="L18" t="s">
        <v>529</v>
      </c>
      <c r="M18" t="s">
        <v>517</v>
      </c>
      <c r="N18" t="s">
        <v>533</v>
      </c>
      <c r="O18">
        <v>191</v>
      </c>
      <c r="P18" t="s">
        <v>20</v>
      </c>
      <c r="Q18" t="s">
        <v>519</v>
      </c>
      <c r="R18" t="s">
        <v>22</v>
      </c>
      <c r="S18" s="9">
        <v>18265.79</v>
      </c>
      <c r="T18" s="9">
        <v>34171.06</v>
      </c>
      <c r="U18" s="9">
        <v>7969.43</v>
      </c>
      <c r="V18" s="9">
        <v>9965.19</v>
      </c>
      <c r="W18">
        <v>3855</v>
      </c>
      <c r="X18" s="6">
        <v>28</v>
      </c>
      <c r="Y18" s="6">
        <v>237</v>
      </c>
      <c r="Z18" s="6">
        <v>405</v>
      </c>
      <c r="AA18" s="6">
        <v>642</v>
      </c>
      <c r="AB18" s="6">
        <v>6749</v>
      </c>
      <c r="AC18" s="6">
        <v>14920.37</v>
      </c>
      <c r="AD18" s="6">
        <v>47332.4</v>
      </c>
      <c r="AE18" s="6">
        <v>21669.37</v>
      </c>
      <c r="AF18" s="6">
        <v>0</v>
      </c>
      <c r="AG18" s="6">
        <v>21669.37</v>
      </c>
      <c r="AH18" s="10">
        <v>42767</v>
      </c>
      <c r="AI18" t="s">
        <v>1126</v>
      </c>
      <c r="AJ18" s="11" t="str">
        <f>HYPERLINK(AI18,"LINK")</f>
        <v>LINK</v>
      </c>
    </row>
    <row r="19" spans="2:36" x14ac:dyDescent="0.25">
      <c r="C19" t="s">
        <v>687</v>
      </c>
      <c r="D19" t="s">
        <v>688</v>
      </c>
      <c r="E19" t="s">
        <v>16</v>
      </c>
      <c r="F19" t="s">
        <v>17</v>
      </c>
      <c r="G19" t="s">
        <v>18</v>
      </c>
      <c r="I19">
        <v>40.059497399999898</v>
      </c>
      <c r="J19">
        <v>-81.220418510000002</v>
      </c>
      <c r="K19" t="s">
        <v>689</v>
      </c>
      <c r="L19" t="s">
        <v>690</v>
      </c>
      <c r="M19" t="s">
        <v>675</v>
      </c>
      <c r="N19" t="s">
        <v>691</v>
      </c>
      <c r="O19">
        <v>792</v>
      </c>
      <c r="P19" t="s">
        <v>20</v>
      </c>
      <c r="Q19" t="s">
        <v>676</v>
      </c>
      <c r="R19" t="s">
        <v>37</v>
      </c>
      <c r="S19" s="9">
        <v>17118.82</v>
      </c>
      <c r="T19" s="9">
        <v>21141.46</v>
      </c>
      <c r="U19" s="9">
        <v>9412.7999999999993</v>
      </c>
      <c r="V19" s="9">
        <v>11989.69</v>
      </c>
      <c r="W19">
        <v>3022</v>
      </c>
      <c r="X19" s="6">
        <v>28</v>
      </c>
      <c r="Y19" s="6">
        <v>113</v>
      </c>
      <c r="Z19" s="6">
        <v>0</v>
      </c>
      <c r="AA19" s="6">
        <v>113</v>
      </c>
      <c r="AB19" s="6">
        <v>1450</v>
      </c>
      <c r="AC19" s="6">
        <v>6356.9</v>
      </c>
      <c r="AD19" s="6">
        <v>46411.56</v>
      </c>
      <c r="AE19" s="6">
        <v>7806.9</v>
      </c>
      <c r="AF19" s="6">
        <v>0</v>
      </c>
      <c r="AG19" s="6">
        <v>7806.9</v>
      </c>
      <c r="AH19" s="10">
        <v>42767</v>
      </c>
      <c r="AI19" t="s">
        <v>1150</v>
      </c>
      <c r="AJ19" s="11" t="str">
        <f>HYPERLINK(AI19,"LINK")</f>
        <v>LINK</v>
      </c>
    </row>
    <row r="20" spans="2:36" x14ac:dyDescent="0.25">
      <c r="B20" t="s">
        <v>3406</v>
      </c>
      <c r="C20" t="s">
        <v>535</v>
      </c>
      <c r="D20" t="s">
        <v>536</v>
      </c>
      <c r="E20" t="s">
        <v>16</v>
      </c>
      <c r="F20" t="s">
        <v>17</v>
      </c>
      <c r="G20" t="s">
        <v>18</v>
      </c>
      <c r="H20" t="s">
        <v>34</v>
      </c>
      <c r="I20">
        <v>37.573343530000002</v>
      </c>
      <c r="J20">
        <v>-84.2857390799999</v>
      </c>
      <c r="K20" t="s">
        <v>537</v>
      </c>
      <c r="L20" t="s">
        <v>534</v>
      </c>
      <c r="M20" t="s">
        <v>517</v>
      </c>
      <c r="N20" t="s">
        <v>538</v>
      </c>
      <c r="O20">
        <v>227</v>
      </c>
      <c r="P20" t="s">
        <v>20</v>
      </c>
      <c r="Q20" t="s">
        <v>519</v>
      </c>
      <c r="R20" t="s">
        <v>37</v>
      </c>
      <c r="S20" s="9">
        <v>17800.04</v>
      </c>
      <c r="T20" s="9">
        <v>51712.55</v>
      </c>
      <c r="U20" s="9">
        <v>4044.87</v>
      </c>
      <c r="V20" s="9">
        <v>16119.02</v>
      </c>
      <c r="W20">
        <v>3242</v>
      </c>
      <c r="X20" s="6">
        <v>90</v>
      </c>
      <c r="Y20" s="6">
        <v>166</v>
      </c>
      <c r="Z20" s="6">
        <v>846</v>
      </c>
      <c r="AA20" s="6">
        <v>1012</v>
      </c>
      <c r="AB20" s="6">
        <v>15989.08</v>
      </c>
      <c r="AC20" s="6">
        <v>57335.17</v>
      </c>
      <c r="AD20" s="6">
        <v>59842.41</v>
      </c>
      <c r="AE20" s="6">
        <v>73324.25</v>
      </c>
      <c r="AF20" s="6">
        <v>0</v>
      </c>
      <c r="AG20" s="6">
        <v>73324.25</v>
      </c>
      <c r="AH20" s="10">
        <v>42881</v>
      </c>
      <c r="AI20" t="s">
        <v>1127</v>
      </c>
      <c r="AJ20" s="11" t="str">
        <f>HYPERLINK(AI20,"LINK")</f>
        <v>LINK</v>
      </c>
    </row>
    <row r="21" spans="2:36" x14ac:dyDescent="0.25">
      <c r="C21" t="s">
        <v>3138</v>
      </c>
      <c r="E21" t="s">
        <v>16</v>
      </c>
      <c r="F21" t="s">
        <v>17</v>
      </c>
      <c r="G21" t="s">
        <v>18</v>
      </c>
      <c r="H21" t="s">
        <v>34</v>
      </c>
      <c r="I21">
        <v>38.242606209999899</v>
      </c>
      <c r="J21">
        <v>-83.874478580000002</v>
      </c>
      <c r="K21" t="s">
        <v>539</v>
      </c>
      <c r="L21" t="s">
        <v>540</v>
      </c>
      <c r="M21" t="s">
        <v>517</v>
      </c>
      <c r="N21" t="s">
        <v>541</v>
      </c>
      <c r="O21">
        <v>1306</v>
      </c>
      <c r="P21" t="s">
        <v>20</v>
      </c>
      <c r="Q21" t="s">
        <v>519</v>
      </c>
      <c r="R21" t="s">
        <v>37</v>
      </c>
      <c r="S21" s="9">
        <v>0</v>
      </c>
      <c r="T21" s="9">
        <v>0</v>
      </c>
      <c r="U21" s="9">
        <v>0</v>
      </c>
      <c r="V21" s="9">
        <v>0</v>
      </c>
      <c r="W21">
        <v>10084</v>
      </c>
      <c r="X21" s="6">
        <v>3</v>
      </c>
      <c r="Y21" s="6">
        <v>41</v>
      </c>
      <c r="Z21" s="6">
        <v>85</v>
      </c>
      <c r="AA21" s="6">
        <v>126</v>
      </c>
      <c r="AB21" s="6">
        <v>0</v>
      </c>
      <c r="AC21" s="6">
        <v>295</v>
      </c>
      <c r="AD21" s="6">
        <v>0</v>
      </c>
      <c r="AE21" s="6">
        <v>295</v>
      </c>
      <c r="AF21" s="6">
        <v>0</v>
      </c>
      <c r="AG21" s="6">
        <v>295</v>
      </c>
      <c r="AH21" s="10"/>
      <c r="AI21" t="s">
        <v>1125</v>
      </c>
      <c r="AJ21" t="s">
        <v>1125</v>
      </c>
    </row>
    <row r="22" spans="2:36" x14ac:dyDescent="0.25">
      <c r="C22" t="s">
        <v>133</v>
      </c>
      <c r="D22" t="s">
        <v>134</v>
      </c>
      <c r="E22" t="s">
        <v>16</v>
      </c>
      <c r="F22" t="s">
        <v>17</v>
      </c>
      <c r="G22" t="s">
        <v>18</v>
      </c>
      <c r="H22" t="s">
        <v>25</v>
      </c>
      <c r="I22">
        <v>34.8640250999999</v>
      </c>
      <c r="J22">
        <v>-83.984808849999894</v>
      </c>
      <c r="K22" t="s">
        <v>135</v>
      </c>
      <c r="L22" t="s">
        <v>136</v>
      </c>
      <c r="M22" t="s">
        <v>120</v>
      </c>
      <c r="N22" t="s">
        <v>137</v>
      </c>
      <c r="O22">
        <v>3293</v>
      </c>
      <c r="P22" t="s">
        <v>20</v>
      </c>
      <c r="Q22" t="s">
        <v>127</v>
      </c>
      <c r="R22" t="s">
        <v>37</v>
      </c>
      <c r="S22" s="9">
        <v>22270.31</v>
      </c>
      <c r="T22" s="9">
        <v>9585.4699999999993</v>
      </c>
      <c r="U22" s="9">
        <v>4510</v>
      </c>
      <c r="V22" s="9">
        <v>3953.58</v>
      </c>
      <c r="W22">
        <v>5000</v>
      </c>
      <c r="X22" s="6">
        <v>2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10"/>
      <c r="AI22" t="s">
        <v>1075</v>
      </c>
      <c r="AJ22" s="11" t="str">
        <f>HYPERLINK(AI22,"LINK")</f>
        <v>LINK</v>
      </c>
    </row>
    <row r="23" spans="2:36" x14ac:dyDescent="0.25">
      <c r="C23" t="s">
        <v>138</v>
      </c>
      <c r="D23" t="s">
        <v>139</v>
      </c>
      <c r="E23" t="s">
        <v>16</v>
      </c>
      <c r="F23" t="s">
        <v>17</v>
      </c>
      <c r="G23" t="s">
        <v>18</v>
      </c>
      <c r="I23">
        <v>31.382539999999899</v>
      </c>
      <c r="J23">
        <v>-84.957519000000005</v>
      </c>
      <c r="K23" t="s">
        <v>140</v>
      </c>
      <c r="L23" t="s">
        <v>141</v>
      </c>
      <c r="M23" t="s">
        <v>120</v>
      </c>
      <c r="N23" t="s">
        <v>142</v>
      </c>
      <c r="O23">
        <v>2356</v>
      </c>
      <c r="P23" t="s">
        <v>20</v>
      </c>
      <c r="Q23" t="s">
        <v>143</v>
      </c>
      <c r="R23" t="s">
        <v>37</v>
      </c>
      <c r="S23" s="9">
        <v>13697.58</v>
      </c>
      <c r="T23" s="9">
        <v>39609.5</v>
      </c>
      <c r="U23" s="9">
        <v>2991.03</v>
      </c>
      <c r="V23" s="9">
        <v>13508.58</v>
      </c>
      <c r="W23">
        <v>5652</v>
      </c>
      <c r="X23" s="6">
        <v>35</v>
      </c>
      <c r="Y23" s="6">
        <v>994</v>
      </c>
      <c r="Z23" s="6">
        <v>352</v>
      </c>
      <c r="AA23" s="6">
        <v>1346</v>
      </c>
      <c r="AB23" s="6">
        <v>5815.9</v>
      </c>
      <c r="AC23" s="6">
        <v>8504.4</v>
      </c>
      <c r="AD23" s="6">
        <v>34336.85</v>
      </c>
      <c r="AE23" s="6">
        <v>14320.3</v>
      </c>
      <c r="AF23" s="6">
        <v>0</v>
      </c>
      <c r="AG23" s="6">
        <v>14320.3</v>
      </c>
      <c r="AH23" s="10"/>
      <c r="AI23" t="s">
        <v>1076</v>
      </c>
      <c r="AJ23" s="11" t="str">
        <f>HYPERLINK(AI23,"LINK")</f>
        <v>LINK</v>
      </c>
    </row>
    <row r="24" spans="2:36" x14ac:dyDescent="0.25">
      <c r="C24" t="s">
        <v>92</v>
      </c>
      <c r="E24" t="s">
        <v>16</v>
      </c>
      <c r="F24" t="s">
        <v>17</v>
      </c>
      <c r="G24" t="s">
        <v>18</v>
      </c>
      <c r="I24">
        <v>29.960082620000001</v>
      </c>
      <c r="J24">
        <v>-82.927997629999894</v>
      </c>
      <c r="K24" t="s">
        <v>94</v>
      </c>
      <c r="L24" t="s">
        <v>93</v>
      </c>
      <c r="M24" t="s">
        <v>81</v>
      </c>
      <c r="N24" t="s">
        <v>95</v>
      </c>
      <c r="P24" t="s">
        <v>38</v>
      </c>
      <c r="Q24" t="s">
        <v>82</v>
      </c>
      <c r="R24" t="s">
        <v>22</v>
      </c>
      <c r="S24" s="9">
        <v>0</v>
      </c>
      <c r="T24" s="9">
        <v>0</v>
      </c>
      <c r="U24" s="9">
        <v>0</v>
      </c>
      <c r="V24" s="9">
        <v>0</v>
      </c>
      <c r="W24">
        <v>10685</v>
      </c>
      <c r="X24" s="6">
        <v>20</v>
      </c>
      <c r="Y24" s="6">
        <v>307</v>
      </c>
      <c r="Z24" s="6">
        <v>149</v>
      </c>
      <c r="AA24" s="6">
        <v>456</v>
      </c>
      <c r="AB24" s="6">
        <v>7600</v>
      </c>
      <c r="AC24" s="6">
        <v>17521.53</v>
      </c>
      <c r="AD24" s="6">
        <v>36194.050000000003</v>
      </c>
      <c r="AE24" s="6">
        <v>25121.53</v>
      </c>
      <c r="AF24" s="6">
        <v>0</v>
      </c>
      <c r="AG24" s="6">
        <v>25121.53</v>
      </c>
      <c r="AH24" s="10"/>
      <c r="AI24" t="s">
        <v>1068</v>
      </c>
      <c r="AJ24" s="11" t="str">
        <f>HYPERLINK(AI24,"LINK")</f>
        <v>LINK</v>
      </c>
    </row>
    <row r="25" spans="2:36" x14ac:dyDescent="0.25">
      <c r="C25" t="s">
        <v>542</v>
      </c>
      <c r="E25" t="s">
        <v>16</v>
      </c>
      <c r="F25" t="s">
        <v>17</v>
      </c>
      <c r="G25" t="s">
        <v>18</v>
      </c>
      <c r="I25">
        <v>37.341683459999899</v>
      </c>
      <c r="J25">
        <v>-84.44990833</v>
      </c>
      <c r="K25" t="s">
        <v>544</v>
      </c>
      <c r="L25" t="s">
        <v>543</v>
      </c>
      <c r="M25" t="s">
        <v>517</v>
      </c>
      <c r="N25" t="s">
        <v>545</v>
      </c>
      <c r="O25">
        <v>3951</v>
      </c>
      <c r="P25" t="s">
        <v>20</v>
      </c>
      <c r="Q25" t="s">
        <v>519</v>
      </c>
      <c r="R25" t="s">
        <v>22</v>
      </c>
      <c r="S25" s="9">
        <v>0</v>
      </c>
      <c r="T25" s="9">
        <v>0</v>
      </c>
      <c r="U25" s="9">
        <v>0</v>
      </c>
      <c r="V25" s="9">
        <v>0</v>
      </c>
      <c r="W25">
        <v>10084</v>
      </c>
      <c r="X25" s="6">
        <v>14</v>
      </c>
      <c r="Y25" s="6">
        <v>115</v>
      </c>
      <c r="Z25" s="6">
        <v>147</v>
      </c>
      <c r="AA25" s="6">
        <v>262</v>
      </c>
      <c r="AB25" s="6">
        <v>0</v>
      </c>
      <c r="AC25" s="6">
        <v>7379</v>
      </c>
      <c r="AD25" s="6">
        <v>0</v>
      </c>
      <c r="AE25" s="6">
        <v>7379</v>
      </c>
      <c r="AF25" s="6">
        <v>0</v>
      </c>
      <c r="AG25" s="6">
        <v>7379</v>
      </c>
      <c r="AH25" s="10"/>
      <c r="AI25" t="s">
        <v>1125</v>
      </c>
      <c r="AJ25" t="s">
        <v>1125</v>
      </c>
    </row>
    <row r="26" spans="2:36" x14ac:dyDescent="0.25">
      <c r="B26" s="5" t="s">
        <v>3405</v>
      </c>
      <c r="C26" t="s">
        <v>841</v>
      </c>
      <c r="D26" t="s">
        <v>842</v>
      </c>
      <c r="E26" t="s">
        <v>16</v>
      </c>
      <c r="F26" t="s">
        <v>17</v>
      </c>
      <c r="G26" t="s">
        <v>18</v>
      </c>
      <c r="H26" t="s">
        <v>34</v>
      </c>
      <c r="I26">
        <v>36.052613700000002</v>
      </c>
      <c r="J26">
        <v>-95.791825959999898</v>
      </c>
      <c r="K26" t="s">
        <v>843</v>
      </c>
      <c r="L26" t="s">
        <v>844</v>
      </c>
      <c r="M26" t="s">
        <v>838</v>
      </c>
      <c r="N26" t="s">
        <v>845</v>
      </c>
      <c r="O26">
        <v>34</v>
      </c>
      <c r="P26" t="s">
        <v>20</v>
      </c>
      <c r="Q26" t="s">
        <v>840</v>
      </c>
      <c r="R26" t="s">
        <v>22</v>
      </c>
      <c r="S26" s="9">
        <v>42692.94</v>
      </c>
      <c r="T26" s="9">
        <v>104993.98</v>
      </c>
      <c r="U26" s="9">
        <v>18556.599999999999</v>
      </c>
      <c r="V26" s="9">
        <v>34474.51</v>
      </c>
      <c r="W26">
        <v>17085</v>
      </c>
      <c r="X26" s="6">
        <v>150</v>
      </c>
      <c r="Y26" s="6">
        <v>526</v>
      </c>
      <c r="Z26" s="6">
        <v>1508</v>
      </c>
      <c r="AA26" s="6">
        <v>2034</v>
      </c>
      <c r="AB26" s="6">
        <v>14122.6</v>
      </c>
      <c r="AC26" s="6">
        <v>13377.91</v>
      </c>
      <c r="AD26" s="6">
        <v>45891.26</v>
      </c>
      <c r="AE26" s="6">
        <v>27500.51</v>
      </c>
      <c r="AF26" s="6">
        <v>1011.97</v>
      </c>
      <c r="AG26" s="6">
        <v>28512.48</v>
      </c>
      <c r="AH26" s="10"/>
      <c r="AI26" t="s">
        <v>1041</v>
      </c>
      <c r="AJ26" s="11" t="str">
        <f t="shared" ref="AJ26:AJ35" si="1">HYPERLINK(AI26,"LINK")</f>
        <v>LINK</v>
      </c>
    </row>
    <row r="27" spans="2:36" x14ac:dyDescent="0.25">
      <c r="B27" s="5" t="s">
        <v>3405</v>
      </c>
      <c r="C27" t="s">
        <v>846</v>
      </c>
      <c r="D27" t="s">
        <v>847</v>
      </c>
      <c r="E27" t="s">
        <v>16</v>
      </c>
      <c r="F27" t="s">
        <v>17</v>
      </c>
      <c r="G27" t="s">
        <v>18</v>
      </c>
      <c r="H27" t="s">
        <v>34</v>
      </c>
      <c r="I27">
        <v>35.99867768</v>
      </c>
      <c r="J27">
        <v>-95.796852079999894</v>
      </c>
      <c r="K27" t="s">
        <v>848</v>
      </c>
      <c r="L27" t="s">
        <v>844</v>
      </c>
      <c r="M27" t="s">
        <v>838</v>
      </c>
      <c r="N27" t="s">
        <v>849</v>
      </c>
      <c r="O27">
        <v>41</v>
      </c>
      <c r="P27" t="s">
        <v>20</v>
      </c>
      <c r="Q27" t="s">
        <v>840</v>
      </c>
      <c r="R27" t="s">
        <v>22</v>
      </c>
      <c r="S27" s="9">
        <v>91043.67</v>
      </c>
      <c r="T27" s="9">
        <v>89430.399999999994</v>
      </c>
      <c r="U27" s="9">
        <v>26395.93</v>
      </c>
      <c r="V27" s="9">
        <v>28858.43</v>
      </c>
      <c r="W27">
        <v>14330</v>
      </c>
      <c r="X27" s="6">
        <v>109</v>
      </c>
      <c r="Y27" s="6">
        <v>532</v>
      </c>
      <c r="Z27" s="6">
        <v>362</v>
      </c>
      <c r="AA27" s="6">
        <v>894</v>
      </c>
      <c r="AB27" s="6">
        <v>12002.37</v>
      </c>
      <c r="AC27" s="6">
        <v>3547.06</v>
      </c>
      <c r="AD27" s="6">
        <v>39317.230000000003</v>
      </c>
      <c r="AE27" s="6">
        <v>15549.43</v>
      </c>
      <c r="AF27" s="6">
        <v>0</v>
      </c>
      <c r="AG27" s="6">
        <v>15549.43</v>
      </c>
      <c r="AH27" s="10"/>
      <c r="AI27" t="s">
        <v>1169</v>
      </c>
      <c r="AJ27" s="11" t="str">
        <f t="shared" si="1"/>
        <v>LINK</v>
      </c>
    </row>
    <row r="28" spans="2:36" x14ac:dyDescent="0.25">
      <c r="B28" t="s">
        <v>3406</v>
      </c>
      <c r="C28" t="s">
        <v>850</v>
      </c>
      <c r="D28" t="s">
        <v>851</v>
      </c>
      <c r="E28" t="s">
        <v>16</v>
      </c>
      <c r="F28" t="s">
        <v>17</v>
      </c>
      <c r="G28" t="s">
        <v>18</v>
      </c>
      <c r="H28" t="s">
        <v>34</v>
      </c>
      <c r="I28">
        <v>36.089602409999898</v>
      </c>
      <c r="J28">
        <v>-95.790558200000007</v>
      </c>
      <c r="K28" t="s">
        <v>852</v>
      </c>
      <c r="L28" t="s">
        <v>844</v>
      </c>
      <c r="M28" t="s">
        <v>838</v>
      </c>
      <c r="N28" t="s">
        <v>853</v>
      </c>
      <c r="O28">
        <v>178</v>
      </c>
      <c r="P28" t="s">
        <v>20</v>
      </c>
      <c r="Q28" t="s">
        <v>840</v>
      </c>
      <c r="R28" t="s">
        <v>22</v>
      </c>
      <c r="S28" s="9">
        <v>38650.160000000003</v>
      </c>
      <c r="T28" s="9">
        <v>47222.1</v>
      </c>
      <c r="U28" s="9">
        <v>2055.36</v>
      </c>
      <c r="V28" s="9">
        <v>21691.279999999999</v>
      </c>
      <c r="W28">
        <v>4300</v>
      </c>
      <c r="X28" s="6">
        <v>106</v>
      </c>
      <c r="Y28" s="6">
        <v>396</v>
      </c>
      <c r="Z28" s="6">
        <v>404</v>
      </c>
      <c r="AA28" s="6">
        <v>800</v>
      </c>
      <c r="AB28" s="6">
        <v>13778.5</v>
      </c>
      <c r="AC28" s="6">
        <v>35254.89</v>
      </c>
      <c r="AD28" s="6">
        <v>35210.86</v>
      </c>
      <c r="AE28" s="6">
        <v>49033.39</v>
      </c>
      <c r="AF28" s="6">
        <v>0</v>
      </c>
      <c r="AG28" s="6">
        <v>49033.39</v>
      </c>
      <c r="AH28" s="10"/>
      <c r="AI28" t="s">
        <v>1042</v>
      </c>
      <c r="AJ28" s="11" t="str">
        <f t="shared" si="1"/>
        <v>LINK</v>
      </c>
    </row>
    <row r="29" spans="2:36" x14ac:dyDescent="0.25">
      <c r="C29" t="s">
        <v>854</v>
      </c>
      <c r="D29" t="s">
        <v>855</v>
      </c>
      <c r="E29" t="s">
        <v>16</v>
      </c>
      <c r="F29" t="s">
        <v>17</v>
      </c>
      <c r="G29" t="s">
        <v>18</v>
      </c>
      <c r="H29" t="s">
        <v>34</v>
      </c>
      <c r="I29">
        <v>36.061524159999898</v>
      </c>
      <c r="J29">
        <v>-95.684297880000003</v>
      </c>
      <c r="K29" t="s">
        <v>856</v>
      </c>
      <c r="L29" t="s">
        <v>844</v>
      </c>
      <c r="M29" t="s">
        <v>838</v>
      </c>
      <c r="N29" t="s">
        <v>857</v>
      </c>
      <c r="O29">
        <v>209</v>
      </c>
      <c r="P29" t="s">
        <v>20</v>
      </c>
      <c r="Q29" t="s">
        <v>840</v>
      </c>
      <c r="R29" t="s">
        <v>22</v>
      </c>
      <c r="S29" s="9">
        <v>15031.55</v>
      </c>
      <c r="T29" s="9">
        <v>40110.629999999997</v>
      </c>
      <c r="U29" s="9">
        <v>1375.36</v>
      </c>
      <c r="V29" s="9">
        <v>18663.89</v>
      </c>
      <c r="W29">
        <v>3565</v>
      </c>
      <c r="X29" s="6">
        <v>38</v>
      </c>
      <c r="Y29" s="6">
        <v>255</v>
      </c>
      <c r="Z29" s="6">
        <v>457</v>
      </c>
      <c r="AA29" s="6">
        <v>712</v>
      </c>
      <c r="AB29" s="6">
        <v>2752.63</v>
      </c>
      <c r="AC29" s="6">
        <v>3798.56</v>
      </c>
      <c r="AD29" s="6">
        <v>40926.36</v>
      </c>
      <c r="AE29" s="6">
        <v>6551.19</v>
      </c>
      <c r="AF29" s="6">
        <v>0</v>
      </c>
      <c r="AG29" s="6">
        <v>6551.19</v>
      </c>
      <c r="AH29" s="10"/>
      <c r="AI29" t="s">
        <v>1043</v>
      </c>
      <c r="AJ29" s="11" t="str">
        <f t="shared" si="1"/>
        <v>LINK</v>
      </c>
    </row>
    <row r="30" spans="2:36" x14ac:dyDescent="0.25">
      <c r="C30" t="s">
        <v>546</v>
      </c>
      <c r="D30" t="s">
        <v>547</v>
      </c>
      <c r="E30" t="s">
        <v>16</v>
      </c>
      <c r="F30" t="s">
        <v>17</v>
      </c>
      <c r="G30" t="s">
        <v>18</v>
      </c>
      <c r="I30">
        <v>38.6825019999999</v>
      </c>
      <c r="J30">
        <v>-84.067487</v>
      </c>
      <c r="K30" t="s">
        <v>548</v>
      </c>
      <c r="L30" t="s">
        <v>549</v>
      </c>
      <c r="M30" t="s">
        <v>517</v>
      </c>
      <c r="N30" t="s">
        <v>550</v>
      </c>
      <c r="P30" t="s">
        <v>38</v>
      </c>
      <c r="Q30" t="s">
        <v>519</v>
      </c>
      <c r="R30" t="s">
        <v>37</v>
      </c>
      <c r="S30" s="9">
        <v>10535.54</v>
      </c>
      <c r="T30" s="9">
        <v>20537.39</v>
      </c>
      <c r="U30" s="9">
        <v>2580.34</v>
      </c>
      <c r="V30" s="9">
        <v>6646.59</v>
      </c>
      <c r="W30">
        <v>3062</v>
      </c>
      <c r="X30" s="6">
        <v>16</v>
      </c>
      <c r="Y30" s="6">
        <v>278</v>
      </c>
      <c r="Z30" s="6">
        <v>112</v>
      </c>
      <c r="AA30" s="6">
        <v>390</v>
      </c>
      <c r="AB30" s="6">
        <v>2080.92</v>
      </c>
      <c r="AC30" s="6">
        <v>13913.88</v>
      </c>
      <c r="AD30" s="6">
        <v>0</v>
      </c>
      <c r="AE30" s="6">
        <v>15994.8</v>
      </c>
      <c r="AF30" s="6">
        <v>0</v>
      </c>
      <c r="AG30" s="6">
        <v>15994.8</v>
      </c>
      <c r="AH30" s="10"/>
      <c r="AI30" t="s">
        <v>1128</v>
      </c>
      <c r="AJ30" s="11" t="str">
        <f t="shared" si="1"/>
        <v>LINK</v>
      </c>
    </row>
    <row r="31" spans="2:36" x14ac:dyDescent="0.25">
      <c r="B31" s="5" t="s">
        <v>3405</v>
      </c>
      <c r="C31" t="s">
        <v>1510</v>
      </c>
      <c r="E31" t="s">
        <v>16</v>
      </c>
      <c r="F31" t="s">
        <v>17</v>
      </c>
      <c r="G31" t="s">
        <v>18</v>
      </c>
      <c r="H31" t="s">
        <v>206</v>
      </c>
      <c r="I31">
        <v>33.177220409999897</v>
      </c>
      <c r="J31">
        <v>-102.274424499999</v>
      </c>
      <c r="K31" t="s">
        <v>913</v>
      </c>
      <c r="L31" t="s">
        <v>914</v>
      </c>
      <c r="M31" t="s">
        <v>905</v>
      </c>
      <c r="N31" t="s">
        <v>915</v>
      </c>
      <c r="O31">
        <v>2835</v>
      </c>
      <c r="P31" t="s">
        <v>20</v>
      </c>
      <c r="R31" t="s">
        <v>22</v>
      </c>
      <c r="S31" s="9">
        <v>0</v>
      </c>
      <c r="T31" s="9">
        <v>0</v>
      </c>
      <c r="U31" s="9">
        <v>0</v>
      </c>
      <c r="V31" s="9">
        <v>0</v>
      </c>
      <c r="W31">
        <v>12000</v>
      </c>
      <c r="X31" s="6">
        <v>93</v>
      </c>
      <c r="Y31" s="6">
        <v>291</v>
      </c>
      <c r="Z31" s="6">
        <v>714</v>
      </c>
      <c r="AA31" s="6">
        <v>1005</v>
      </c>
      <c r="AB31" s="6">
        <v>11734.8</v>
      </c>
      <c r="AC31" s="6">
        <v>39179.17</v>
      </c>
      <c r="AD31" s="6">
        <v>114449.47</v>
      </c>
      <c r="AE31" s="6">
        <v>50913.97</v>
      </c>
      <c r="AF31" s="6">
        <v>0</v>
      </c>
      <c r="AG31" s="6">
        <v>50913.97</v>
      </c>
      <c r="AH31" s="10">
        <v>42339</v>
      </c>
      <c r="AI31" t="s">
        <v>1172</v>
      </c>
      <c r="AJ31" s="11" t="str">
        <f t="shared" si="1"/>
        <v>LINK</v>
      </c>
    </row>
    <row r="32" spans="2:36" x14ac:dyDescent="0.25">
      <c r="C32" t="s">
        <v>551</v>
      </c>
      <c r="D32" t="s">
        <v>552</v>
      </c>
      <c r="E32" t="s">
        <v>16</v>
      </c>
      <c r="F32" t="s">
        <v>17</v>
      </c>
      <c r="G32" t="s">
        <v>18</v>
      </c>
      <c r="I32">
        <v>36.98978863</v>
      </c>
      <c r="J32">
        <v>-84.599373319999899</v>
      </c>
      <c r="K32" t="s">
        <v>553</v>
      </c>
      <c r="L32" t="s">
        <v>554</v>
      </c>
      <c r="M32" t="s">
        <v>517</v>
      </c>
      <c r="N32" t="s">
        <v>555</v>
      </c>
      <c r="O32">
        <v>182</v>
      </c>
      <c r="P32" t="s">
        <v>20</v>
      </c>
      <c r="Q32" t="s">
        <v>519</v>
      </c>
      <c r="R32" t="s">
        <v>22</v>
      </c>
      <c r="S32" s="9">
        <v>17561.21</v>
      </c>
      <c r="T32" s="9">
        <v>45983.199999999997</v>
      </c>
      <c r="U32" s="9">
        <v>2415.46</v>
      </c>
      <c r="V32" s="9">
        <v>18602.009999999998</v>
      </c>
      <c r="W32">
        <v>4096</v>
      </c>
      <c r="X32" s="6">
        <v>41</v>
      </c>
      <c r="Y32" s="6">
        <v>131</v>
      </c>
      <c r="Z32" s="6">
        <v>534</v>
      </c>
      <c r="AA32" s="6">
        <v>665</v>
      </c>
      <c r="AB32" s="6">
        <v>0</v>
      </c>
      <c r="AC32" s="6">
        <v>12671.67</v>
      </c>
      <c r="AD32" s="6">
        <v>35664.33</v>
      </c>
      <c r="AE32" s="6">
        <v>12671.67</v>
      </c>
      <c r="AF32" s="6">
        <v>0</v>
      </c>
      <c r="AG32" s="6">
        <v>12671.67</v>
      </c>
      <c r="AH32" s="10"/>
      <c r="AI32" t="s">
        <v>1024</v>
      </c>
      <c r="AJ32" s="11" t="str">
        <f t="shared" si="1"/>
        <v>LINK</v>
      </c>
    </row>
    <row r="33" spans="2:36" x14ac:dyDescent="0.25">
      <c r="C33" t="s">
        <v>145</v>
      </c>
      <c r="D33" t="s">
        <v>146</v>
      </c>
      <c r="E33" t="s">
        <v>16</v>
      </c>
      <c r="F33" t="s">
        <v>17</v>
      </c>
      <c r="G33" t="s">
        <v>18</v>
      </c>
      <c r="H33" t="s">
        <v>34</v>
      </c>
      <c r="I33">
        <v>30.878531800000001</v>
      </c>
      <c r="J33">
        <v>-84.208973049999898</v>
      </c>
      <c r="K33" t="s">
        <v>147</v>
      </c>
      <c r="L33" t="s">
        <v>148</v>
      </c>
      <c r="M33" t="s">
        <v>120</v>
      </c>
      <c r="N33" t="s">
        <v>149</v>
      </c>
      <c r="O33">
        <v>238</v>
      </c>
      <c r="P33" t="s">
        <v>20</v>
      </c>
      <c r="Q33" t="s">
        <v>144</v>
      </c>
      <c r="R33" t="s">
        <v>22</v>
      </c>
      <c r="S33" s="9">
        <v>18938.689999999999</v>
      </c>
      <c r="T33" s="9">
        <v>61805.1</v>
      </c>
      <c r="U33" s="9">
        <v>3843.93</v>
      </c>
      <c r="V33" s="9">
        <v>23790.79</v>
      </c>
      <c r="W33">
        <v>3592</v>
      </c>
      <c r="X33" s="6">
        <v>37</v>
      </c>
      <c r="Y33" s="6">
        <v>425</v>
      </c>
      <c r="Z33" s="6">
        <v>1243</v>
      </c>
      <c r="AA33" s="6">
        <v>1668</v>
      </c>
      <c r="AB33" s="6">
        <v>8770.4</v>
      </c>
      <c r="AC33" s="6">
        <v>15857.7</v>
      </c>
      <c r="AD33" s="6">
        <v>29131.83</v>
      </c>
      <c r="AE33" s="6">
        <v>24628.1</v>
      </c>
      <c r="AF33" s="6">
        <v>0</v>
      </c>
      <c r="AG33" s="6">
        <v>24628.1</v>
      </c>
      <c r="AH33" s="10"/>
      <c r="AI33" t="s">
        <v>1077</v>
      </c>
      <c r="AJ33" s="11" t="str">
        <f t="shared" si="1"/>
        <v>LINK</v>
      </c>
    </row>
    <row r="34" spans="2:36" x14ac:dyDescent="0.25">
      <c r="C34" t="s">
        <v>97</v>
      </c>
      <c r="D34" t="s">
        <v>98</v>
      </c>
      <c r="E34" t="s">
        <v>16</v>
      </c>
      <c r="F34" t="s">
        <v>17</v>
      </c>
      <c r="G34" t="s">
        <v>18</v>
      </c>
      <c r="I34">
        <v>30.564356310000001</v>
      </c>
      <c r="J34">
        <v>-81.831421289999895</v>
      </c>
      <c r="K34" t="s">
        <v>99</v>
      </c>
      <c r="L34" t="s">
        <v>100</v>
      </c>
      <c r="M34" t="s">
        <v>81</v>
      </c>
      <c r="N34" t="s">
        <v>101</v>
      </c>
      <c r="O34">
        <v>2338</v>
      </c>
      <c r="P34" t="s">
        <v>20</v>
      </c>
      <c r="Q34" t="s">
        <v>82</v>
      </c>
      <c r="R34" t="s">
        <v>22</v>
      </c>
      <c r="S34" s="9">
        <v>19452.03</v>
      </c>
      <c r="T34" s="9">
        <v>32431.16</v>
      </c>
      <c r="U34" s="9">
        <v>4816.32</v>
      </c>
      <c r="V34" s="9">
        <v>11011.12</v>
      </c>
      <c r="W34">
        <v>4560</v>
      </c>
      <c r="X34" s="6">
        <v>44</v>
      </c>
      <c r="Y34" s="6">
        <v>191</v>
      </c>
      <c r="Z34" s="6">
        <v>841</v>
      </c>
      <c r="AA34" s="6">
        <v>1032</v>
      </c>
      <c r="AB34" s="6">
        <v>4654.75</v>
      </c>
      <c r="AC34" s="6">
        <v>41608.82</v>
      </c>
      <c r="AD34" s="6">
        <v>14391</v>
      </c>
      <c r="AE34" s="6">
        <v>46263.57</v>
      </c>
      <c r="AF34" s="6">
        <v>0</v>
      </c>
      <c r="AG34" s="6">
        <v>46263.57</v>
      </c>
      <c r="AH34" s="10"/>
      <c r="AI34" t="s">
        <v>1069</v>
      </c>
      <c r="AJ34" s="11" t="str">
        <f t="shared" si="1"/>
        <v>LINK</v>
      </c>
    </row>
    <row r="35" spans="2:36" x14ac:dyDescent="0.25">
      <c r="B35" t="s">
        <v>3406</v>
      </c>
      <c r="C35" t="s">
        <v>557</v>
      </c>
      <c r="D35" t="s">
        <v>558</v>
      </c>
      <c r="E35" t="s">
        <v>16</v>
      </c>
      <c r="F35" t="s">
        <v>17</v>
      </c>
      <c r="G35" t="s">
        <v>18</v>
      </c>
      <c r="I35">
        <v>37.342599</v>
      </c>
      <c r="J35">
        <v>-85.343915999999894</v>
      </c>
      <c r="K35" t="s">
        <v>559</v>
      </c>
      <c r="L35" t="s">
        <v>556</v>
      </c>
      <c r="M35" t="s">
        <v>517</v>
      </c>
      <c r="N35" t="s">
        <v>560</v>
      </c>
      <c r="P35" t="s">
        <v>38</v>
      </c>
      <c r="Q35" t="s">
        <v>519</v>
      </c>
      <c r="R35" t="s">
        <v>22</v>
      </c>
      <c r="S35" s="9">
        <v>22230.25</v>
      </c>
      <c r="T35" s="9">
        <v>58783.53</v>
      </c>
      <c r="U35" s="9">
        <v>8095.15</v>
      </c>
      <c r="V35" s="9">
        <v>21965.42</v>
      </c>
      <c r="W35">
        <v>8877</v>
      </c>
      <c r="X35" s="6">
        <v>85</v>
      </c>
      <c r="Y35" s="6">
        <v>471</v>
      </c>
      <c r="Z35" s="6">
        <v>2243</v>
      </c>
      <c r="AA35" s="6">
        <v>2714</v>
      </c>
      <c r="AB35" s="6">
        <v>12345.65</v>
      </c>
      <c r="AC35" s="6">
        <v>70247.22</v>
      </c>
      <c r="AD35" s="6">
        <v>23338.55</v>
      </c>
      <c r="AE35" s="6">
        <v>82592.87</v>
      </c>
      <c r="AF35" s="6">
        <v>0</v>
      </c>
      <c r="AG35" s="6">
        <v>82592.87</v>
      </c>
      <c r="AH35" s="10">
        <v>42881</v>
      </c>
      <c r="AI35" t="s">
        <v>1129</v>
      </c>
      <c r="AJ35" s="11" t="str">
        <f t="shared" si="1"/>
        <v>LINK</v>
      </c>
    </row>
    <row r="36" spans="2:36" x14ac:dyDescent="0.25">
      <c r="B36" t="s">
        <v>3406</v>
      </c>
      <c r="C36" t="s">
        <v>151</v>
      </c>
      <c r="D36" t="s">
        <v>152</v>
      </c>
      <c r="E36" t="s">
        <v>16</v>
      </c>
      <c r="F36" t="s">
        <v>17</v>
      </c>
      <c r="G36" t="s">
        <v>18</v>
      </c>
      <c r="I36">
        <v>34.23610953</v>
      </c>
      <c r="J36">
        <v>-84.490654989999896</v>
      </c>
      <c r="K36" t="s">
        <v>153</v>
      </c>
      <c r="L36" t="s">
        <v>150</v>
      </c>
      <c r="M36" t="s">
        <v>120</v>
      </c>
      <c r="N36" t="s">
        <v>154</v>
      </c>
      <c r="O36">
        <v>106</v>
      </c>
      <c r="P36" t="s">
        <v>20</v>
      </c>
      <c r="Q36" t="s">
        <v>121</v>
      </c>
      <c r="R36" t="s">
        <v>37</v>
      </c>
      <c r="S36" s="9">
        <v>30559.41</v>
      </c>
      <c r="T36" s="9">
        <v>126734.91</v>
      </c>
      <c r="U36" s="9">
        <v>11829.91</v>
      </c>
      <c r="V36" s="9">
        <v>41202.68</v>
      </c>
      <c r="W36">
        <v>7075</v>
      </c>
      <c r="X36" s="6">
        <v>81</v>
      </c>
      <c r="Y36" s="6">
        <v>602</v>
      </c>
      <c r="Z36" s="6">
        <v>368</v>
      </c>
      <c r="AA36" s="6">
        <v>970</v>
      </c>
      <c r="AB36" s="6">
        <v>30521.33</v>
      </c>
      <c r="AC36" s="6">
        <v>44090.74</v>
      </c>
      <c r="AD36" s="6">
        <v>38562.74</v>
      </c>
      <c r="AE36" s="6">
        <v>74612.070000000007</v>
      </c>
      <c r="AF36" s="6">
        <v>0</v>
      </c>
      <c r="AG36" s="6">
        <v>74612.070000000007</v>
      </c>
      <c r="AH36" s="10">
        <v>43137</v>
      </c>
      <c r="AI36" t="s">
        <v>1078</v>
      </c>
      <c r="AJ36" t="s">
        <v>1078</v>
      </c>
    </row>
    <row r="37" spans="2:36" x14ac:dyDescent="0.25">
      <c r="C37" t="s">
        <v>692</v>
      </c>
      <c r="D37" t="s">
        <v>693</v>
      </c>
      <c r="E37" t="s">
        <v>16</v>
      </c>
      <c r="F37" t="s">
        <v>17</v>
      </c>
      <c r="G37" t="s">
        <v>18</v>
      </c>
      <c r="I37">
        <v>41.218145649999897</v>
      </c>
      <c r="J37">
        <v>-84.602125889999897</v>
      </c>
      <c r="K37" t="s">
        <v>694</v>
      </c>
      <c r="L37" t="s">
        <v>695</v>
      </c>
      <c r="M37" t="s">
        <v>675</v>
      </c>
      <c r="N37" t="s">
        <v>696</v>
      </c>
      <c r="O37">
        <v>2658</v>
      </c>
      <c r="P37" t="s">
        <v>20</v>
      </c>
      <c r="Q37" t="s">
        <v>697</v>
      </c>
      <c r="R37" t="s">
        <v>22</v>
      </c>
      <c r="S37" s="9">
        <v>1685.44</v>
      </c>
      <c r="T37" s="9">
        <v>3350.59</v>
      </c>
      <c r="U37" s="9">
        <v>360.8</v>
      </c>
      <c r="V37" s="9">
        <v>2687.74</v>
      </c>
      <c r="W37">
        <v>4994</v>
      </c>
      <c r="X37" s="6">
        <v>5</v>
      </c>
      <c r="Y37" s="6">
        <v>48</v>
      </c>
      <c r="Z37" s="6">
        <v>0</v>
      </c>
      <c r="AA37" s="6">
        <v>48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10"/>
      <c r="AI37" t="s">
        <v>1029</v>
      </c>
      <c r="AJ37" s="11" t="str">
        <f t="shared" ref="AJ37:AJ42" si="2">HYPERLINK(AI37,"LINK")</f>
        <v>LINK</v>
      </c>
    </row>
    <row r="38" spans="2:36" x14ac:dyDescent="0.25">
      <c r="C38" t="s">
        <v>344</v>
      </c>
      <c r="D38" t="s">
        <v>345</v>
      </c>
      <c r="E38" t="s">
        <v>16</v>
      </c>
      <c r="F38" t="s">
        <v>17</v>
      </c>
      <c r="G38" t="s">
        <v>18</v>
      </c>
      <c r="I38">
        <v>40.7322668999999</v>
      </c>
      <c r="J38">
        <v>-92.876118669999897</v>
      </c>
      <c r="K38" t="s">
        <v>346</v>
      </c>
      <c r="L38" t="s">
        <v>158</v>
      </c>
      <c r="M38" t="s">
        <v>328</v>
      </c>
      <c r="N38" t="s">
        <v>347</v>
      </c>
      <c r="O38">
        <v>1659</v>
      </c>
      <c r="P38" t="s">
        <v>20</v>
      </c>
      <c r="Q38" t="s">
        <v>329</v>
      </c>
      <c r="R38" t="s">
        <v>22</v>
      </c>
      <c r="S38" s="9">
        <v>13556.16</v>
      </c>
      <c r="T38" s="9">
        <v>35810.559999999998</v>
      </c>
      <c r="U38" s="9">
        <v>3065.11</v>
      </c>
      <c r="V38" s="9">
        <v>12367.51</v>
      </c>
      <c r="W38">
        <v>9042</v>
      </c>
      <c r="X38" s="6">
        <v>19</v>
      </c>
      <c r="Y38" s="6">
        <v>422</v>
      </c>
      <c r="Z38" s="6">
        <v>557</v>
      </c>
      <c r="AA38" s="6">
        <v>979</v>
      </c>
      <c r="AB38" s="6">
        <v>1857</v>
      </c>
      <c r="AC38" s="6">
        <v>7733.11</v>
      </c>
      <c r="AD38" s="6">
        <v>3834.8</v>
      </c>
      <c r="AE38" s="6">
        <v>9590.11</v>
      </c>
      <c r="AF38" s="6">
        <v>0</v>
      </c>
      <c r="AG38" s="6">
        <v>9590.11</v>
      </c>
      <c r="AH38" s="10"/>
      <c r="AI38" t="s">
        <v>1013</v>
      </c>
      <c r="AJ38" s="11" t="str">
        <f t="shared" si="2"/>
        <v>LINK</v>
      </c>
    </row>
    <row r="39" spans="2:36" x14ac:dyDescent="0.25">
      <c r="C39" t="s">
        <v>155</v>
      </c>
      <c r="D39" t="s">
        <v>156</v>
      </c>
      <c r="E39" t="s">
        <v>16</v>
      </c>
      <c r="F39" t="s">
        <v>17</v>
      </c>
      <c r="G39" t="s">
        <v>18</v>
      </c>
      <c r="H39" t="s">
        <v>34</v>
      </c>
      <c r="I39">
        <v>32.623498589999897</v>
      </c>
      <c r="J39">
        <v>-83.687999099999899</v>
      </c>
      <c r="K39" t="s">
        <v>157</v>
      </c>
      <c r="L39" t="s">
        <v>158</v>
      </c>
      <c r="M39" t="s">
        <v>120</v>
      </c>
      <c r="N39" t="s">
        <v>159</v>
      </c>
      <c r="O39">
        <v>252</v>
      </c>
      <c r="P39" t="s">
        <v>20</v>
      </c>
      <c r="Q39" t="s">
        <v>144</v>
      </c>
      <c r="R39" t="s">
        <v>22</v>
      </c>
      <c r="S39" s="9">
        <v>8895.33</v>
      </c>
      <c r="T39" s="9">
        <v>23424.35</v>
      </c>
      <c r="U39" s="9">
        <v>1180.6199999999999</v>
      </c>
      <c r="V39" s="9">
        <v>5501.25</v>
      </c>
      <c r="W39">
        <v>2976</v>
      </c>
      <c r="X39" s="6">
        <v>23</v>
      </c>
      <c r="Y39" s="6">
        <v>261</v>
      </c>
      <c r="Z39" s="6">
        <v>190</v>
      </c>
      <c r="AA39" s="6">
        <v>451</v>
      </c>
      <c r="AB39" s="6">
        <v>14731.4</v>
      </c>
      <c r="AC39" s="6">
        <v>13827.45</v>
      </c>
      <c r="AD39" s="6">
        <v>11867.2</v>
      </c>
      <c r="AE39" s="6">
        <v>28558.85</v>
      </c>
      <c r="AF39" s="6">
        <v>0</v>
      </c>
      <c r="AG39" s="6">
        <v>28558.85</v>
      </c>
      <c r="AH39" s="10"/>
      <c r="AI39" t="s">
        <v>1004</v>
      </c>
      <c r="AJ39" s="11" t="str">
        <f t="shared" si="2"/>
        <v>LINK</v>
      </c>
    </row>
    <row r="40" spans="2:36" x14ac:dyDescent="0.25">
      <c r="B40" s="5" t="s">
        <v>3405</v>
      </c>
      <c r="C40" t="s">
        <v>698</v>
      </c>
      <c r="D40" t="s">
        <v>699</v>
      </c>
      <c r="E40" t="s">
        <v>16</v>
      </c>
      <c r="F40" t="s">
        <v>17</v>
      </c>
      <c r="G40" t="s">
        <v>18</v>
      </c>
      <c r="I40">
        <v>41.581284539999899</v>
      </c>
      <c r="J40">
        <v>-81.202132849999899</v>
      </c>
      <c r="K40" t="s">
        <v>700</v>
      </c>
      <c r="L40" t="s">
        <v>701</v>
      </c>
      <c r="M40" t="s">
        <v>675</v>
      </c>
      <c r="N40" t="s">
        <v>702</v>
      </c>
      <c r="O40">
        <v>2659</v>
      </c>
      <c r="P40" t="s">
        <v>20</v>
      </c>
      <c r="Q40" t="s">
        <v>676</v>
      </c>
      <c r="R40" t="s">
        <v>37</v>
      </c>
      <c r="S40" s="9">
        <v>82937.03</v>
      </c>
      <c r="T40" s="9">
        <v>102360.37</v>
      </c>
      <c r="U40" s="9">
        <v>30699.82</v>
      </c>
      <c r="V40" s="9">
        <v>32185.13</v>
      </c>
      <c r="W40">
        <v>12446</v>
      </c>
      <c r="X40" s="6">
        <v>100</v>
      </c>
      <c r="Y40" s="6">
        <v>647</v>
      </c>
      <c r="Z40" s="6">
        <v>575</v>
      </c>
      <c r="AA40" s="6">
        <v>1222</v>
      </c>
      <c r="AB40" s="6">
        <v>4888.3999999999996</v>
      </c>
      <c r="AC40" s="6">
        <v>90111.32</v>
      </c>
      <c r="AD40" s="6">
        <v>14874.4</v>
      </c>
      <c r="AE40" s="6">
        <v>94999.72</v>
      </c>
      <c r="AF40" s="6">
        <v>0</v>
      </c>
      <c r="AG40" s="6">
        <v>94999.72</v>
      </c>
      <c r="AH40" s="10"/>
      <c r="AI40" t="s">
        <v>1030</v>
      </c>
      <c r="AJ40" s="11" t="str">
        <f t="shared" si="2"/>
        <v>LINK</v>
      </c>
    </row>
    <row r="41" spans="2:36" x14ac:dyDescent="0.25">
      <c r="C41" t="s">
        <v>348</v>
      </c>
      <c r="D41" t="s">
        <v>349</v>
      </c>
      <c r="E41" t="s">
        <v>16</v>
      </c>
      <c r="F41" t="s">
        <v>17</v>
      </c>
      <c r="G41" t="s">
        <v>18</v>
      </c>
      <c r="I41">
        <v>41.016249109999897</v>
      </c>
      <c r="J41">
        <v>-93.30642589</v>
      </c>
      <c r="K41" t="s">
        <v>350</v>
      </c>
      <c r="L41" t="s">
        <v>351</v>
      </c>
      <c r="M41" t="s">
        <v>328</v>
      </c>
      <c r="N41" t="s">
        <v>352</v>
      </c>
      <c r="O41">
        <v>2384</v>
      </c>
      <c r="P41" t="s">
        <v>20</v>
      </c>
      <c r="Q41" t="s">
        <v>329</v>
      </c>
      <c r="R41" t="s">
        <v>22</v>
      </c>
      <c r="S41" s="9">
        <v>25470.95</v>
      </c>
      <c r="T41" s="9">
        <v>34889.86</v>
      </c>
      <c r="U41" s="9">
        <v>3645.28</v>
      </c>
      <c r="V41" s="9">
        <v>12426.19</v>
      </c>
      <c r="W41">
        <v>7432</v>
      </c>
      <c r="X41" s="6">
        <v>32</v>
      </c>
      <c r="Y41" s="6">
        <v>515</v>
      </c>
      <c r="Z41" s="6">
        <v>602</v>
      </c>
      <c r="AA41" s="6">
        <v>1117</v>
      </c>
      <c r="AB41" s="6">
        <v>1515</v>
      </c>
      <c r="AC41" s="6">
        <v>4565.5</v>
      </c>
      <c r="AD41" s="6">
        <v>7252.3</v>
      </c>
      <c r="AE41" s="6">
        <v>6080.5</v>
      </c>
      <c r="AF41" s="6">
        <v>21</v>
      </c>
      <c r="AG41" s="6">
        <v>6101.5</v>
      </c>
      <c r="AH41" s="10"/>
      <c r="AI41" t="s">
        <v>1107</v>
      </c>
      <c r="AJ41" s="11" t="str">
        <f t="shared" si="2"/>
        <v>LINK</v>
      </c>
    </row>
    <row r="42" spans="2:36" x14ac:dyDescent="0.25">
      <c r="C42" t="s">
        <v>160</v>
      </c>
      <c r="D42" t="s">
        <v>161</v>
      </c>
      <c r="E42" t="s">
        <v>16</v>
      </c>
      <c r="F42" t="s">
        <v>17</v>
      </c>
      <c r="G42" t="s">
        <v>18</v>
      </c>
      <c r="I42">
        <v>34.768337510000002</v>
      </c>
      <c r="J42">
        <v>-84.76820927</v>
      </c>
      <c r="K42" t="s">
        <v>162</v>
      </c>
      <c r="L42" t="s">
        <v>163</v>
      </c>
      <c r="M42" t="s">
        <v>120</v>
      </c>
      <c r="N42" t="s">
        <v>164</v>
      </c>
      <c r="O42">
        <v>119</v>
      </c>
      <c r="P42" t="s">
        <v>20</v>
      </c>
      <c r="Q42" t="s">
        <v>121</v>
      </c>
      <c r="R42" t="s">
        <v>22</v>
      </c>
      <c r="S42" s="9">
        <v>22394.68</v>
      </c>
      <c r="T42" s="9">
        <v>98417.06</v>
      </c>
      <c r="U42" s="9">
        <v>5684.32</v>
      </c>
      <c r="V42" s="9">
        <v>31990.46</v>
      </c>
      <c r="W42">
        <v>6372</v>
      </c>
      <c r="X42" s="6">
        <v>40</v>
      </c>
      <c r="Y42" s="6">
        <v>472</v>
      </c>
      <c r="Z42" s="6">
        <v>410</v>
      </c>
      <c r="AA42" s="6">
        <v>882</v>
      </c>
      <c r="AB42" s="6">
        <v>16108.9</v>
      </c>
      <c r="AC42" s="6">
        <v>97744.11</v>
      </c>
      <c r="AD42" s="6">
        <v>13929.69</v>
      </c>
      <c r="AE42" s="6">
        <v>113853.01</v>
      </c>
      <c r="AF42" s="6">
        <v>0</v>
      </c>
      <c r="AG42" s="6">
        <v>113853.01</v>
      </c>
      <c r="AH42" s="10">
        <v>42881</v>
      </c>
      <c r="AI42" t="s">
        <v>1005</v>
      </c>
      <c r="AJ42" s="11" t="str">
        <f t="shared" si="2"/>
        <v>LINK</v>
      </c>
    </row>
    <row r="43" spans="2:36" x14ac:dyDescent="0.25">
      <c r="B43" s="5" t="s">
        <v>3405</v>
      </c>
      <c r="C43" t="s">
        <v>859</v>
      </c>
      <c r="E43" t="s">
        <v>16</v>
      </c>
      <c r="F43" t="s">
        <v>17</v>
      </c>
      <c r="G43" t="s">
        <v>18</v>
      </c>
      <c r="I43">
        <v>35.47096122</v>
      </c>
      <c r="J43">
        <v>-95.523630620000006</v>
      </c>
      <c r="K43" t="s">
        <v>861</v>
      </c>
      <c r="L43" t="s">
        <v>860</v>
      </c>
      <c r="M43" t="s">
        <v>838</v>
      </c>
      <c r="N43" t="s">
        <v>862</v>
      </c>
      <c r="O43">
        <v>302</v>
      </c>
      <c r="P43" t="s">
        <v>20</v>
      </c>
      <c r="Q43" t="s">
        <v>840</v>
      </c>
      <c r="R43" t="s">
        <v>22</v>
      </c>
      <c r="S43" s="9">
        <v>0</v>
      </c>
      <c r="T43" s="9">
        <v>0</v>
      </c>
      <c r="U43" s="9">
        <v>0</v>
      </c>
      <c r="V43" s="9">
        <v>0</v>
      </c>
      <c r="W43">
        <v>20000</v>
      </c>
      <c r="X43" s="6">
        <v>21</v>
      </c>
      <c r="Y43" s="6">
        <v>290</v>
      </c>
      <c r="Z43" s="6">
        <v>499</v>
      </c>
      <c r="AA43" s="6">
        <v>789</v>
      </c>
      <c r="AB43" s="6">
        <v>3684</v>
      </c>
      <c r="AC43" s="6">
        <v>3256.33</v>
      </c>
      <c r="AD43" s="6">
        <v>1292</v>
      </c>
      <c r="AE43" s="6">
        <v>6940.33</v>
      </c>
      <c r="AF43" s="6">
        <v>0</v>
      </c>
      <c r="AG43" s="6">
        <v>6940.33</v>
      </c>
      <c r="AH43" s="10">
        <v>42339</v>
      </c>
      <c r="AI43" t="s">
        <v>1168</v>
      </c>
      <c r="AJ43" s="11" t="s">
        <v>1168</v>
      </c>
    </row>
    <row r="44" spans="2:36" x14ac:dyDescent="0.25">
      <c r="B44" s="5" t="s">
        <v>3405</v>
      </c>
      <c r="C44" t="s">
        <v>660</v>
      </c>
      <c r="D44" t="s">
        <v>661</v>
      </c>
      <c r="E44" t="s">
        <v>16</v>
      </c>
      <c r="F44" t="s">
        <v>17</v>
      </c>
      <c r="G44" t="s">
        <v>18</v>
      </c>
      <c r="I44">
        <v>35.556922030000003</v>
      </c>
      <c r="J44">
        <v>-80.595882290000006</v>
      </c>
      <c r="K44" t="s">
        <v>662</v>
      </c>
      <c r="L44" t="s">
        <v>663</v>
      </c>
      <c r="M44" t="s">
        <v>651</v>
      </c>
      <c r="N44" t="s">
        <v>664</v>
      </c>
      <c r="O44">
        <v>2511</v>
      </c>
      <c r="P44" t="s">
        <v>20</v>
      </c>
      <c r="Q44" t="s">
        <v>659</v>
      </c>
      <c r="R44" t="s">
        <v>22</v>
      </c>
      <c r="S44" s="9">
        <v>16498.61</v>
      </c>
      <c r="T44" s="9">
        <v>24010.91</v>
      </c>
      <c r="U44" s="9">
        <v>17096.62</v>
      </c>
      <c r="V44" s="9">
        <v>7610.97</v>
      </c>
      <c r="W44">
        <v>12000</v>
      </c>
      <c r="X44" s="6">
        <v>38</v>
      </c>
      <c r="Y44" s="6">
        <v>184</v>
      </c>
      <c r="Z44" s="6">
        <v>1898</v>
      </c>
      <c r="AA44" s="6">
        <v>2082</v>
      </c>
      <c r="AB44" s="6">
        <v>6142</v>
      </c>
      <c r="AC44" s="6">
        <v>3830.7</v>
      </c>
      <c r="AD44" s="6">
        <v>85095.52</v>
      </c>
      <c r="AE44" s="6">
        <v>9972.7000000000007</v>
      </c>
      <c r="AF44" s="6">
        <v>0</v>
      </c>
      <c r="AG44" s="6">
        <v>9972.7000000000007</v>
      </c>
      <c r="AH44" s="10">
        <v>41883</v>
      </c>
      <c r="AI44" t="s">
        <v>1147</v>
      </c>
      <c r="AJ44" s="11" t="str">
        <f t="shared" ref="AJ44:AJ55" si="3">HYPERLINK(AI44,"LINK")</f>
        <v>LINK</v>
      </c>
    </row>
    <row r="45" spans="2:36" x14ac:dyDescent="0.25">
      <c r="C45" t="s">
        <v>353</v>
      </c>
      <c r="D45" t="s">
        <v>354</v>
      </c>
      <c r="E45" t="s">
        <v>16</v>
      </c>
      <c r="F45" t="s">
        <v>17</v>
      </c>
      <c r="G45" t="s">
        <v>18</v>
      </c>
      <c r="I45">
        <v>40.7405471699999</v>
      </c>
      <c r="J45">
        <v>-95.038731510000005</v>
      </c>
      <c r="K45" t="s">
        <v>355</v>
      </c>
      <c r="L45" t="s">
        <v>356</v>
      </c>
      <c r="M45" t="s">
        <v>328</v>
      </c>
      <c r="N45" t="s">
        <v>357</v>
      </c>
      <c r="O45">
        <v>2385</v>
      </c>
      <c r="P45" t="s">
        <v>20</v>
      </c>
      <c r="Q45" t="s">
        <v>329</v>
      </c>
      <c r="R45" t="s">
        <v>22</v>
      </c>
      <c r="S45" s="9">
        <v>28867.200000000001</v>
      </c>
      <c r="T45" s="9">
        <v>29670.45</v>
      </c>
      <c r="U45" s="9">
        <v>30897.21</v>
      </c>
      <c r="V45" s="9">
        <v>7907.12</v>
      </c>
      <c r="W45">
        <v>7280</v>
      </c>
      <c r="X45" s="6">
        <v>24</v>
      </c>
      <c r="Y45" s="6">
        <v>153</v>
      </c>
      <c r="Z45" s="6">
        <v>892</v>
      </c>
      <c r="AA45" s="6">
        <v>1045</v>
      </c>
      <c r="AB45" s="6">
        <v>992</v>
      </c>
      <c r="AC45" s="6">
        <v>1787.1</v>
      </c>
      <c r="AD45" s="6">
        <v>1058</v>
      </c>
      <c r="AE45" s="6">
        <v>2779.1</v>
      </c>
      <c r="AF45" s="6">
        <v>0</v>
      </c>
      <c r="AG45" s="6">
        <v>2779.1</v>
      </c>
      <c r="AH45" s="10"/>
      <c r="AI45" t="s">
        <v>1108</v>
      </c>
      <c r="AJ45" s="11" t="str">
        <f t="shared" si="3"/>
        <v>LINK</v>
      </c>
    </row>
    <row r="46" spans="2:36" x14ac:dyDescent="0.25">
      <c r="C46" t="s">
        <v>166</v>
      </c>
      <c r="D46" t="s">
        <v>167</v>
      </c>
      <c r="E46" t="s">
        <v>16</v>
      </c>
      <c r="F46" t="s">
        <v>17</v>
      </c>
      <c r="G46" t="s">
        <v>18</v>
      </c>
      <c r="I46">
        <v>34.614838370000001</v>
      </c>
      <c r="J46">
        <v>-83.524355810000003</v>
      </c>
      <c r="K46" t="s">
        <v>168</v>
      </c>
      <c r="L46" t="s">
        <v>165</v>
      </c>
      <c r="M46" t="s">
        <v>120</v>
      </c>
      <c r="N46" t="s">
        <v>169</v>
      </c>
      <c r="O46">
        <v>98</v>
      </c>
      <c r="P46" t="s">
        <v>20</v>
      </c>
      <c r="Q46" t="s">
        <v>127</v>
      </c>
      <c r="R46" t="s">
        <v>37</v>
      </c>
      <c r="S46" s="9">
        <v>6123.5</v>
      </c>
      <c r="T46" s="9">
        <v>42709.7</v>
      </c>
      <c r="U46" s="9">
        <v>14430.29</v>
      </c>
      <c r="V46" s="9">
        <v>13796.37</v>
      </c>
      <c r="W46">
        <v>7500</v>
      </c>
      <c r="X46" s="6">
        <v>25</v>
      </c>
      <c r="Y46" s="6">
        <v>670</v>
      </c>
      <c r="Z46" s="6">
        <v>320</v>
      </c>
      <c r="AA46" s="6">
        <v>990</v>
      </c>
      <c r="AB46" s="6">
        <v>4949</v>
      </c>
      <c r="AC46" s="6">
        <v>28775.84</v>
      </c>
      <c r="AD46" s="6">
        <v>13290.9</v>
      </c>
      <c r="AE46" s="6">
        <v>33724.839999999997</v>
      </c>
      <c r="AF46" s="6">
        <v>0</v>
      </c>
      <c r="AG46" s="6">
        <v>33724.839999999997</v>
      </c>
      <c r="AH46" s="10"/>
      <c r="AI46" t="s">
        <v>1079</v>
      </c>
      <c r="AJ46" s="11" t="str">
        <f t="shared" si="3"/>
        <v>LINK</v>
      </c>
    </row>
    <row r="47" spans="2:36" x14ac:dyDescent="0.25">
      <c r="B47" t="s">
        <v>3406</v>
      </c>
      <c r="C47" t="s">
        <v>170</v>
      </c>
      <c r="D47" t="s">
        <v>171</v>
      </c>
      <c r="E47" t="s">
        <v>16</v>
      </c>
      <c r="F47" t="s">
        <v>17</v>
      </c>
      <c r="G47" t="s">
        <v>18</v>
      </c>
      <c r="I47">
        <v>34.597026620000001</v>
      </c>
      <c r="J47">
        <v>-83.766127159999897</v>
      </c>
      <c r="K47" t="s">
        <v>172</v>
      </c>
      <c r="L47" t="s">
        <v>173</v>
      </c>
      <c r="M47" t="s">
        <v>120</v>
      </c>
      <c r="N47" t="s">
        <v>174</v>
      </c>
      <c r="O47">
        <v>200</v>
      </c>
      <c r="P47" t="s">
        <v>20</v>
      </c>
      <c r="Q47" t="s">
        <v>127</v>
      </c>
      <c r="R47" t="s">
        <v>37</v>
      </c>
      <c r="S47" s="9">
        <v>11195.13</v>
      </c>
      <c r="T47" s="9">
        <v>113494.35</v>
      </c>
      <c r="U47" s="9">
        <v>5552.62</v>
      </c>
      <c r="V47" s="9">
        <v>37854.629999999997</v>
      </c>
      <c r="W47">
        <v>3688</v>
      </c>
      <c r="X47" s="6">
        <v>124</v>
      </c>
      <c r="Y47" s="6">
        <v>1025</v>
      </c>
      <c r="Z47" s="6">
        <v>257</v>
      </c>
      <c r="AA47" s="6">
        <v>1282</v>
      </c>
      <c r="AB47" s="6">
        <v>10847.39</v>
      </c>
      <c r="AC47" s="6">
        <v>71876.55</v>
      </c>
      <c r="AD47" s="6">
        <v>64725.86</v>
      </c>
      <c r="AE47" s="6">
        <v>82723.94</v>
      </c>
      <c r="AF47" s="6">
        <v>0</v>
      </c>
      <c r="AG47" s="6">
        <v>82723.94</v>
      </c>
      <c r="AH47" s="10">
        <v>42881</v>
      </c>
      <c r="AI47" t="s">
        <v>1080</v>
      </c>
      <c r="AJ47" s="11" t="str">
        <f t="shared" si="3"/>
        <v>LINK</v>
      </c>
    </row>
    <row r="48" spans="2:36" x14ac:dyDescent="0.25">
      <c r="C48" t="s">
        <v>703</v>
      </c>
      <c r="D48" t="s">
        <v>704</v>
      </c>
      <c r="E48" t="s">
        <v>16</v>
      </c>
      <c r="F48" t="s">
        <v>17</v>
      </c>
      <c r="G48" t="s">
        <v>18</v>
      </c>
      <c r="I48">
        <v>41.312906239999897</v>
      </c>
      <c r="J48">
        <v>-81.916151029999895</v>
      </c>
      <c r="K48" t="s">
        <v>705</v>
      </c>
      <c r="L48" t="s">
        <v>706</v>
      </c>
      <c r="M48" t="s">
        <v>675</v>
      </c>
      <c r="N48" t="s">
        <v>707</v>
      </c>
      <c r="O48">
        <v>2663</v>
      </c>
      <c r="P48" t="s">
        <v>20</v>
      </c>
      <c r="Q48" t="s">
        <v>697</v>
      </c>
      <c r="R48" t="s">
        <v>37</v>
      </c>
      <c r="S48" s="9">
        <v>16867.98</v>
      </c>
      <c r="T48" s="9">
        <v>24384.76</v>
      </c>
      <c r="U48" s="9">
        <v>6592.55</v>
      </c>
      <c r="V48" s="9">
        <v>3271.94</v>
      </c>
      <c r="W48">
        <v>3917</v>
      </c>
      <c r="X48" s="6">
        <v>24</v>
      </c>
      <c r="Y48" s="6">
        <v>180</v>
      </c>
      <c r="Z48" s="6">
        <v>62</v>
      </c>
      <c r="AA48" s="6">
        <v>242</v>
      </c>
      <c r="AB48" s="6">
        <v>0</v>
      </c>
      <c r="AC48" s="6">
        <v>1052</v>
      </c>
      <c r="AD48" s="6">
        <v>565</v>
      </c>
      <c r="AE48" s="6">
        <v>1052</v>
      </c>
      <c r="AF48" s="6">
        <v>0</v>
      </c>
      <c r="AG48" s="6">
        <v>1052</v>
      </c>
      <c r="AH48" s="10"/>
      <c r="AI48" t="s">
        <v>1151</v>
      </c>
      <c r="AJ48" s="11" t="str">
        <f t="shared" si="3"/>
        <v>LINK</v>
      </c>
    </row>
    <row r="49" spans="2:36" x14ac:dyDescent="0.25">
      <c r="C49" t="s">
        <v>1642</v>
      </c>
      <c r="D49" t="s">
        <v>359</v>
      </c>
      <c r="E49" t="s">
        <v>16</v>
      </c>
      <c r="F49" t="s">
        <v>17</v>
      </c>
      <c r="G49" t="s">
        <v>18</v>
      </c>
      <c r="H49" t="s">
        <v>25</v>
      </c>
      <c r="I49">
        <v>41.281892910000003</v>
      </c>
      <c r="J49">
        <v>-91.381208650000005</v>
      </c>
      <c r="K49" t="s">
        <v>360</v>
      </c>
      <c r="L49" t="s">
        <v>358</v>
      </c>
      <c r="M49" t="s">
        <v>328</v>
      </c>
      <c r="N49" t="s">
        <v>361</v>
      </c>
      <c r="O49">
        <v>3055</v>
      </c>
      <c r="P49" t="s">
        <v>20</v>
      </c>
      <c r="Q49" t="s">
        <v>329</v>
      </c>
      <c r="R49" t="s">
        <v>22</v>
      </c>
      <c r="S49" s="9">
        <v>0</v>
      </c>
      <c r="T49" s="9">
        <v>0</v>
      </c>
      <c r="U49" s="9">
        <v>0</v>
      </c>
      <c r="V49" s="9">
        <v>0</v>
      </c>
      <c r="W49">
        <v>10084</v>
      </c>
      <c r="X49" s="6">
        <v>2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10"/>
      <c r="AJ49" s="11" t="str">
        <f t="shared" si="3"/>
        <v>LINK</v>
      </c>
    </row>
    <row r="50" spans="2:36" s="5" customFormat="1" x14ac:dyDescent="0.25">
      <c r="B50" t="s">
        <v>3406</v>
      </c>
      <c r="C50" s="5" t="s">
        <v>175</v>
      </c>
      <c r="D50" s="5" t="s">
        <v>176</v>
      </c>
      <c r="E50" s="5" t="s">
        <v>16</v>
      </c>
      <c r="F50" s="5" t="s">
        <v>17</v>
      </c>
      <c r="G50" s="5" t="s">
        <v>18</v>
      </c>
      <c r="I50" s="5">
        <v>34.203976419999897</v>
      </c>
      <c r="J50" s="5">
        <v>-83.459471219999898</v>
      </c>
      <c r="K50" s="5" t="s">
        <v>177</v>
      </c>
      <c r="L50" s="5" t="s">
        <v>178</v>
      </c>
      <c r="M50" s="5" t="s">
        <v>120</v>
      </c>
      <c r="N50" s="5" t="s">
        <v>179</v>
      </c>
      <c r="O50" s="5">
        <v>76</v>
      </c>
      <c r="P50" s="5" t="s">
        <v>20</v>
      </c>
      <c r="Q50" s="5" t="s">
        <v>144</v>
      </c>
      <c r="R50" s="5" t="s">
        <v>37</v>
      </c>
      <c r="S50" s="4">
        <v>52795.68</v>
      </c>
      <c r="T50" s="4">
        <v>300789.84999999998</v>
      </c>
      <c r="U50" s="4">
        <v>21756.39</v>
      </c>
      <c r="V50" s="4">
        <v>113603.09</v>
      </c>
      <c r="W50" s="5">
        <v>9417</v>
      </c>
      <c r="X50" s="3">
        <v>128</v>
      </c>
      <c r="Y50" s="3">
        <v>815</v>
      </c>
      <c r="Z50" s="3">
        <v>465</v>
      </c>
      <c r="AA50" s="3">
        <v>1280</v>
      </c>
      <c r="AB50" s="3">
        <v>192014.29</v>
      </c>
      <c r="AC50" s="3">
        <v>208054.34</v>
      </c>
      <c r="AD50" s="3">
        <v>263492.71000000002</v>
      </c>
      <c r="AE50" s="3">
        <v>400068.63</v>
      </c>
      <c r="AF50" s="3">
        <v>0</v>
      </c>
      <c r="AG50" s="3">
        <v>400068.63</v>
      </c>
      <c r="AH50" s="2">
        <v>42881</v>
      </c>
      <c r="AI50" s="5" t="s">
        <v>1081</v>
      </c>
      <c r="AJ50" s="1" t="str">
        <f t="shared" si="3"/>
        <v>LINK</v>
      </c>
    </row>
    <row r="51" spans="2:36" x14ac:dyDescent="0.25">
      <c r="C51" t="s">
        <v>917</v>
      </c>
      <c r="D51" t="s">
        <v>918</v>
      </c>
      <c r="E51" t="s">
        <v>16</v>
      </c>
      <c r="F51" t="s">
        <v>17</v>
      </c>
      <c r="G51" t="s">
        <v>18</v>
      </c>
      <c r="I51">
        <v>31.754039280000001</v>
      </c>
      <c r="J51">
        <v>-96.649333920000004</v>
      </c>
      <c r="K51" t="s">
        <v>919</v>
      </c>
      <c r="L51" t="s">
        <v>180</v>
      </c>
      <c r="M51" t="s">
        <v>905</v>
      </c>
      <c r="N51" t="s">
        <v>920</v>
      </c>
      <c r="P51" t="s">
        <v>38</v>
      </c>
      <c r="Q51" t="s">
        <v>921</v>
      </c>
      <c r="R51" t="s">
        <v>22</v>
      </c>
      <c r="S51" s="9">
        <v>11034.73</v>
      </c>
      <c r="T51" s="9">
        <v>12351.94</v>
      </c>
      <c r="U51" s="9">
        <v>1912.62</v>
      </c>
      <c r="V51" s="9">
        <v>1619.34</v>
      </c>
      <c r="W51">
        <v>4000</v>
      </c>
      <c r="X51" s="6">
        <v>23</v>
      </c>
      <c r="Y51" s="6">
        <v>273</v>
      </c>
      <c r="Z51" s="6">
        <v>0</v>
      </c>
      <c r="AA51" s="6">
        <v>273</v>
      </c>
      <c r="AB51" s="6">
        <v>2735</v>
      </c>
      <c r="AC51" s="6">
        <v>349</v>
      </c>
      <c r="AD51" s="6">
        <v>0</v>
      </c>
      <c r="AE51" s="6">
        <v>3084</v>
      </c>
      <c r="AF51" s="6">
        <v>0</v>
      </c>
      <c r="AG51" s="6">
        <v>3084</v>
      </c>
      <c r="AH51" s="10">
        <v>24737</v>
      </c>
      <c r="AI51" t="s">
        <v>1049</v>
      </c>
      <c r="AJ51" s="11" t="str">
        <f t="shared" si="3"/>
        <v>LINK</v>
      </c>
    </row>
    <row r="52" spans="2:36" x14ac:dyDescent="0.25">
      <c r="C52" t="s">
        <v>181</v>
      </c>
      <c r="D52" t="s">
        <v>182</v>
      </c>
      <c r="E52" t="s">
        <v>16</v>
      </c>
      <c r="F52" t="s">
        <v>17</v>
      </c>
      <c r="G52" t="s">
        <v>18</v>
      </c>
      <c r="I52">
        <v>34.514516209999897</v>
      </c>
      <c r="J52">
        <v>-83.528180030000001</v>
      </c>
      <c r="K52" t="s">
        <v>183</v>
      </c>
      <c r="L52" t="s">
        <v>184</v>
      </c>
      <c r="M52" t="s">
        <v>120</v>
      </c>
      <c r="N52" t="s">
        <v>185</v>
      </c>
      <c r="O52">
        <v>75</v>
      </c>
      <c r="P52" t="s">
        <v>20</v>
      </c>
      <c r="Q52" t="s">
        <v>127</v>
      </c>
      <c r="R52" t="s">
        <v>22</v>
      </c>
      <c r="S52" s="9">
        <v>22792.16</v>
      </c>
      <c r="T52" s="9">
        <v>88725.02</v>
      </c>
      <c r="U52" s="9">
        <v>8023.29</v>
      </c>
      <c r="V52" s="9">
        <v>29253.71</v>
      </c>
      <c r="W52">
        <v>9500</v>
      </c>
      <c r="X52" s="6">
        <v>77</v>
      </c>
      <c r="Y52" s="6">
        <v>1206</v>
      </c>
      <c r="Z52" s="6">
        <v>301</v>
      </c>
      <c r="AA52" s="6">
        <v>1507</v>
      </c>
      <c r="AB52" s="6">
        <v>15657.55</v>
      </c>
      <c r="AC52" s="6">
        <v>15819.38</v>
      </c>
      <c r="AD52" s="6">
        <v>84047.25</v>
      </c>
      <c r="AE52" s="6">
        <v>31476.93</v>
      </c>
      <c r="AF52" s="6">
        <v>0</v>
      </c>
      <c r="AG52" s="6">
        <v>31476.93</v>
      </c>
      <c r="AH52" s="10">
        <v>35916</v>
      </c>
      <c r="AI52" t="s">
        <v>1006</v>
      </c>
      <c r="AJ52" s="11" t="str">
        <f t="shared" si="3"/>
        <v>LINK</v>
      </c>
    </row>
    <row r="53" spans="2:36" x14ac:dyDescent="0.25">
      <c r="C53" t="s">
        <v>863</v>
      </c>
      <c r="D53" t="s">
        <v>864</v>
      </c>
      <c r="E53" t="s">
        <v>16</v>
      </c>
      <c r="F53" t="s">
        <v>17</v>
      </c>
      <c r="G53" t="s">
        <v>18</v>
      </c>
      <c r="I53">
        <v>35.950758270000001</v>
      </c>
      <c r="J53">
        <v>-95.651615809999896</v>
      </c>
      <c r="K53" t="s">
        <v>865</v>
      </c>
      <c r="L53" t="s">
        <v>866</v>
      </c>
      <c r="M53" t="s">
        <v>838</v>
      </c>
      <c r="N53" t="s">
        <v>867</v>
      </c>
      <c r="O53">
        <v>173</v>
      </c>
      <c r="P53" t="s">
        <v>20</v>
      </c>
      <c r="Q53" t="s">
        <v>840</v>
      </c>
      <c r="R53" t="s">
        <v>22</v>
      </c>
      <c r="S53" s="9">
        <v>42239.99</v>
      </c>
      <c r="T53" s="9">
        <v>54657.32</v>
      </c>
      <c r="U53" s="9">
        <v>5546.74</v>
      </c>
      <c r="V53" s="9">
        <v>11389.13</v>
      </c>
      <c r="W53">
        <v>4400</v>
      </c>
      <c r="X53" s="6">
        <v>49</v>
      </c>
      <c r="Y53" s="6">
        <v>314</v>
      </c>
      <c r="Z53" s="6">
        <v>913</v>
      </c>
      <c r="AA53" s="6">
        <v>1227</v>
      </c>
      <c r="AB53" s="6">
        <v>17760.5</v>
      </c>
      <c r="AC53" s="6">
        <v>5292.56</v>
      </c>
      <c r="AD53" s="6">
        <v>38154.730000000003</v>
      </c>
      <c r="AE53" s="6">
        <v>23053.06</v>
      </c>
      <c r="AF53" s="6">
        <v>0</v>
      </c>
      <c r="AG53" s="6">
        <v>23053.06</v>
      </c>
      <c r="AH53" s="10">
        <v>42339</v>
      </c>
      <c r="AI53" t="s">
        <v>1170</v>
      </c>
      <c r="AJ53" s="11" t="str">
        <f t="shared" si="3"/>
        <v>LINK</v>
      </c>
    </row>
    <row r="54" spans="2:36" x14ac:dyDescent="0.25">
      <c r="C54" t="s">
        <v>362</v>
      </c>
      <c r="D54" t="s">
        <v>363</v>
      </c>
      <c r="E54" t="s">
        <v>16</v>
      </c>
      <c r="F54" t="s">
        <v>17</v>
      </c>
      <c r="G54" t="s">
        <v>18</v>
      </c>
      <c r="I54">
        <v>43.373960740000001</v>
      </c>
      <c r="J54">
        <v>-92.1173488499999</v>
      </c>
      <c r="K54" t="s">
        <v>364</v>
      </c>
      <c r="L54" t="s">
        <v>365</v>
      </c>
      <c r="M54" t="s">
        <v>328</v>
      </c>
      <c r="N54" t="s">
        <v>366</v>
      </c>
      <c r="O54">
        <v>222</v>
      </c>
      <c r="P54" t="s">
        <v>20</v>
      </c>
      <c r="Q54" t="s">
        <v>329</v>
      </c>
      <c r="R54" t="s">
        <v>22</v>
      </c>
      <c r="S54" s="9">
        <v>27837.07</v>
      </c>
      <c r="T54" s="9">
        <v>25985.54</v>
      </c>
      <c r="U54" s="9">
        <v>5301.2</v>
      </c>
      <c r="V54" s="9">
        <v>8665.6200000000008</v>
      </c>
      <c r="W54">
        <v>3304</v>
      </c>
      <c r="X54" s="6">
        <v>20</v>
      </c>
      <c r="Y54" s="6">
        <v>380</v>
      </c>
      <c r="Z54" s="6">
        <v>724</v>
      </c>
      <c r="AA54" s="6">
        <v>1104</v>
      </c>
      <c r="AB54" s="6">
        <v>1840</v>
      </c>
      <c r="AC54" s="6">
        <v>2996</v>
      </c>
      <c r="AD54" s="6">
        <v>1712</v>
      </c>
      <c r="AE54" s="6">
        <v>4836</v>
      </c>
      <c r="AF54" s="6">
        <v>21</v>
      </c>
      <c r="AG54" s="6">
        <v>4857</v>
      </c>
      <c r="AH54" s="10"/>
      <c r="AI54" t="s">
        <v>1109</v>
      </c>
      <c r="AJ54" s="11" t="str">
        <f t="shared" si="3"/>
        <v>LINK</v>
      </c>
    </row>
    <row r="55" spans="2:36" x14ac:dyDescent="0.25">
      <c r="C55" t="s">
        <v>367</v>
      </c>
      <c r="D55" t="s">
        <v>368</v>
      </c>
      <c r="E55" t="s">
        <v>16</v>
      </c>
      <c r="F55" t="s">
        <v>17</v>
      </c>
      <c r="G55" t="s">
        <v>18</v>
      </c>
      <c r="I55">
        <v>41.058173009999898</v>
      </c>
      <c r="J55">
        <v>-94.363594460000002</v>
      </c>
      <c r="K55" t="s">
        <v>369</v>
      </c>
      <c r="L55" t="s">
        <v>370</v>
      </c>
      <c r="M55" t="s">
        <v>328</v>
      </c>
      <c r="N55" t="s">
        <v>371</v>
      </c>
      <c r="O55">
        <v>1415</v>
      </c>
      <c r="P55" t="s">
        <v>20</v>
      </c>
      <c r="Q55" t="s">
        <v>329</v>
      </c>
      <c r="R55" t="s">
        <v>22</v>
      </c>
      <c r="S55" s="9">
        <v>19463.509999999998</v>
      </c>
      <c r="T55" s="9">
        <v>37985.32</v>
      </c>
      <c r="U55" s="9">
        <v>4671.01</v>
      </c>
      <c r="V55" s="9">
        <v>13916.33</v>
      </c>
      <c r="W55">
        <v>7789</v>
      </c>
      <c r="X55" s="6">
        <v>24</v>
      </c>
      <c r="Y55" s="6">
        <v>977</v>
      </c>
      <c r="Z55" s="6">
        <v>671</v>
      </c>
      <c r="AA55" s="6">
        <v>1648</v>
      </c>
      <c r="AB55" s="6">
        <v>6983.8</v>
      </c>
      <c r="AC55" s="6">
        <v>4364.8</v>
      </c>
      <c r="AD55" s="6">
        <v>7552.5</v>
      </c>
      <c r="AE55" s="6">
        <v>11348.6</v>
      </c>
      <c r="AF55" s="6">
        <v>0</v>
      </c>
      <c r="AG55" s="6">
        <v>11348.6</v>
      </c>
      <c r="AH55" s="10"/>
      <c r="AI55" t="s">
        <v>1110</v>
      </c>
      <c r="AJ55" s="11" t="str">
        <f t="shared" si="3"/>
        <v>LINK</v>
      </c>
    </row>
    <row r="56" spans="2:36" x14ac:dyDescent="0.25">
      <c r="C56" t="s">
        <v>39</v>
      </c>
      <c r="D56" t="s">
        <v>40</v>
      </c>
      <c r="E56" t="s">
        <v>16</v>
      </c>
      <c r="F56" t="s">
        <v>17</v>
      </c>
      <c r="G56" t="s">
        <v>18</v>
      </c>
      <c r="H56" t="s">
        <v>25</v>
      </c>
      <c r="I56">
        <v>33.128257429999898</v>
      </c>
      <c r="J56">
        <v>-91.96229117</v>
      </c>
      <c r="K56" t="s">
        <v>41</v>
      </c>
      <c r="L56" t="s">
        <v>42</v>
      </c>
      <c r="M56" t="s">
        <v>35</v>
      </c>
      <c r="N56" t="s">
        <v>43</v>
      </c>
      <c r="O56">
        <v>148</v>
      </c>
      <c r="P56" t="s">
        <v>20</v>
      </c>
      <c r="Q56" t="s">
        <v>36</v>
      </c>
      <c r="R56" t="s">
        <v>37</v>
      </c>
      <c r="S56" s="9">
        <v>63821.07</v>
      </c>
      <c r="T56" s="9">
        <v>71406.75</v>
      </c>
      <c r="U56" s="9">
        <v>23866.51</v>
      </c>
      <c r="V56" s="9">
        <v>18436.669999999998</v>
      </c>
      <c r="W56">
        <v>5145</v>
      </c>
      <c r="X56" s="6">
        <v>36</v>
      </c>
      <c r="Y56" s="6">
        <v>549</v>
      </c>
      <c r="Z56" s="6">
        <v>1522</v>
      </c>
      <c r="AA56" s="6">
        <v>2071</v>
      </c>
      <c r="AB56" s="6">
        <v>6422</v>
      </c>
      <c r="AC56" s="6">
        <v>18140.5</v>
      </c>
      <c r="AD56" s="6">
        <v>3064.27</v>
      </c>
      <c r="AE56" s="6">
        <v>24562.5</v>
      </c>
      <c r="AF56" s="6">
        <v>0</v>
      </c>
      <c r="AG56" s="6">
        <v>24562.5</v>
      </c>
      <c r="AH56" s="10">
        <v>42984</v>
      </c>
      <c r="AI56" t="s">
        <v>1059</v>
      </c>
      <c r="AJ56" s="11" t="s">
        <v>1059</v>
      </c>
    </row>
    <row r="57" spans="2:36" x14ac:dyDescent="0.25">
      <c r="C57" t="s">
        <v>561</v>
      </c>
      <c r="D57" t="s">
        <v>562</v>
      </c>
      <c r="E57" t="s">
        <v>16</v>
      </c>
      <c r="F57" t="s">
        <v>17</v>
      </c>
      <c r="G57" t="s">
        <v>18</v>
      </c>
      <c r="I57">
        <v>36.977209029999898</v>
      </c>
      <c r="J57">
        <v>-82.990184020000001</v>
      </c>
      <c r="K57" t="s">
        <v>563</v>
      </c>
      <c r="L57" t="s">
        <v>564</v>
      </c>
      <c r="M57" t="s">
        <v>517</v>
      </c>
      <c r="N57" t="s">
        <v>565</v>
      </c>
      <c r="O57">
        <v>165</v>
      </c>
      <c r="P57" t="s">
        <v>20</v>
      </c>
      <c r="Q57" t="s">
        <v>519</v>
      </c>
      <c r="R57" t="s">
        <v>37</v>
      </c>
      <c r="S57" s="9">
        <v>20142.36</v>
      </c>
      <c r="T57" s="9">
        <v>46211.57</v>
      </c>
      <c r="U57" s="9">
        <v>1924.17</v>
      </c>
      <c r="V57" s="9">
        <v>20457.14</v>
      </c>
      <c r="W57">
        <v>4580</v>
      </c>
      <c r="X57" s="6">
        <v>26</v>
      </c>
      <c r="Y57" s="6">
        <v>180</v>
      </c>
      <c r="Z57" s="6">
        <v>498</v>
      </c>
      <c r="AA57" s="6">
        <v>678</v>
      </c>
      <c r="AB57" s="6">
        <v>1795</v>
      </c>
      <c r="AC57" s="6">
        <v>3146.4</v>
      </c>
      <c r="AD57" s="6">
        <v>1195</v>
      </c>
      <c r="AE57" s="6">
        <v>4941.3999999999996</v>
      </c>
      <c r="AF57" s="6">
        <v>0</v>
      </c>
      <c r="AG57" s="6">
        <v>4941.3999999999996</v>
      </c>
      <c r="AH57" s="10"/>
      <c r="AI57" t="s">
        <v>1130</v>
      </c>
      <c r="AJ57" s="11" t="str">
        <f>HYPERLINK(AI57,"LINK")</f>
        <v>LINK</v>
      </c>
    </row>
    <row r="58" spans="2:36" x14ac:dyDescent="0.25">
      <c r="C58" t="s">
        <v>186</v>
      </c>
      <c r="D58" t="s">
        <v>187</v>
      </c>
      <c r="E58" t="s">
        <v>16</v>
      </c>
      <c r="F58" t="s">
        <v>17</v>
      </c>
      <c r="G58" t="s">
        <v>18</v>
      </c>
      <c r="I58">
        <v>34.535423780000002</v>
      </c>
      <c r="J58">
        <v>-83.98251372</v>
      </c>
      <c r="K58" t="s">
        <v>188</v>
      </c>
      <c r="L58" t="s">
        <v>189</v>
      </c>
      <c r="M58" t="s">
        <v>120</v>
      </c>
      <c r="N58" t="s">
        <v>190</v>
      </c>
      <c r="O58">
        <v>150</v>
      </c>
      <c r="P58" t="s">
        <v>20</v>
      </c>
      <c r="Q58" t="s">
        <v>127</v>
      </c>
      <c r="R58" t="s">
        <v>37</v>
      </c>
      <c r="S58" s="9">
        <v>7774.44</v>
      </c>
      <c r="T58" s="9">
        <v>64659.55</v>
      </c>
      <c r="U58" s="9">
        <v>1685</v>
      </c>
      <c r="V58" s="9">
        <v>21018.76</v>
      </c>
      <c r="W58">
        <v>5000</v>
      </c>
      <c r="X58" s="6">
        <v>50</v>
      </c>
      <c r="Y58" s="6">
        <v>821</v>
      </c>
      <c r="Z58" s="6">
        <v>464</v>
      </c>
      <c r="AA58" s="6">
        <v>1285</v>
      </c>
      <c r="AB58" s="6">
        <v>17216.560000000001</v>
      </c>
      <c r="AC58" s="6">
        <v>35049.370000000003</v>
      </c>
      <c r="AD58" s="6">
        <v>68037.89</v>
      </c>
      <c r="AE58" s="6">
        <v>52265.93</v>
      </c>
      <c r="AF58" s="6">
        <v>0</v>
      </c>
      <c r="AG58" s="6">
        <v>52265.93</v>
      </c>
      <c r="AH58" s="10">
        <v>42881</v>
      </c>
      <c r="AI58" t="s">
        <v>1082</v>
      </c>
      <c r="AJ58" s="11" t="str">
        <f>HYPERLINK(AI58,"LINK")</f>
        <v>LINK</v>
      </c>
    </row>
    <row r="59" spans="2:36" x14ac:dyDescent="0.25">
      <c r="C59" t="s">
        <v>44</v>
      </c>
      <c r="D59" t="s">
        <v>45</v>
      </c>
      <c r="E59" t="s">
        <v>46</v>
      </c>
      <c r="F59" t="s">
        <v>17</v>
      </c>
      <c r="G59" t="s">
        <v>18</v>
      </c>
      <c r="I59">
        <v>34.038112460000001</v>
      </c>
      <c r="J59">
        <v>-92.887379060000001</v>
      </c>
      <c r="K59" t="s">
        <v>47</v>
      </c>
      <c r="L59" t="s">
        <v>48</v>
      </c>
      <c r="M59" t="s">
        <v>35</v>
      </c>
      <c r="N59" t="s">
        <v>49</v>
      </c>
      <c r="P59" t="s">
        <v>38</v>
      </c>
      <c r="Q59" t="s">
        <v>36</v>
      </c>
      <c r="R59" t="s">
        <v>37</v>
      </c>
      <c r="S59" s="9">
        <v>5313.36</v>
      </c>
      <c r="T59" s="9">
        <v>8042.21</v>
      </c>
      <c r="U59" s="9">
        <v>192.56</v>
      </c>
      <c r="V59" s="9">
        <v>3098.14</v>
      </c>
      <c r="W59">
        <v>14355</v>
      </c>
      <c r="X59" s="6">
        <v>6</v>
      </c>
      <c r="Y59" s="6">
        <v>17</v>
      </c>
      <c r="Z59" s="6">
        <v>0</v>
      </c>
      <c r="AA59" s="6">
        <v>17</v>
      </c>
      <c r="AB59" s="6">
        <v>0</v>
      </c>
      <c r="AC59" s="6">
        <v>2497</v>
      </c>
      <c r="AD59" s="6">
        <v>43985.71</v>
      </c>
      <c r="AE59" s="6">
        <v>2497</v>
      </c>
      <c r="AF59" s="6">
        <v>0</v>
      </c>
      <c r="AG59" s="6">
        <v>2497</v>
      </c>
      <c r="AH59" s="10"/>
      <c r="AI59" t="s">
        <v>1060</v>
      </c>
      <c r="AJ59" s="11" t="s">
        <v>1060</v>
      </c>
    </row>
    <row r="60" spans="2:36" x14ac:dyDescent="0.25">
      <c r="C60" t="s">
        <v>922</v>
      </c>
      <c r="D60" t="s">
        <v>923</v>
      </c>
      <c r="E60" t="s">
        <v>16</v>
      </c>
      <c r="F60" t="s">
        <v>17</v>
      </c>
      <c r="G60" t="s">
        <v>18</v>
      </c>
      <c r="I60">
        <v>36.060145509999899</v>
      </c>
      <c r="J60">
        <v>-102.52150330000001</v>
      </c>
      <c r="K60" t="s">
        <v>924</v>
      </c>
      <c r="L60" t="s">
        <v>925</v>
      </c>
      <c r="M60" t="s">
        <v>905</v>
      </c>
      <c r="N60" t="s">
        <v>926</v>
      </c>
      <c r="O60">
        <v>4041</v>
      </c>
      <c r="P60" t="s">
        <v>20</v>
      </c>
      <c r="Q60" t="s">
        <v>840</v>
      </c>
      <c r="R60" t="s">
        <v>22</v>
      </c>
      <c r="S60" s="9">
        <v>20086.32</v>
      </c>
      <c r="T60" s="9">
        <v>9221.18</v>
      </c>
      <c r="U60" s="9">
        <v>6594.23</v>
      </c>
      <c r="V60" s="9">
        <v>2997.52</v>
      </c>
      <c r="W60">
        <v>9500</v>
      </c>
      <c r="X60" s="6">
        <v>20</v>
      </c>
      <c r="Y60" s="6">
        <v>189</v>
      </c>
      <c r="Z60" s="6">
        <v>491</v>
      </c>
      <c r="AA60" s="6">
        <v>680</v>
      </c>
      <c r="AB60" s="6">
        <v>5993</v>
      </c>
      <c r="AC60" s="6">
        <v>18864.78</v>
      </c>
      <c r="AD60" s="6">
        <v>5843.9</v>
      </c>
      <c r="AE60" s="6">
        <v>24857.78</v>
      </c>
      <c r="AF60" s="6">
        <v>0</v>
      </c>
      <c r="AG60" s="6">
        <v>24857.78</v>
      </c>
      <c r="AH60" s="10"/>
      <c r="AI60" t="s">
        <v>1175</v>
      </c>
      <c r="AJ60" s="11" t="str">
        <f t="shared" ref="AJ60:AJ91" si="4">HYPERLINK(AI60,"LINK")</f>
        <v>LINK</v>
      </c>
    </row>
    <row r="61" spans="2:36" x14ac:dyDescent="0.25">
      <c r="C61" t="s">
        <v>191</v>
      </c>
      <c r="D61" t="s">
        <v>192</v>
      </c>
      <c r="E61" t="s">
        <v>16</v>
      </c>
      <c r="F61" t="s">
        <v>17</v>
      </c>
      <c r="G61" t="s">
        <v>18</v>
      </c>
      <c r="I61">
        <v>34.675054719999899</v>
      </c>
      <c r="J61">
        <v>-84.966387839999896</v>
      </c>
      <c r="K61" t="s">
        <v>193</v>
      </c>
      <c r="L61" t="s">
        <v>194</v>
      </c>
      <c r="M61" t="s">
        <v>120</v>
      </c>
      <c r="N61" t="s">
        <v>195</v>
      </c>
      <c r="O61">
        <v>93</v>
      </c>
      <c r="P61" t="s">
        <v>20</v>
      </c>
      <c r="Q61" t="s">
        <v>121</v>
      </c>
      <c r="R61" t="s">
        <v>22</v>
      </c>
      <c r="S61" s="9">
        <v>46209.73</v>
      </c>
      <c r="T61" s="9">
        <v>711.41</v>
      </c>
      <c r="U61" s="9">
        <v>19703.580000000002</v>
      </c>
      <c r="V61" s="9">
        <v>273.45999999999998</v>
      </c>
      <c r="W61">
        <v>7717</v>
      </c>
      <c r="X61" s="6">
        <v>18</v>
      </c>
      <c r="Y61" s="6">
        <v>84</v>
      </c>
      <c r="Z61" s="6">
        <v>35</v>
      </c>
      <c r="AA61" s="6">
        <v>119</v>
      </c>
      <c r="AB61" s="6">
        <v>3824.1</v>
      </c>
      <c r="AC61" s="6">
        <v>4380.3</v>
      </c>
      <c r="AD61" s="6">
        <v>11658.8</v>
      </c>
      <c r="AE61" s="6">
        <v>8204.4</v>
      </c>
      <c r="AF61" s="6">
        <v>0</v>
      </c>
      <c r="AG61" s="6">
        <v>8204.4</v>
      </c>
      <c r="AH61" s="10"/>
      <c r="AI61" t="s">
        <v>1083</v>
      </c>
      <c r="AJ61" s="11" t="str">
        <f t="shared" si="4"/>
        <v>LINK</v>
      </c>
    </row>
    <row r="62" spans="2:36" x14ac:dyDescent="0.25">
      <c r="C62" t="s">
        <v>196</v>
      </c>
      <c r="D62" t="s">
        <v>197</v>
      </c>
      <c r="E62" t="s">
        <v>16</v>
      </c>
      <c r="F62" t="s">
        <v>17</v>
      </c>
      <c r="G62" t="s">
        <v>18</v>
      </c>
      <c r="I62">
        <v>31.7742450299999</v>
      </c>
      <c r="J62">
        <v>-84.445643529999899</v>
      </c>
      <c r="K62" t="s">
        <v>198</v>
      </c>
      <c r="L62" t="s">
        <v>199</v>
      </c>
      <c r="M62" t="s">
        <v>120</v>
      </c>
      <c r="N62" t="s">
        <v>200</v>
      </c>
      <c r="O62">
        <v>163</v>
      </c>
      <c r="P62" t="s">
        <v>20</v>
      </c>
      <c r="Q62" t="s">
        <v>121</v>
      </c>
      <c r="R62" t="s">
        <v>37</v>
      </c>
      <c r="S62" s="9">
        <v>23180.99</v>
      </c>
      <c r="T62" s="9">
        <v>48521.98</v>
      </c>
      <c r="U62" s="9">
        <v>18953.080000000002</v>
      </c>
      <c r="V62" s="9">
        <v>15730.05</v>
      </c>
      <c r="W62">
        <v>4648</v>
      </c>
      <c r="X62" s="6">
        <v>35</v>
      </c>
      <c r="Y62" s="6">
        <v>349</v>
      </c>
      <c r="Z62" s="6">
        <v>1161</v>
      </c>
      <c r="AA62" s="6">
        <v>1510</v>
      </c>
      <c r="AB62" s="6">
        <v>14106.17</v>
      </c>
      <c r="AC62" s="6">
        <v>14093.65</v>
      </c>
      <c r="AD62" s="6">
        <v>72221.16</v>
      </c>
      <c r="AE62" s="6">
        <v>28199.82</v>
      </c>
      <c r="AF62" s="6">
        <v>0</v>
      </c>
      <c r="AG62" s="6">
        <v>28199.82</v>
      </c>
      <c r="AH62" s="10">
        <v>42881</v>
      </c>
      <c r="AI62" t="s">
        <v>1084</v>
      </c>
      <c r="AJ62" s="11" t="str">
        <f t="shared" si="4"/>
        <v>LINK</v>
      </c>
    </row>
    <row r="63" spans="2:36" x14ac:dyDescent="0.25">
      <c r="C63" t="s">
        <v>708</v>
      </c>
      <c r="D63" t="s">
        <v>709</v>
      </c>
      <c r="E63" t="s">
        <v>16</v>
      </c>
      <c r="F63" t="s">
        <v>17</v>
      </c>
      <c r="G63" t="s">
        <v>18</v>
      </c>
      <c r="I63">
        <v>41.574908229999899</v>
      </c>
      <c r="J63">
        <v>-84.007658509999899</v>
      </c>
      <c r="K63" t="s">
        <v>710</v>
      </c>
      <c r="L63" t="s">
        <v>372</v>
      </c>
      <c r="M63" t="s">
        <v>675</v>
      </c>
      <c r="N63" t="s">
        <v>711</v>
      </c>
      <c r="O63">
        <v>2672</v>
      </c>
      <c r="P63" t="s">
        <v>20</v>
      </c>
      <c r="Q63" t="s">
        <v>697</v>
      </c>
      <c r="R63" t="s">
        <v>37</v>
      </c>
      <c r="S63" s="9">
        <v>16998.419999999998</v>
      </c>
      <c r="T63" s="9">
        <v>20218.09</v>
      </c>
      <c r="U63" s="9">
        <v>5196.68</v>
      </c>
      <c r="V63" s="9">
        <v>5570.33</v>
      </c>
      <c r="W63">
        <v>4400</v>
      </c>
      <c r="X63" s="6">
        <v>26</v>
      </c>
      <c r="Y63" s="6">
        <v>241</v>
      </c>
      <c r="Z63" s="6">
        <v>328</v>
      </c>
      <c r="AA63" s="6">
        <v>569</v>
      </c>
      <c r="AB63" s="6">
        <v>400</v>
      </c>
      <c r="AC63" s="6">
        <v>2717</v>
      </c>
      <c r="AD63" s="6">
        <v>1951</v>
      </c>
      <c r="AE63" s="6">
        <v>3117</v>
      </c>
      <c r="AF63" s="6">
        <v>0</v>
      </c>
      <c r="AG63" s="6">
        <v>3117</v>
      </c>
      <c r="AH63" s="10"/>
      <c r="AI63" t="s">
        <v>1152</v>
      </c>
      <c r="AJ63" s="11" t="str">
        <f t="shared" si="4"/>
        <v>LINK</v>
      </c>
    </row>
    <row r="64" spans="2:36" x14ac:dyDescent="0.25">
      <c r="C64" t="s">
        <v>927</v>
      </c>
      <c r="D64" t="s">
        <v>928</v>
      </c>
      <c r="E64" t="s">
        <v>16</v>
      </c>
      <c r="F64" t="s">
        <v>17</v>
      </c>
      <c r="G64" t="s">
        <v>18</v>
      </c>
      <c r="I64">
        <v>34.551706009999897</v>
      </c>
      <c r="J64">
        <v>-102.311284299999</v>
      </c>
      <c r="K64" t="s">
        <v>929</v>
      </c>
      <c r="L64" t="s">
        <v>930</v>
      </c>
      <c r="M64" t="s">
        <v>905</v>
      </c>
      <c r="N64" t="s">
        <v>931</v>
      </c>
      <c r="O64">
        <v>3644</v>
      </c>
      <c r="P64" t="s">
        <v>20</v>
      </c>
      <c r="Q64" t="s">
        <v>840</v>
      </c>
      <c r="R64" t="s">
        <v>22</v>
      </c>
      <c r="S64" s="9">
        <v>27720.37</v>
      </c>
      <c r="T64" s="9">
        <v>19548.580000000002</v>
      </c>
      <c r="U64" s="9">
        <v>1665.26</v>
      </c>
      <c r="V64" s="9">
        <v>6297.54</v>
      </c>
      <c r="W64">
        <v>5913</v>
      </c>
      <c r="X64" s="6">
        <v>28</v>
      </c>
      <c r="Y64" s="6">
        <v>343</v>
      </c>
      <c r="Z64" s="6">
        <v>505</v>
      </c>
      <c r="AA64" s="6">
        <v>848</v>
      </c>
      <c r="AB64" s="6">
        <v>5273</v>
      </c>
      <c r="AC64" s="6">
        <v>6313.84</v>
      </c>
      <c r="AD64" s="6">
        <v>999</v>
      </c>
      <c r="AE64" s="6">
        <v>11586.84</v>
      </c>
      <c r="AF64" s="6">
        <v>0</v>
      </c>
      <c r="AG64" s="6">
        <v>11586.84</v>
      </c>
      <c r="AH64" s="10">
        <v>42881</v>
      </c>
      <c r="AI64" t="s">
        <v>1176</v>
      </c>
      <c r="AJ64" s="11" t="str">
        <f t="shared" si="4"/>
        <v>LINK</v>
      </c>
    </row>
    <row r="65" spans="2:36" x14ac:dyDescent="0.25">
      <c r="C65" t="s">
        <v>201</v>
      </c>
      <c r="D65" t="s">
        <v>202</v>
      </c>
      <c r="E65" t="s">
        <v>16</v>
      </c>
      <c r="F65" t="s">
        <v>17</v>
      </c>
      <c r="G65" t="s">
        <v>18</v>
      </c>
      <c r="I65">
        <v>31.0413469699999</v>
      </c>
      <c r="J65">
        <v>-84.884543500000007</v>
      </c>
      <c r="K65" t="s">
        <v>203</v>
      </c>
      <c r="L65" t="s">
        <v>204</v>
      </c>
      <c r="M65" t="s">
        <v>120</v>
      </c>
      <c r="N65" t="s">
        <v>205</v>
      </c>
      <c r="O65">
        <v>259</v>
      </c>
      <c r="P65" t="s">
        <v>20</v>
      </c>
      <c r="Q65" t="s">
        <v>50</v>
      </c>
      <c r="R65" t="s">
        <v>22</v>
      </c>
      <c r="S65" s="9">
        <v>7039.77</v>
      </c>
      <c r="T65" s="9">
        <v>32831.040000000001</v>
      </c>
      <c r="U65" s="9">
        <v>2707.85</v>
      </c>
      <c r="V65" s="9">
        <v>10936.67</v>
      </c>
      <c r="W65">
        <v>2874</v>
      </c>
      <c r="X65" s="6">
        <v>30</v>
      </c>
      <c r="Y65" s="6">
        <v>369</v>
      </c>
      <c r="Z65" s="6">
        <v>597</v>
      </c>
      <c r="AA65" s="6">
        <v>966</v>
      </c>
      <c r="AB65" s="6">
        <v>10750.42</v>
      </c>
      <c r="AC65" s="6">
        <v>11450.28</v>
      </c>
      <c r="AD65" s="6">
        <v>26957.53</v>
      </c>
      <c r="AE65" s="6">
        <v>22200.7</v>
      </c>
      <c r="AF65" s="6">
        <v>0</v>
      </c>
      <c r="AG65" s="6">
        <v>22200.7</v>
      </c>
      <c r="AH65" s="10"/>
      <c r="AI65" t="s">
        <v>1085</v>
      </c>
      <c r="AJ65" s="11" t="str">
        <f t="shared" si="4"/>
        <v>LINK</v>
      </c>
    </row>
    <row r="66" spans="2:36" x14ac:dyDescent="0.25">
      <c r="C66" t="s">
        <v>373</v>
      </c>
      <c r="D66" t="s">
        <v>374</v>
      </c>
      <c r="E66" t="s">
        <v>16</v>
      </c>
      <c r="F66" t="s">
        <v>17</v>
      </c>
      <c r="G66" t="s">
        <v>18</v>
      </c>
      <c r="I66">
        <v>40.642822199999898</v>
      </c>
      <c r="J66">
        <v>-91.565324930000003</v>
      </c>
      <c r="K66" t="s">
        <v>375</v>
      </c>
      <c r="L66" t="s">
        <v>376</v>
      </c>
      <c r="M66" t="s">
        <v>328</v>
      </c>
      <c r="N66" t="s">
        <v>377</v>
      </c>
      <c r="O66">
        <v>139</v>
      </c>
      <c r="P66" t="s">
        <v>20</v>
      </c>
      <c r="Q66" t="s">
        <v>329</v>
      </c>
      <c r="R66" t="s">
        <v>22</v>
      </c>
      <c r="S66" s="9">
        <v>12380.16</v>
      </c>
      <c r="T66" s="9">
        <v>18974.34</v>
      </c>
      <c r="U66" s="9">
        <v>3222.63</v>
      </c>
      <c r="V66" s="9">
        <v>6871.13</v>
      </c>
      <c r="W66">
        <v>5511</v>
      </c>
      <c r="X66" s="6">
        <v>21</v>
      </c>
      <c r="Y66" s="6">
        <v>83</v>
      </c>
      <c r="Z66" s="6">
        <v>220</v>
      </c>
      <c r="AA66" s="6">
        <v>303</v>
      </c>
      <c r="AB66" s="6">
        <v>0</v>
      </c>
      <c r="AC66" s="6">
        <v>5333.66</v>
      </c>
      <c r="AD66" s="6">
        <v>9220.66</v>
      </c>
      <c r="AE66" s="6">
        <v>5333.66</v>
      </c>
      <c r="AF66" s="6">
        <v>0</v>
      </c>
      <c r="AG66" s="6">
        <v>5333.66</v>
      </c>
      <c r="AH66" s="10"/>
      <c r="AI66" t="s">
        <v>1111</v>
      </c>
      <c r="AJ66" s="11" t="str">
        <f t="shared" si="4"/>
        <v>LINK</v>
      </c>
    </row>
    <row r="67" spans="2:36" x14ac:dyDescent="0.25">
      <c r="C67" t="s">
        <v>932</v>
      </c>
      <c r="D67" t="s">
        <v>933</v>
      </c>
      <c r="E67" t="s">
        <v>16</v>
      </c>
      <c r="F67" t="s">
        <v>17</v>
      </c>
      <c r="G67" t="s">
        <v>18</v>
      </c>
      <c r="I67">
        <v>35.85904172</v>
      </c>
      <c r="J67">
        <v>-101.974124399999</v>
      </c>
      <c r="K67" t="s">
        <v>934</v>
      </c>
      <c r="L67" t="s">
        <v>935</v>
      </c>
      <c r="M67" t="s">
        <v>905</v>
      </c>
      <c r="N67" t="s">
        <v>936</v>
      </c>
      <c r="O67">
        <v>79</v>
      </c>
      <c r="P67" t="s">
        <v>20</v>
      </c>
      <c r="Q67" t="s">
        <v>840</v>
      </c>
      <c r="R67" t="s">
        <v>37</v>
      </c>
      <c r="S67" s="9">
        <v>99052.97</v>
      </c>
      <c r="T67" s="9">
        <v>45461.67</v>
      </c>
      <c r="U67" s="9">
        <v>17960.150000000001</v>
      </c>
      <c r="V67" s="9">
        <v>18406.14</v>
      </c>
      <c r="W67">
        <v>5870</v>
      </c>
      <c r="X67" s="6">
        <v>74</v>
      </c>
      <c r="Y67" s="6">
        <v>653</v>
      </c>
      <c r="Z67" s="6">
        <v>1693</v>
      </c>
      <c r="AA67" s="6">
        <v>2346</v>
      </c>
      <c r="AB67" s="6">
        <v>40611.57</v>
      </c>
      <c r="AC67" s="6">
        <v>86529.49</v>
      </c>
      <c r="AD67" s="6">
        <v>14975.94</v>
      </c>
      <c r="AE67" s="6">
        <v>127141.06</v>
      </c>
      <c r="AF67" s="6">
        <v>0</v>
      </c>
      <c r="AG67" s="6">
        <v>127141.06</v>
      </c>
      <c r="AH67" s="10">
        <v>42339</v>
      </c>
      <c r="AI67" t="s">
        <v>1177</v>
      </c>
      <c r="AJ67" s="11" t="str">
        <f t="shared" si="4"/>
        <v>LINK</v>
      </c>
    </row>
    <row r="68" spans="2:36" x14ac:dyDescent="0.25">
      <c r="C68" t="s">
        <v>378</v>
      </c>
      <c r="D68" t="s">
        <v>379</v>
      </c>
      <c r="E68" t="s">
        <v>16</v>
      </c>
      <c r="F68" t="s">
        <v>17</v>
      </c>
      <c r="G68" t="s">
        <v>18</v>
      </c>
      <c r="I68">
        <v>42.484060739999897</v>
      </c>
      <c r="J68">
        <v>-91.123057189999898</v>
      </c>
      <c r="K68" t="s">
        <v>380</v>
      </c>
      <c r="L68" t="s">
        <v>381</v>
      </c>
      <c r="M68" t="s">
        <v>328</v>
      </c>
      <c r="N68" t="s">
        <v>382</v>
      </c>
      <c r="O68">
        <v>103</v>
      </c>
      <c r="P68" t="s">
        <v>20</v>
      </c>
      <c r="Q68" t="s">
        <v>329</v>
      </c>
      <c r="R68" t="s">
        <v>22</v>
      </c>
      <c r="S68" s="9">
        <v>0</v>
      </c>
      <c r="T68" s="9">
        <v>23699.91</v>
      </c>
      <c r="U68" s="9">
        <v>0</v>
      </c>
      <c r="V68" s="9">
        <v>11246.69</v>
      </c>
      <c r="W68">
        <v>7271</v>
      </c>
      <c r="X68" s="6">
        <v>26</v>
      </c>
      <c r="Y68" s="6">
        <v>399</v>
      </c>
      <c r="Z68" s="6">
        <v>286</v>
      </c>
      <c r="AA68" s="6">
        <v>685</v>
      </c>
      <c r="AB68" s="6">
        <v>1886.01</v>
      </c>
      <c r="AC68" s="6">
        <v>10123.5</v>
      </c>
      <c r="AD68" s="6">
        <v>25716.46</v>
      </c>
      <c r="AE68" s="6">
        <v>12009.51</v>
      </c>
      <c r="AF68" s="6">
        <v>0</v>
      </c>
      <c r="AG68" s="6">
        <v>12009.51</v>
      </c>
      <c r="AH68" s="10"/>
      <c r="AI68" t="s">
        <v>1014</v>
      </c>
      <c r="AJ68" s="11" t="str">
        <f t="shared" si="4"/>
        <v>LINK</v>
      </c>
    </row>
    <row r="69" spans="2:36" x14ac:dyDescent="0.25">
      <c r="C69" t="s">
        <v>383</v>
      </c>
      <c r="E69" t="s">
        <v>16</v>
      </c>
      <c r="F69" t="s">
        <v>17</v>
      </c>
      <c r="G69" t="s">
        <v>18</v>
      </c>
      <c r="I69">
        <v>42.645185599999898</v>
      </c>
      <c r="J69">
        <v>-91.400567710000004</v>
      </c>
      <c r="K69" t="s">
        <v>386</v>
      </c>
      <c r="L69" t="s">
        <v>384</v>
      </c>
      <c r="M69" t="s">
        <v>328</v>
      </c>
      <c r="N69" t="s">
        <v>385</v>
      </c>
      <c r="P69" t="s">
        <v>38</v>
      </c>
      <c r="R69" t="s">
        <v>22</v>
      </c>
      <c r="S69" s="9">
        <v>0</v>
      </c>
      <c r="T69" s="9">
        <v>0</v>
      </c>
      <c r="U69" s="9">
        <v>0</v>
      </c>
      <c r="V69" s="9">
        <v>0</v>
      </c>
      <c r="W69">
        <v>10084</v>
      </c>
      <c r="X69" s="6">
        <v>4</v>
      </c>
      <c r="Y69" s="6">
        <v>141</v>
      </c>
      <c r="Z69" s="6">
        <v>128</v>
      </c>
      <c r="AA69" s="6">
        <v>269</v>
      </c>
      <c r="AB69" s="6">
        <v>0</v>
      </c>
      <c r="AC69" s="6">
        <v>0</v>
      </c>
      <c r="AD69" s="6">
        <v>1450</v>
      </c>
      <c r="AE69" s="6">
        <v>0</v>
      </c>
      <c r="AF69" s="6">
        <v>0</v>
      </c>
      <c r="AG69" s="6">
        <v>0</v>
      </c>
      <c r="AH69" s="10"/>
      <c r="AJ69" s="11" t="str">
        <f t="shared" si="4"/>
        <v>LINK</v>
      </c>
    </row>
    <row r="70" spans="2:36" s="5" customFormat="1" x14ac:dyDescent="0.25">
      <c r="B70" s="5" t="s">
        <v>3405</v>
      </c>
      <c r="C70" s="5" t="s">
        <v>712</v>
      </c>
      <c r="D70" s="5" t="s">
        <v>713</v>
      </c>
      <c r="E70" s="5" t="s">
        <v>16</v>
      </c>
      <c r="F70" s="5" t="s">
        <v>17</v>
      </c>
      <c r="G70" s="5" t="s">
        <v>18</v>
      </c>
      <c r="I70" s="5">
        <v>41.36574092</v>
      </c>
      <c r="J70" s="5">
        <v>-82.109992779999899</v>
      </c>
      <c r="K70" s="5" t="s">
        <v>714</v>
      </c>
      <c r="L70" s="5" t="s">
        <v>715</v>
      </c>
      <c r="M70" s="5" t="s">
        <v>675</v>
      </c>
      <c r="N70" s="5" t="s">
        <v>716</v>
      </c>
      <c r="O70" s="5">
        <v>2674</v>
      </c>
      <c r="P70" s="5" t="s">
        <v>20</v>
      </c>
      <c r="Q70" s="5" t="s">
        <v>697</v>
      </c>
      <c r="R70" s="5" t="s">
        <v>37</v>
      </c>
      <c r="S70" s="4">
        <v>94411.73</v>
      </c>
      <c r="T70" s="4">
        <v>341674.15</v>
      </c>
      <c r="U70" s="4">
        <v>37852.57</v>
      </c>
      <c r="V70" s="4">
        <v>100578.63</v>
      </c>
      <c r="W70" s="5">
        <v>73218</v>
      </c>
      <c r="X70" s="3">
        <v>159</v>
      </c>
      <c r="Y70" s="3">
        <v>1304</v>
      </c>
      <c r="Z70" s="3">
        <v>1087</v>
      </c>
      <c r="AA70" s="3">
        <v>2391</v>
      </c>
      <c r="AB70" s="3">
        <v>2448.5300000000002</v>
      </c>
      <c r="AC70" s="3">
        <v>61314.71</v>
      </c>
      <c r="AD70" s="3">
        <v>48268.88</v>
      </c>
      <c r="AE70" s="3">
        <v>63763.24</v>
      </c>
      <c r="AF70" s="3">
        <v>0</v>
      </c>
      <c r="AG70" s="3">
        <v>63763.24</v>
      </c>
      <c r="AH70" s="2">
        <v>42881</v>
      </c>
      <c r="AI70" s="5" t="s">
        <v>1153</v>
      </c>
      <c r="AJ70" s="1" t="str">
        <f t="shared" si="4"/>
        <v>LINK</v>
      </c>
    </row>
    <row r="71" spans="2:36" x14ac:dyDescent="0.25">
      <c r="C71" t="s">
        <v>717</v>
      </c>
      <c r="D71" t="s">
        <v>718</v>
      </c>
      <c r="E71" t="s">
        <v>16</v>
      </c>
      <c r="F71" t="s">
        <v>17</v>
      </c>
      <c r="G71" t="s">
        <v>18</v>
      </c>
      <c r="H71" t="s">
        <v>206</v>
      </c>
      <c r="I71">
        <v>41.384640089999898</v>
      </c>
      <c r="J71">
        <v>-82.077995580000007</v>
      </c>
      <c r="K71" t="s">
        <v>719</v>
      </c>
      <c r="L71" t="s">
        <v>715</v>
      </c>
      <c r="M71" t="s">
        <v>675</v>
      </c>
      <c r="N71" t="s">
        <v>720</v>
      </c>
      <c r="O71">
        <v>2675</v>
      </c>
      <c r="P71" t="s">
        <v>20</v>
      </c>
      <c r="Q71" t="s">
        <v>697</v>
      </c>
      <c r="R71" t="s">
        <v>37</v>
      </c>
      <c r="S71" s="9">
        <v>46204.23</v>
      </c>
      <c r="T71" s="9">
        <v>54845.15</v>
      </c>
      <c r="U71" s="9">
        <v>9764.2800000000007</v>
      </c>
      <c r="V71" s="9">
        <v>14156.78</v>
      </c>
      <c r="W71">
        <v>7334</v>
      </c>
      <c r="X71" s="6">
        <v>52</v>
      </c>
      <c r="Y71" s="6">
        <v>368</v>
      </c>
      <c r="Z71" s="6">
        <v>1321</v>
      </c>
      <c r="AA71" s="6">
        <v>1689</v>
      </c>
      <c r="AB71" s="6">
        <v>0</v>
      </c>
      <c r="AC71" s="6">
        <v>4422.22</v>
      </c>
      <c r="AD71" s="6">
        <v>1614</v>
      </c>
      <c r="AE71" s="6">
        <v>4422.22</v>
      </c>
      <c r="AF71" s="6">
        <v>0</v>
      </c>
      <c r="AG71" s="6">
        <v>4422.22</v>
      </c>
      <c r="AH71" s="10"/>
      <c r="AI71" t="s">
        <v>1154</v>
      </c>
      <c r="AJ71" s="11" t="str">
        <f t="shared" si="4"/>
        <v>LINK</v>
      </c>
    </row>
    <row r="72" spans="2:36" x14ac:dyDescent="0.25">
      <c r="C72" t="s">
        <v>721</v>
      </c>
      <c r="D72" t="s">
        <v>722</v>
      </c>
      <c r="E72" t="s">
        <v>16</v>
      </c>
      <c r="F72" t="s">
        <v>17</v>
      </c>
      <c r="G72" t="s">
        <v>18</v>
      </c>
      <c r="I72">
        <v>41.399902419999897</v>
      </c>
      <c r="J72">
        <v>-82.132505379999898</v>
      </c>
      <c r="K72" t="s">
        <v>723</v>
      </c>
      <c r="L72" t="s">
        <v>715</v>
      </c>
      <c r="M72" t="s">
        <v>675</v>
      </c>
      <c r="N72" t="s">
        <v>724</v>
      </c>
      <c r="O72">
        <v>2676</v>
      </c>
      <c r="P72" t="s">
        <v>20</v>
      </c>
      <c r="Q72" t="s">
        <v>697</v>
      </c>
      <c r="R72" t="s">
        <v>37</v>
      </c>
      <c r="S72" s="9">
        <v>19656.169999999998</v>
      </c>
      <c r="T72" s="9">
        <v>30438.91</v>
      </c>
      <c r="U72" s="9">
        <v>6616.28</v>
      </c>
      <c r="V72" s="9">
        <v>8946.7099999999991</v>
      </c>
      <c r="W72">
        <v>5469</v>
      </c>
      <c r="X72" s="6">
        <v>33</v>
      </c>
      <c r="Y72" s="6">
        <v>340</v>
      </c>
      <c r="Z72" s="6">
        <v>554</v>
      </c>
      <c r="AA72" s="6">
        <v>894</v>
      </c>
      <c r="AB72" s="6">
        <v>1124</v>
      </c>
      <c r="AC72" s="6">
        <v>6838.97</v>
      </c>
      <c r="AD72" s="6">
        <v>1056.2</v>
      </c>
      <c r="AE72" s="6">
        <v>7962.97</v>
      </c>
      <c r="AF72" s="6">
        <v>0</v>
      </c>
      <c r="AG72" s="6">
        <v>7962.97</v>
      </c>
      <c r="AH72" s="10"/>
      <c r="AI72" t="s">
        <v>1155</v>
      </c>
      <c r="AJ72" s="11" t="str">
        <f t="shared" si="4"/>
        <v>LINK</v>
      </c>
    </row>
    <row r="73" spans="2:36" x14ac:dyDescent="0.25">
      <c r="C73" t="s">
        <v>387</v>
      </c>
      <c r="D73" t="s">
        <v>389</v>
      </c>
      <c r="E73" t="s">
        <v>16</v>
      </c>
      <c r="F73" t="s">
        <v>17</v>
      </c>
      <c r="G73" t="s">
        <v>18</v>
      </c>
      <c r="I73">
        <v>43.110805620000001</v>
      </c>
      <c r="J73">
        <v>-94.6673863299999</v>
      </c>
      <c r="K73" t="s">
        <v>390</v>
      </c>
      <c r="L73" t="s">
        <v>388</v>
      </c>
      <c r="M73" t="s">
        <v>328</v>
      </c>
      <c r="N73" t="s">
        <v>391</v>
      </c>
      <c r="O73">
        <v>3299</v>
      </c>
      <c r="P73" t="s">
        <v>20</v>
      </c>
      <c r="Q73" t="s">
        <v>329</v>
      </c>
      <c r="R73" t="s">
        <v>22</v>
      </c>
      <c r="S73" s="9">
        <v>0</v>
      </c>
      <c r="T73" s="9">
        <v>0</v>
      </c>
      <c r="U73" s="9">
        <v>0</v>
      </c>
      <c r="V73" s="9">
        <v>0</v>
      </c>
      <c r="W73">
        <v>10084</v>
      </c>
      <c r="X73" s="6">
        <v>23</v>
      </c>
      <c r="Y73" s="6">
        <v>334</v>
      </c>
      <c r="Z73" s="6">
        <v>453</v>
      </c>
      <c r="AA73" s="6">
        <v>787</v>
      </c>
      <c r="AB73" s="6">
        <v>3300</v>
      </c>
      <c r="AC73" s="6">
        <v>1806</v>
      </c>
      <c r="AD73" s="6">
        <v>19481</v>
      </c>
      <c r="AE73" s="6">
        <v>5106</v>
      </c>
      <c r="AF73" s="6">
        <v>0</v>
      </c>
      <c r="AG73" s="6">
        <v>5106</v>
      </c>
      <c r="AH73" s="10"/>
      <c r="AJ73" s="11" t="str">
        <f t="shared" si="4"/>
        <v>LINK</v>
      </c>
    </row>
    <row r="74" spans="2:36" x14ac:dyDescent="0.25">
      <c r="C74" t="s">
        <v>566</v>
      </c>
      <c r="D74" t="s">
        <v>567</v>
      </c>
      <c r="E74" t="s">
        <v>16</v>
      </c>
      <c r="F74" t="s">
        <v>17</v>
      </c>
      <c r="G74" t="s">
        <v>18</v>
      </c>
      <c r="I74">
        <v>36.861869069999898</v>
      </c>
      <c r="J74">
        <v>-83.1824016099999</v>
      </c>
      <c r="K74" t="s">
        <v>568</v>
      </c>
      <c r="L74" t="s">
        <v>569</v>
      </c>
      <c r="M74" t="s">
        <v>517</v>
      </c>
      <c r="N74" t="s">
        <v>570</v>
      </c>
      <c r="O74">
        <v>225</v>
      </c>
      <c r="P74" t="s">
        <v>20</v>
      </c>
      <c r="Q74" t="s">
        <v>519</v>
      </c>
      <c r="R74" t="s">
        <v>37</v>
      </c>
      <c r="S74" s="9">
        <v>15416.46</v>
      </c>
      <c r="T74" s="9">
        <v>26449</v>
      </c>
      <c r="U74" s="9">
        <v>3624.17</v>
      </c>
      <c r="V74" s="9">
        <v>10635.18</v>
      </c>
      <c r="W74">
        <v>3283</v>
      </c>
      <c r="X74" s="6">
        <v>42</v>
      </c>
      <c r="Y74" s="6">
        <v>100</v>
      </c>
      <c r="Z74" s="6">
        <v>434</v>
      </c>
      <c r="AA74" s="6">
        <v>534</v>
      </c>
      <c r="AB74" s="6">
        <v>2100</v>
      </c>
      <c r="AC74" s="6">
        <v>1649.86</v>
      </c>
      <c r="AD74" s="6">
        <v>0</v>
      </c>
      <c r="AE74" s="6">
        <v>3749.86</v>
      </c>
      <c r="AF74" s="6">
        <v>0</v>
      </c>
      <c r="AG74" s="6">
        <v>3749.86</v>
      </c>
      <c r="AH74" s="10"/>
      <c r="AI74" t="s">
        <v>1131</v>
      </c>
      <c r="AJ74" s="11" t="str">
        <f t="shared" si="4"/>
        <v>LINK</v>
      </c>
    </row>
    <row r="75" spans="2:36" x14ac:dyDescent="0.25">
      <c r="C75" t="s">
        <v>392</v>
      </c>
      <c r="D75" t="s">
        <v>393</v>
      </c>
      <c r="E75" t="s">
        <v>16</v>
      </c>
      <c r="F75" t="s">
        <v>17</v>
      </c>
      <c r="G75" t="s">
        <v>18</v>
      </c>
      <c r="I75">
        <v>41.007422910000003</v>
      </c>
      <c r="J75">
        <v>-91.9658781199999</v>
      </c>
      <c r="K75" t="s">
        <v>394</v>
      </c>
      <c r="L75" t="s">
        <v>395</v>
      </c>
      <c r="M75" t="s">
        <v>328</v>
      </c>
      <c r="N75" t="s">
        <v>396</v>
      </c>
      <c r="O75">
        <v>2396</v>
      </c>
      <c r="P75" t="s">
        <v>20</v>
      </c>
      <c r="Q75" t="s">
        <v>329</v>
      </c>
      <c r="R75" t="s">
        <v>22</v>
      </c>
      <c r="S75" s="9">
        <v>31149.91</v>
      </c>
      <c r="T75" s="9">
        <v>37674.65</v>
      </c>
      <c r="U75" s="9">
        <v>40414.61</v>
      </c>
      <c r="V75" s="9">
        <v>14932.98</v>
      </c>
      <c r="W75">
        <v>4700</v>
      </c>
      <c r="X75" s="6">
        <v>40</v>
      </c>
      <c r="Y75" s="6">
        <v>481</v>
      </c>
      <c r="Z75" s="6">
        <v>403</v>
      </c>
      <c r="AA75" s="6">
        <v>884</v>
      </c>
      <c r="AB75" s="6">
        <v>9874</v>
      </c>
      <c r="AC75" s="6">
        <v>7074.9</v>
      </c>
      <c r="AD75" s="6">
        <v>242381.36</v>
      </c>
      <c r="AE75" s="6">
        <v>16948.900000000001</v>
      </c>
      <c r="AF75" s="6">
        <v>389.52</v>
      </c>
      <c r="AG75" s="6">
        <v>17338.419999999998</v>
      </c>
      <c r="AH75" s="10"/>
      <c r="AI75" t="s">
        <v>1015</v>
      </c>
      <c r="AJ75" s="11" t="str">
        <f t="shared" si="4"/>
        <v>LINK</v>
      </c>
    </row>
    <row r="76" spans="2:36" s="5" customFormat="1" x14ac:dyDescent="0.25">
      <c r="B76" s="5" t="s">
        <v>3405</v>
      </c>
      <c r="C76" s="5" t="s">
        <v>207</v>
      </c>
      <c r="D76" s="5" t="s">
        <v>208</v>
      </c>
      <c r="E76" s="5" t="s">
        <v>16</v>
      </c>
      <c r="F76" s="5" t="s">
        <v>17</v>
      </c>
      <c r="G76" s="5" t="s">
        <v>18</v>
      </c>
      <c r="I76" s="5">
        <v>31.715143520000002</v>
      </c>
      <c r="J76" s="5">
        <v>-83.253794409999898</v>
      </c>
      <c r="K76" s="5" t="s">
        <v>209</v>
      </c>
      <c r="L76" s="5" t="s">
        <v>210</v>
      </c>
      <c r="M76" s="5" t="s">
        <v>120</v>
      </c>
      <c r="N76" s="5" t="s">
        <v>211</v>
      </c>
      <c r="O76" s="5">
        <v>35</v>
      </c>
      <c r="P76" s="5" t="s">
        <v>20</v>
      </c>
      <c r="Q76" s="5" t="s">
        <v>121</v>
      </c>
      <c r="R76" s="5" t="s">
        <v>22</v>
      </c>
      <c r="S76" s="4">
        <v>46961.1</v>
      </c>
      <c r="T76" s="4">
        <v>316512.78999999998</v>
      </c>
      <c r="U76" s="4">
        <v>15698.45</v>
      </c>
      <c r="V76" s="4">
        <v>74237.679999999993</v>
      </c>
      <c r="W76" s="5">
        <v>16821</v>
      </c>
      <c r="X76" s="3">
        <v>92</v>
      </c>
      <c r="Y76" s="3">
        <v>442</v>
      </c>
      <c r="Z76" s="3">
        <v>1527</v>
      </c>
      <c r="AA76" s="3">
        <v>1969</v>
      </c>
      <c r="AB76" s="3">
        <v>242075.11</v>
      </c>
      <c r="AC76" s="3">
        <v>312077.57</v>
      </c>
      <c r="AD76" s="3">
        <v>173549.1</v>
      </c>
      <c r="AE76" s="3">
        <v>554152.68000000005</v>
      </c>
      <c r="AF76" s="3">
        <v>0</v>
      </c>
      <c r="AG76" s="3">
        <v>554152.68000000005</v>
      </c>
      <c r="AH76" s="2">
        <v>42767</v>
      </c>
      <c r="AI76" s="5" t="s">
        <v>1007</v>
      </c>
      <c r="AJ76" s="1" t="str">
        <f t="shared" si="4"/>
        <v>LINK</v>
      </c>
    </row>
    <row r="77" spans="2:36" x14ac:dyDescent="0.25">
      <c r="C77" t="s">
        <v>571</v>
      </c>
      <c r="D77" t="s">
        <v>572</v>
      </c>
      <c r="E77" t="s">
        <v>16</v>
      </c>
      <c r="F77" t="s">
        <v>17</v>
      </c>
      <c r="G77" t="s">
        <v>18</v>
      </c>
      <c r="I77">
        <v>38.517180430000003</v>
      </c>
      <c r="J77">
        <v>-82.722060619999894</v>
      </c>
      <c r="K77" t="s">
        <v>573</v>
      </c>
      <c r="L77" t="s">
        <v>574</v>
      </c>
      <c r="M77" t="s">
        <v>517</v>
      </c>
      <c r="N77" t="s">
        <v>575</v>
      </c>
      <c r="O77">
        <v>2446</v>
      </c>
      <c r="P77" t="s">
        <v>20</v>
      </c>
      <c r="Q77" t="s">
        <v>519</v>
      </c>
      <c r="R77" t="s">
        <v>37</v>
      </c>
      <c r="S77" s="9">
        <v>16777.88</v>
      </c>
      <c r="T77" s="9">
        <v>67530.240000000005</v>
      </c>
      <c r="U77" s="9">
        <v>4237.28</v>
      </c>
      <c r="V77" s="9">
        <v>22311.84</v>
      </c>
      <c r="W77">
        <v>3600</v>
      </c>
      <c r="X77" s="6">
        <v>73</v>
      </c>
      <c r="Y77" s="6">
        <v>107</v>
      </c>
      <c r="Z77" s="6">
        <v>1289</v>
      </c>
      <c r="AA77" s="6">
        <v>1396</v>
      </c>
      <c r="AB77" s="6">
        <v>9841.98</v>
      </c>
      <c r="AC77" s="6">
        <v>18176.45</v>
      </c>
      <c r="AD77" s="6">
        <v>70713.88</v>
      </c>
      <c r="AE77" s="6">
        <v>28018.43</v>
      </c>
      <c r="AF77" s="6">
        <v>0</v>
      </c>
      <c r="AG77" s="6">
        <v>28018.43</v>
      </c>
      <c r="AH77" s="10"/>
      <c r="AI77" t="s">
        <v>1132</v>
      </c>
      <c r="AJ77" s="11" t="str">
        <f t="shared" si="4"/>
        <v>LINK</v>
      </c>
    </row>
    <row r="78" spans="2:36" x14ac:dyDescent="0.25">
      <c r="C78" t="s">
        <v>576</v>
      </c>
      <c r="D78" t="s">
        <v>577</v>
      </c>
      <c r="E78" t="s">
        <v>16</v>
      </c>
      <c r="F78" t="s">
        <v>17</v>
      </c>
      <c r="G78" t="s">
        <v>18</v>
      </c>
      <c r="I78">
        <v>38.424915679999899</v>
      </c>
      <c r="J78">
        <v>-83.736665970000004</v>
      </c>
      <c r="K78" t="s">
        <v>578</v>
      </c>
      <c r="L78" t="s">
        <v>579</v>
      </c>
      <c r="M78" t="s">
        <v>517</v>
      </c>
      <c r="N78" t="s">
        <v>580</v>
      </c>
      <c r="O78">
        <v>177</v>
      </c>
      <c r="P78" t="s">
        <v>20</v>
      </c>
      <c r="Q78" t="s">
        <v>519</v>
      </c>
      <c r="R78" t="s">
        <v>37</v>
      </c>
      <c r="S78" s="9">
        <v>24784.11</v>
      </c>
      <c r="T78" s="9">
        <v>43500.95</v>
      </c>
      <c r="U78" s="9">
        <v>4109.8500000000004</v>
      </c>
      <c r="V78" s="9">
        <v>16507.900000000001</v>
      </c>
      <c r="W78">
        <v>4309</v>
      </c>
      <c r="X78" s="6">
        <v>69</v>
      </c>
      <c r="Y78" s="6">
        <v>385</v>
      </c>
      <c r="Z78" s="6">
        <v>432</v>
      </c>
      <c r="AA78" s="6">
        <v>817</v>
      </c>
      <c r="AB78" s="6">
        <v>3474.66</v>
      </c>
      <c r="AC78" s="6">
        <v>20515.71</v>
      </c>
      <c r="AD78" s="6">
        <v>86995.51</v>
      </c>
      <c r="AE78" s="6">
        <v>23990.37</v>
      </c>
      <c r="AF78" s="6">
        <v>0</v>
      </c>
      <c r="AG78" s="6">
        <v>23990.37</v>
      </c>
      <c r="AH78" s="10">
        <v>42984</v>
      </c>
      <c r="AI78" t="s">
        <v>1133</v>
      </c>
      <c r="AJ78" s="11" t="str">
        <f t="shared" si="4"/>
        <v>LINK</v>
      </c>
    </row>
    <row r="79" spans="2:36" x14ac:dyDescent="0.25">
      <c r="C79" t="s">
        <v>212</v>
      </c>
      <c r="D79" t="s">
        <v>213</v>
      </c>
      <c r="E79" t="s">
        <v>16</v>
      </c>
      <c r="F79" t="s">
        <v>17</v>
      </c>
      <c r="G79" t="s">
        <v>18</v>
      </c>
      <c r="I79">
        <v>30.8294520799999</v>
      </c>
      <c r="J79">
        <v>-82.005217450000004</v>
      </c>
      <c r="K79" t="s">
        <v>214</v>
      </c>
      <c r="L79" t="s">
        <v>215</v>
      </c>
      <c r="M79" t="s">
        <v>120</v>
      </c>
      <c r="N79" t="s">
        <v>216</v>
      </c>
      <c r="O79">
        <v>193</v>
      </c>
      <c r="P79" t="s">
        <v>20</v>
      </c>
      <c r="Q79" t="s">
        <v>50</v>
      </c>
      <c r="R79" t="s">
        <v>22</v>
      </c>
      <c r="S79" s="9">
        <v>10023.200000000001</v>
      </c>
      <c r="T79" s="9">
        <v>41225.81</v>
      </c>
      <c r="U79" s="9">
        <v>11440.53</v>
      </c>
      <c r="V79" s="9">
        <v>13609.11</v>
      </c>
      <c r="W79">
        <v>5060</v>
      </c>
      <c r="X79" s="6">
        <v>25</v>
      </c>
      <c r="Y79" s="6">
        <v>436</v>
      </c>
      <c r="Z79" s="6">
        <v>350</v>
      </c>
      <c r="AA79" s="6">
        <v>786</v>
      </c>
      <c r="AB79" s="6">
        <v>11318.63</v>
      </c>
      <c r="AC79" s="6">
        <v>18922.3</v>
      </c>
      <c r="AD79" s="6">
        <v>8690.2999999999993</v>
      </c>
      <c r="AE79" s="6">
        <v>30240.93</v>
      </c>
      <c r="AF79" s="6">
        <v>0</v>
      </c>
      <c r="AG79" s="6">
        <v>30240.93</v>
      </c>
      <c r="AH79" s="10">
        <v>42881</v>
      </c>
      <c r="AI79" t="s">
        <v>1008</v>
      </c>
      <c r="AJ79" s="11" t="str">
        <f t="shared" si="4"/>
        <v>LINK</v>
      </c>
    </row>
    <row r="80" spans="2:36" x14ac:dyDescent="0.25">
      <c r="C80" t="s">
        <v>51</v>
      </c>
      <c r="D80" t="s">
        <v>52</v>
      </c>
      <c r="E80" t="s">
        <v>16</v>
      </c>
      <c r="F80" t="s">
        <v>17</v>
      </c>
      <c r="G80" t="s">
        <v>18</v>
      </c>
      <c r="I80">
        <v>33.812874360000002</v>
      </c>
      <c r="J80">
        <v>-92.413512909999895</v>
      </c>
      <c r="K80" t="s">
        <v>53</v>
      </c>
      <c r="L80" t="s">
        <v>54</v>
      </c>
      <c r="M80" t="s">
        <v>35</v>
      </c>
      <c r="N80" t="s">
        <v>55</v>
      </c>
      <c r="O80">
        <v>167</v>
      </c>
      <c r="P80" t="s">
        <v>20</v>
      </c>
      <c r="Q80" t="s">
        <v>36</v>
      </c>
      <c r="R80" t="s">
        <v>37</v>
      </c>
      <c r="S80" s="9">
        <v>18695.13</v>
      </c>
      <c r="T80" s="9">
        <v>71761.75</v>
      </c>
      <c r="U80" s="9">
        <v>3647.4</v>
      </c>
      <c r="V80" s="9">
        <v>8744.84</v>
      </c>
      <c r="W80">
        <v>4517</v>
      </c>
      <c r="X80" s="6">
        <v>36</v>
      </c>
      <c r="Y80" s="6">
        <v>387</v>
      </c>
      <c r="Z80" s="6">
        <v>1018</v>
      </c>
      <c r="AA80" s="6">
        <v>1405</v>
      </c>
      <c r="AB80" s="6">
        <v>5480.4</v>
      </c>
      <c r="AC80" s="6">
        <v>26603.279999999999</v>
      </c>
      <c r="AD80" s="6">
        <v>43431.95</v>
      </c>
      <c r="AE80" s="6">
        <v>32083.68</v>
      </c>
      <c r="AF80" s="6">
        <v>0</v>
      </c>
      <c r="AG80" s="6">
        <v>32083.68</v>
      </c>
      <c r="AH80" s="10">
        <v>42881</v>
      </c>
      <c r="AI80" t="s">
        <v>1061</v>
      </c>
      <c r="AJ80" s="11" t="str">
        <f t="shared" si="4"/>
        <v>LINK</v>
      </c>
    </row>
    <row r="81" spans="2:36" x14ac:dyDescent="0.25">
      <c r="C81" t="s">
        <v>397</v>
      </c>
      <c r="D81" t="s">
        <v>398</v>
      </c>
      <c r="E81" t="s">
        <v>16</v>
      </c>
      <c r="F81" t="s">
        <v>17</v>
      </c>
      <c r="G81" t="s">
        <v>18</v>
      </c>
      <c r="I81">
        <v>43.265765469999899</v>
      </c>
      <c r="J81">
        <v>-93.63893779</v>
      </c>
      <c r="K81" t="s">
        <v>399</v>
      </c>
      <c r="L81" t="s">
        <v>400</v>
      </c>
      <c r="M81" t="s">
        <v>328</v>
      </c>
      <c r="N81" t="s">
        <v>401</v>
      </c>
      <c r="O81">
        <v>1680</v>
      </c>
      <c r="P81" t="s">
        <v>20</v>
      </c>
      <c r="Q81" t="s">
        <v>329</v>
      </c>
      <c r="R81" t="s">
        <v>22</v>
      </c>
      <c r="S81" s="9">
        <v>10338.83</v>
      </c>
      <c r="T81" s="9">
        <v>9296.89</v>
      </c>
      <c r="U81" s="9">
        <v>3357.21</v>
      </c>
      <c r="V81" s="9">
        <v>5383.98</v>
      </c>
      <c r="W81">
        <v>4994</v>
      </c>
      <c r="X81" s="6">
        <v>15</v>
      </c>
      <c r="Y81" s="6">
        <v>35</v>
      </c>
      <c r="Z81" s="6">
        <v>2</v>
      </c>
      <c r="AA81" s="6">
        <v>37</v>
      </c>
      <c r="AB81" s="6">
        <v>0</v>
      </c>
      <c r="AC81" s="6">
        <v>3811</v>
      </c>
      <c r="AD81" s="6">
        <v>3110</v>
      </c>
      <c r="AE81" s="6">
        <v>3811</v>
      </c>
      <c r="AF81" s="6">
        <v>0</v>
      </c>
      <c r="AG81" s="6">
        <v>3811</v>
      </c>
      <c r="AH81" s="10"/>
      <c r="AI81" t="s">
        <v>1016</v>
      </c>
      <c r="AJ81" s="11" t="str">
        <f t="shared" si="4"/>
        <v>LINK</v>
      </c>
    </row>
    <row r="82" spans="2:36" x14ac:dyDescent="0.25">
      <c r="B82" s="5" t="s">
        <v>3405</v>
      </c>
      <c r="C82" t="s">
        <v>725</v>
      </c>
      <c r="D82" t="s">
        <v>726</v>
      </c>
      <c r="E82" t="s">
        <v>16</v>
      </c>
      <c r="F82" t="s">
        <v>17</v>
      </c>
      <c r="G82" t="s">
        <v>18</v>
      </c>
      <c r="I82">
        <v>41.805316920000003</v>
      </c>
      <c r="J82">
        <v>-80.945671630000007</v>
      </c>
      <c r="K82" t="s">
        <v>727</v>
      </c>
      <c r="L82" t="s">
        <v>728</v>
      </c>
      <c r="M82" t="s">
        <v>675</v>
      </c>
      <c r="N82" t="s">
        <v>729</v>
      </c>
      <c r="O82">
        <v>51</v>
      </c>
      <c r="P82" t="s">
        <v>20</v>
      </c>
      <c r="Q82" t="s">
        <v>676</v>
      </c>
      <c r="R82" t="s">
        <v>37</v>
      </c>
      <c r="S82" s="9">
        <v>43683.77</v>
      </c>
      <c r="T82" s="9">
        <v>37088.83</v>
      </c>
      <c r="U82" s="9">
        <v>14547.93</v>
      </c>
      <c r="V82" s="9">
        <v>13944.09</v>
      </c>
      <c r="W82">
        <v>12477</v>
      </c>
      <c r="X82" s="6">
        <v>25</v>
      </c>
      <c r="Y82" s="6">
        <v>326</v>
      </c>
      <c r="Z82" s="6">
        <v>797</v>
      </c>
      <c r="AA82" s="6">
        <v>1123</v>
      </c>
      <c r="AB82" s="6">
        <v>3910</v>
      </c>
      <c r="AC82" s="6">
        <v>4547.8599999999997</v>
      </c>
      <c r="AD82" s="6">
        <v>9739.4</v>
      </c>
      <c r="AE82" s="6">
        <v>8457.86</v>
      </c>
      <c r="AF82" s="6">
        <v>0</v>
      </c>
      <c r="AG82" s="6">
        <v>8457.86</v>
      </c>
      <c r="AH82" s="10"/>
      <c r="AI82" t="s">
        <v>1156</v>
      </c>
      <c r="AJ82" s="11" t="str">
        <f t="shared" si="4"/>
        <v>LINK</v>
      </c>
    </row>
    <row r="83" spans="2:36" x14ac:dyDescent="0.25">
      <c r="C83" t="s">
        <v>730</v>
      </c>
      <c r="D83" t="s">
        <v>731</v>
      </c>
      <c r="E83" t="s">
        <v>16</v>
      </c>
      <c r="F83" t="s">
        <v>17</v>
      </c>
      <c r="G83" t="s">
        <v>18</v>
      </c>
      <c r="I83">
        <v>40.067560120000003</v>
      </c>
      <c r="J83">
        <v>-82.518978469999894</v>
      </c>
      <c r="K83" t="s">
        <v>732</v>
      </c>
      <c r="L83" t="s">
        <v>733</v>
      </c>
      <c r="M83" t="s">
        <v>675</v>
      </c>
      <c r="N83" t="s">
        <v>734</v>
      </c>
      <c r="O83">
        <v>2679</v>
      </c>
      <c r="P83" t="s">
        <v>20</v>
      </c>
      <c r="Q83" t="s">
        <v>697</v>
      </c>
      <c r="R83" t="s">
        <v>22</v>
      </c>
      <c r="S83" s="9">
        <v>19967.759999999998</v>
      </c>
      <c r="T83" s="9">
        <v>26744.560000000001</v>
      </c>
      <c r="U83" s="9">
        <v>6620.9</v>
      </c>
      <c r="V83" s="9">
        <v>8210.3799999999992</v>
      </c>
      <c r="W83">
        <v>6307</v>
      </c>
      <c r="X83" s="6">
        <v>24</v>
      </c>
      <c r="Y83" s="6">
        <v>239</v>
      </c>
      <c r="Z83" s="6">
        <v>393</v>
      </c>
      <c r="AA83" s="6">
        <v>632</v>
      </c>
      <c r="AB83" s="6">
        <v>2151.6</v>
      </c>
      <c r="AC83" s="6">
        <v>7577.5</v>
      </c>
      <c r="AD83" s="6">
        <v>7633.7</v>
      </c>
      <c r="AE83" s="6">
        <v>9729.1</v>
      </c>
      <c r="AF83" s="6">
        <v>0</v>
      </c>
      <c r="AG83" s="6">
        <v>9729.1</v>
      </c>
      <c r="AH83" s="10"/>
      <c r="AI83" t="s">
        <v>1031</v>
      </c>
      <c r="AJ83" s="11" t="str">
        <f t="shared" si="4"/>
        <v>LINK</v>
      </c>
    </row>
    <row r="84" spans="2:36" x14ac:dyDescent="0.25">
      <c r="B84" s="5" t="s">
        <v>3405</v>
      </c>
      <c r="C84" t="s">
        <v>57</v>
      </c>
      <c r="D84" t="s">
        <v>58</v>
      </c>
      <c r="E84" t="s">
        <v>16</v>
      </c>
      <c r="F84" t="s">
        <v>17</v>
      </c>
      <c r="G84" t="s">
        <v>18</v>
      </c>
      <c r="I84">
        <v>35.232662769999898</v>
      </c>
      <c r="J84">
        <v>-92.388350840000001</v>
      </c>
      <c r="K84" t="s">
        <v>59</v>
      </c>
      <c r="L84" t="s">
        <v>56</v>
      </c>
      <c r="M84" t="s">
        <v>35</v>
      </c>
      <c r="N84" t="s">
        <v>60</v>
      </c>
      <c r="O84">
        <v>2298</v>
      </c>
      <c r="P84" t="s">
        <v>20</v>
      </c>
      <c r="Q84" t="s">
        <v>36</v>
      </c>
      <c r="R84" t="s">
        <v>37</v>
      </c>
      <c r="S84" s="9">
        <v>57457.22</v>
      </c>
      <c r="T84" s="9">
        <v>86295.67</v>
      </c>
      <c r="U84" s="9">
        <v>23436.5</v>
      </c>
      <c r="V84" s="9">
        <v>19649.560000000001</v>
      </c>
      <c r="W84">
        <v>20000</v>
      </c>
      <c r="X84" s="6">
        <v>64</v>
      </c>
      <c r="Y84" s="6">
        <v>331</v>
      </c>
      <c r="Z84" s="6">
        <v>324</v>
      </c>
      <c r="AA84" s="6">
        <v>655</v>
      </c>
      <c r="AB84" s="6">
        <v>8811.7999999999993</v>
      </c>
      <c r="AC84" s="6">
        <v>20476.55</v>
      </c>
      <c r="AD84" s="6">
        <v>63414.33</v>
      </c>
      <c r="AE84" s="6">
        <v>29288.35</v>
      </c>
      <c r="AF84" s="6">
        <v>0</v>
      </c>
      <c r="AG84" s="6">
        <v>29288.35</v>
      </c>
      <c r="AH84" s="10">
        <v>42881</v>
      </c>
      <c r="AI84" t="s">
        <v>1062</v>
      </c>
      <c r="AJ84" s="11" t="str">
        <f t="shared" si="4"/>
        <v>LINK</v>
      </c>
    </row>
    <row r="85" spans="2:36" x14ac:dyDescent="0.25">
      <c r="C85" t="s">
        <v>3402</v>
      </c>
      <c r="D85" t="s">
        <v>403</v>
      </c>
      <c r="E85" t="s">
        <v>16</v>
      </c>
      <c r="F85" t="s">
        <v>17</v>
      </c>
      <c r="G85" t="s">
        <v>18</v>
      </c>
      <c r="H85" t="s">
        <v>25</v>
      </c>
      <c r="I85">
        <v>41.294820809999898</v>
      </c>
      <c r="J85">
        <v>-94.460171610000003</v>
      </c>
      <c r="K85" t="s">
        <v>404</v>
      </c>
      <c r="L85" t="s">
        <v>402</v>
      </c>
      <c r="M85" t="s">
        <v>328</v>
      </c>
      <c r="N85" t="s">
        <v>405</v>
      </c>
      <c r="O85">
        <v>3300</v>
      </c>
      <c r="P85" t="s">
        <v>20</v>
      </c>
      <c r="Q85" t="s">
        <v>329</v>
      </c>
      <c r="R85" t="s">
        <v>22</v>
      </c>
      <c r="S85" s="9">
        <v>0</v>
      </c>
      <c r="T85" s="9">
        <v>0</v>
      </c>
      <c r="U85" s="9">
        <v>0</v>
      </c>
      <c r="V85" s="9">
        <v>0</v>
      </c>
      <c r="W85">
        <v>10084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10"/>
      <c r="AJ85" s="11" t="str">
        <f t="shared" si="4"/>
        <v>LINK</v>
      </c>
    </row>
    <row r="86" spans="2:36" x14ac:dyDescent="0.25">
      <c r="C86" t="s">
        <v>581</v>
      </c>
      <c r="D86" t="s">
        <v>582</v>
      </c>
      <c r="E86" t="s">
        <v>16</v>
      </c>
      <c r="F86" t="s">
        <v>17</v>
      </c>
      <c r="G86" t="s">
        <v>18</v>
      </c>
      <c r="I86">
        <v>38.5734244699999</v>
      </c>
      <c r="J86">
        <v>-82.839626730000006</v>
      </c>
      <c r="K86" t="s">
        <v>583</v>
      </c>
      <c r="L86" t="s">
        <v>584</v>
      </c>
      <c r="M86" t="s">
        <v>517</v>
      </c>
      <c r="N86" t="s">
        <v>585</v>
      </c>
      <c r="O86">
        <v>2450</v>
      </c>
      <c r="P86" t="s">
        <v>20</v>
      </c>
      <c r="Q86" t="s">
        <v>519</v>
      </c>
      <c r="R86" t="s">
        <v>37</v>
      </c>
      <c r="S86" s="9">
        <v>24729.66</v>
      </c>
      <c r="T86" s="9">
        <v>53759.69</v>
      </c>
      <c r="U86" s="9">
        <v>17592.45</v>
      </c>
      <c r="V86" s="9">
        <v>37100.65</v>
      </c>
      <c r="W86">
        <v>4100</v>
      </c>
      <c r="X86" s="6">
        <v>52</v>
      </c>
      <c r="Y86" s="6">
        <v>148</v>
      </c>
      <c r="Z86" s="6">
        <v>421</v>
      </c>
      <c r="AA86" s="6">
        <v>569</v>
      </c>
      <c r="AB86" s="6">
        <v>4658</v>
      </c>
      <c r="AC86" s="6">
        <v>17091.11</v>
      </c>
      <c r="AD86" s="6">
        <v>75762.86</v>
      </c>
      <c r="AE86" s="6">
        <v>21749.11</v>
      </c>
      <c r="AF86" s="6">
        <v>0</v>
      </c>
      <c r="AG86" s="6">
        <v>21749.11</v>
      </c>
      <c r="AH86" s="10">
        <v>42767</v>
      </c>
      <c r="AI86" t="s">
        <v>1134</v>
      </c>
      <c r="AJ86" s="11" t="str">
        <f t="shared" si="4"/>
        <v>LINK</v>
      </c>
    </row>
    <row r="87" spans="2:36" s="5" customFormat="1" x14ac:dyDescent="0.25">
      <c r="B87" s="5" t="s">
        <v>3405</v>
      </c>
      <c r="C87" s="5" t="s">
        <v>406</v>
      </c>
      <c r="D87" s="5" t="s">
        <v>407</v>
      </c>
      <c r="E87" s="5" t="s">
        <v>16</v>
      </c>
      <c r="F87" s="5" t="s">
        <v>17</v>
      </c>
      <c r="G87" s="5" t="s">
        <v>18</v>
      </c>
      <c r="I87" s="5">
        <v>41.745169820000001</v>
      </c>
      <c r="J87" s="5">
        <v>-92.725415130000002</v>
      </c>
      <c r="K87" s="5" t="s">
        <v>408</v>
      </c>
      <c r="L87" s="5" t="s">
        <v>409</v>
      </c>
      <c r="M87" s="5" t="s">
        <v>328</v>
      </c>
      <c r="N87" s="5" t="s">
        <v>410</v>
      </c>
      <c r="O87" s="5">
        <v>37</v>
      </c>
      <c r="P87" s="5" t="s">
        <v>20</v>
      </c>
      <c r="Q87" s="5" t="s">
        <v>329</v>
      </c>
      <c r="R87" s="5" t="s">
        <v>22</v>
      </c>
      <c r="S87" s="4">
        <v>37252.22</v>
      </c>
      <c r="T87" s="4">
        <v>109942.31</v>
      </c>
      <c r="U87" s="4">
        <v>21509.57</v>
      </c>
      <c r="V87" s="4">
        <v>40362.959999999999</v>
      </c>
      <c r="W87" s="5">
        <v>15723</v>
      </c>
      <c r="X87" s="3">
        <v>84</v>
      </c>
      <c r="Y87" s="3">
        <v>648</v>
      </c>
      <c r="Z87" s="3">
        <v>595</v>
      </c>
      <c r="AA87" s="3">
        <v>1243</v>
      </c>
      <c r="AB87" s="3">
        <v>86783.49</v>
      </c>
      <c r="AC87" s="3">
        <v>175897.93</v>
      </c>
      <c r="AD87" s="3">
        <v>71294.070000000007</v>
      </c>
      <c r="AE87" s="3">
        <v>262681.42</v>
      </c>
      <c r="AF87" s="3">
        <v>21</v>
      </c>
      <c r="AG87" s="3">
        <v>262702.42</v>
      </c>
      <c r="AH87" s="2"/>
      <c r="AI87" s="5" t="s">
        <v>1112</v>
      </c>
      <c r="AJ87" s="1" t="str">
        <f t="shared" si="4"/>
        <v>LINK</v>
      </c>
    </row>
    <row r="88" spans="2:36" x14ac:dyDescent="0.25">
      <c r="B88" s="5" t="s">
        <v>3405</v>
      </c>
      <c r="C88" t="s">
        <v>62</v>
      </c>
      <c r="E88" t="s">
        <v>16</v>
      </c>
      <c r="F88" t="s">
        <v>17</v>
      </c>
      <c r="G88" t="s">
        <v>18</v>
      </c>
      <c r="I88">
        <v>36.214283000000002</v>
      </c>
      <c r="J88">
        <v>-93.079052000000004</v>
      </c>
      <c r="K88" t="s">
        <v>63</v>
      </c>
      <c r="L88" t="s">
        <v>61</v>
      </c>
      <c r="M88" t="s">
        <v>35</v>
      </c>
      <c r="N88" t="s">
        <v>64</v>
      </c>
      <c r="O88">
        <v>1392</v>
      </c>
      <c r="P88" t="s">
        <v>20</v>
      </c>
      <c r="Q88" t="s">
        <v>36</v>
      </c>
      <c r="R88" t="s">
        <v>37</v>
      </c>
      <c r="S88" s="9">
        <v>149943.26999999999</v>
      </c>
      <c r="T88" s="9">
        <v>97350.18</v>
      </c>
      <c r="U88" s="9">
        <v>58606.83</v>
      </c>
      <c r="V88" s="9">
        <v>23685.58</v>
      </c>
      <c r="W88">
        <v>21579</v>
      </c>
      <c r="X88" s="6">
        <v>81</v>
      </c>
      <c r="Y88" s="6">
        <v>472</v>
      </c>
      <c r="Z88" s="6">
        <v>144</v>
      </c>
      <c r="AA88" s="6">
        <v>616</v>
      </c>
      <c r="AB88" s="6">
        <v>12764</v>
      </c>
      <c r="AC88" s="6">
        <v>53237.64</v>
      </c>
      <c r="AD88" s="6">
        <v>52403.81</v>
      </c>
      <c r="AE88" s="6">
        <v>66001.64</v>
      </c>
      <c r="AF88" s="6">
        <v>0</v>
      </c>
      <c r="AG88" s="6">
        <v>66001.64</v>
      </c>
      <c r="AH88" s="10">
        <v>41831</v>
      </c>
      <c r="AI88" t="s">
        <v>1063</v>
      </c>
      <c r="AJ88" s="11" t="str">
        <f t="shared" si="4"/>
        <v>LINK</v>
      </c>
    </row>
    <row r="89" spans="2:36" s="5" customFormat="1" x14ac:dyDescent="0.25">
      <c r="B89" s="5" t="s">
        <v>3405</v>
      </c>
      <c r="C89" s="5" t="s">
        <v>586</v>
      </c>
      <c r="D89" s="5" t="s">
        <v>587</v>
      </c>
      <c r="E89" s="5" t="s">
        <v>16</v>
      </c>
      <c r="F89" s="5" t="s">
        <v>17</v>
      </c>
      <c r="G89" s="5" t="s">
        <v>18</v>
      </c>
      <c r="I89" s="5">
        <v>37.249865020000001</v>
      </c>
      <c r="J89" s="5">
        <v>-83.193920239999898</v>
      </c>
      <c r="K89" s="5" t="s">
        <v>588</v>
      </c>
      <c r="L89" s="5" t="s">
        <v>589</v>
      </c>
      <c r="M89" s="5" t="s">
        <v>517</v>
      </c>
      <c r="N89" s="5" t="s">
        <v>590</v>
      </c>
      <c r="O89" s="5">
        <v>42</v>
      </c>
      <c r="P89" s="5" t="s">
        <v>20</v>
      </c>
      <c r="Q89" s="5" t="s">
        <v>519</v>
      </c>
      <c r="R89" s="5" t="s">
        <v>37</v>
      </c>
      <c r="S89" s="4">
        <v>46258.55</v>
      </c>
      <c r="T89" s="4">
        <v>118939.09</v>
      </c>
      <c r="U89" s="4">
        <v>9698.41</v>
      </c>
      <c r="V89" s="4">
        <v>42853.88</v>
      </c>
      <c r="W89" s="5">
        <v>14149</v>
      </c>
      <c r="X89" s="3">
        <v>133</v>
      </c>
      <c r="Y89" s="3">
        <v>624</v>
      </c>
      <c r="Z89" s="3">
        <v>1401</v>
      </c>
      <c r="AA89" s="3">
        <v>2025</v>
      </c>
      <c r="AB89" s="3">
        <v>48976.38</v>
      </c>
      <c r="AC89" s="3">
        <v>165196.62</v>
      </c>
      <c r="AD89" s="3">
        <v>31654.32</v>
      </c>
      <c r="AE89" s="3">
        <v>214173</v>
      </c>
      <c r="AF89" s="3">
        <v>0</v>
      </c>
      <c r="AG89" s="3">
        <v>214173</v>
      </c>
      <c r="AH89" s="2">
        <v>42614</v>
      </c>
      <c r="AI89" s="5" t="s">
        <v>1135</v>
      </c>
      <c r="AJ89" s="1" t="str">
        <f t="shared" si="4"/>
        <v>LINK</v>
      </c>
    </row>
    <row r="90" spans="2:36" x14ac:dyDescent="0.25">
      <c r="C90" t="s">
        <v>218</v>
      </c>
      <c r="D90" t="s">
        <v>219</v>
      </c>
      <c r="E90" t="s">
        <v>16</v>
      </c>
      <c r="F90" t="s">
        <v>17</v>
      </c>
      <c r="G90" t="s">
        <v>18</v>
      </c>
      <c r="I90">
        <v>34.951738210000002</v>
      </c>
      <c r="J90">
        <v>-83.758305739999898</v>
      </c>
      <c r="K90" t="s">
        <v>220</v>
      </c>
      <c r="L90" t="s">
        <v>221</v>
      </c>
      <c r="M90" t="s">
        <v>120</v>
      </c>
      <c r="N90" t="s">
        <v>222</v>
      </c>
      <c r="O90">
        <v>3779</v>
      </c>
      <c r="P90" t="s">
        <v>20</v>
      </c>
      <c r="Q90" t="s">
        <v>127</v>
      </c>
      <c r="R90" t="s">
        <v>37</v>
      </c>
      <c r="S90" s="9">
        <v>8458.5</v>
      </c>
      <c r="T90" s="9">
        <v>197507.04</v>
      </c>
      <c r="U90" s="9">
        <v>5530.89</v>
      </c>
      <c r="V90" s="9">
        <v>53358.239999999998</v>
      </c>
      <c r="W90">
        <v>3026</v>
      </c>
      <c r="X90" s="6">
        <v>19</v>
      </c>
      <c r="Y90" s="6">
        <v>417</v>
      </c>
      <c r="Z90" s="6">
        <v>61</v>
      </c>
      <c r="AA90" s="6">
        <v>478</v>
      </c>
      <c r="AB90" s="6">
        <v>9336.66</v>
      </c>
      <c r="AC90" s="6">
        <v>23396.36</v>
      </c>
      <c r="AD90" s="6">
        <v>15434</v>
      </c>
      <c r="AE90" s="6">
        <v>32733.02</v>
      </c>
      <c r="AF90" s="6">
        <v>0</v>
      </c>
      <c r="AG90" s="6">
        <v>32733.02</v>
      </c>
      <c r="AH90" s="10">
        <v>43190</v>
      </c>
      <c r="AI90" t="s">
        <v>1086</v>
      </c>
      <c r="AJ90" s="11" t="str">
        <f t="shared" si="4"/>
        <v>LINK</v>
      </c>
    </row>
    <row r="91" spans="2:36" x14ac:dyDescent="0.25">
      <c r="C91" t="s">
        <v>102</v>
      </c>
      <c r="D91" t="s">
        <v>103</v>
      </c>
      <c r="E91" t="s">
        <v>16</v>
      </c>
      <c r="F91" t="s">
        <v>17</v>
      </c>
      <c r="G91" t="s">
        <v>18</v>
      </c>
      <c r="I91">
        <v>30.689733010000001</v>
      </c>
      <c r="J91">
        <v>-81.918661459999896</v>
      </c>
      <c r="K91" t="s">
        <v>104</v>
      </c>
      <c r="L91" t="s">
        <v>105</v>
      </c>
      <c r="M91" t="s">
        <v>81</v>
      </c>
      <c r="N91" t="s">
        <v>106</v>
      </c>
      <c r="O91">
        <v>2341</v>
      </c>
      <c r="P91" t="s">
        <v>20</v>
      </c>
      <c r="Q91" t="s">
        <v>82</v>
      </c>
      <c r="R91" t="s">
        <v>22</v>
      </c>
      <c r="S91" s="9">
        <v>15654.69</v>
      </c>
      <c r="T91" s="9">
        <v>25401.3</v>
      </c>
      <c r="U91" s="9">
        <v>20548.169999999998</v>
      </c>
      <c r="V91" s="9">
        <v>6312.98</v>
      </c>
      <c r="W91">
        <v>4360</v>
      </c>
      <c r="X91" s="6">
        <v>30</v>
      </c>
      <c r="Y91" s="6">
        <v>187</v>
      </c>
      <c r="Z91" s="6">
        <v>219</v>
      </c>
      <c r="AA91" s="6">
        <v>406</v>
      </c>
      <c r="AB91" s="6">
        <v>4530</v>
      </c>
      <c r="AC91" s="6">
        <v>18102.560000000001</v>
      </c>
      <c r="AD91" s="6">
        <v>0</v>
      </c>
      <c r="AE91" s="6">
        <v>22632.560000000001</v>
      </c>
      <c r="AF91" s="6">
        <v>0</v>
      </c>
      <c r="AG91" s="6">
        <v>22632.560000000001</v>
      </c>
      <c r="AH91" s="10">
        <v>42984</v>
      </c>
      <c r="AI91" t="s">
        <v>1070</v>
      </c>
      <c r="AJ91" s="11" t="str">
        <f t="shared" si="4"/>
        <v>LINK</v>
      </c>
    </row>
    <row r="92" spans="2:36" x14ac:dyDescent="0.25">
      <c r="C92" t="s">
        <v>735</v>
      </c>
      <c r="D92" t="s">
        <v>736</v>
      </c>
      <c r="E92" t="s">
        <v>16</v>
      </c>
      <c r="F92" t="s">
        <v>17</v>
      </c>
      <c r="G92" t="s">
        <v>18</v>
      </c>
      <c r="I92">
        <v>41.310006440000002</v>
      </c>
      <c r="J92">
        <v>-81.146041190000005</v>
      </c>
      <c r="K92" t="s">
        <v>737</v>
      </c>
      <c r="L92" t="s">
        <v>738</v>
      </c>
      <c r="M92" t="s">
        <v>675</v>
      </c>
      <c r="N92" t="s">
        <v>739</v>
      </c>
      <c r="O92">
        <v>2683</v>
      </c>
      <c r="P92" t="s">
        <v>20</v>
      </c>
      <c r="Q92" t="s">
        <v>676</v>
      </c>
      <c r="R92" t="s">
        <v>37</v>
      </c>
      <c r="S92" s="9">
        <v>23926.799999999999</v>
      </c>
      <c r="T92" s="9">
        <v>14889.72</v>
      </c>
      <c r="U92" s="9">
        <v>8424.15</v>
      </c>
      <c r="V92" s="9">
        <v>7045.41</v>
      </c>
      <c r="W92">
        <v>10605</v>
      </c>
      <c r="X92" s="6">
        <v>14</v>
      </c>
      <c r="Y92" s="6">
        <v>73</v>
      </c>
      <c r="Z92" s="6">
        <v>99</v>
      </c>
      <c r="AA92" s="6">
        <v>172</v>
      </c>
      <c r="AB92" s="6">
        <v>0</v>
      </c>
      <c r="AC92" s="6">
        <v>2907.5</v>
      </c>
      <c r="AD92" s="6">
        <v>20485.099999999999</v>
      </c>
      <c r="AE92" s="6">
        <v>2907.5</v>
      </c>
      <c r="AF92" s="6">
        <v>0</v>
      </c>
      <c r="AG92" s="6">
        <v>2907.5</v>
      </c>
      <c r="AH92" s="10"/>
      <c r="AI92" t="s">
        <v>1157</v>
      </c>
      <c r="AJ92" s="11" t="str">
        <f t="shared" ref="AJ92:AJ110" si="5">HYPERLINK(AI92,"LINK")</f>
        <v>LINK</v>
      </c>
    </row>
    <row r="93" spans="2:36" x14ac:dyDescent="0.25">
      <c r="C93" t="s">
        <v>411</v>
      </c>
      <c r="D93" t="s">
        <v>412</v>
      </c>
      <c r="E93" t="s">
        <v>16</v>
      </c>
      <c r="F93" t="s">
        <v>17</v>
      </c>
      <c r="G93" t="s">
        <v>18</v>
      </c>
      <c r="I93">
        <v>42.599216339999899</v>
      </c>
      <c r="J93">
        <v>-90.992189199999899</v>
      </c>
      <c r="K93" t="s">
        <v>413</v>
      </c>
      <c r="L93" t="s">
        <v>414</v>
      </c>
      <c r="M93" t="s">
        <v>328</v>
      </c>
      <c r="N93" t="s">
        <v>415</v>
      </c>
      <c r="O93">
        <v>930</v>
      </c>
      <c r="P93" t="s">
        <v>20</v>
      </c>
      <c r="Q93" t="s">
        <v>329</v>
      </c>
      <c r="R93" t="s">
        <v>22</v>
      </c>
      <c r="S93" s="9">
        <v>2042.35</v>
      </c>
      <c r="T93" s="9">
        <v>4283.42</v>
      </c>
      <c r="U93" s="9">
        <v>5775.07</v>
      </c>
      <c r="V93" s="9">
        <v>817.65</v>
      </c>
      <c r="W93">
        <v>2770</v>
      </c>
      <c r="X93" s="6">
        <v>6</v>
      </c>
      <c r="Y93" s="6">
        <v>42</v>
      </c>
      <c r="Z93" s="6">
        <v>68</v>
      </c>
      <c r="AA93" s="6">
        <v>110</v>
      </c>
      <c r="AB93" s="6">
        <v>0</v>
      </c>
      <c r="AC93" s="6">
        <v>239</v>
      </c>
      <c r="AD93" s="6">
        <v>0</v>
      </c>
      <c r="AE93" s="6">
        <v>239</v>
      </c>
      <c r="AF93" s="6">
        <v>0</v>
      </c>
      <c r="AG93" s="6">
        <v>239</v>
      </c>
      <c r="AH93" s="10"/>
      <c r="AI93" t="s">
        <v>1113</v>
      </c>
      <c r="AJ93" s="11" t="str">
        <f t="shared" si="5"/>
        <v>LINK</v>
      </c>
    </row>
    <row r="94" spans="2:36" s="5" customFormat="1" x14ac:dyDescent="0.25">
      <c r="B94" s="5" t="s">
        <v>3405</v>
      </c>
      <c r="C94" s="5" t="s">
        <v>745</v>
      </c>
      <c r="D94" s="5" t="s">
        <v>746</v>
      </c>
      <c r="E94" s="5" t="s">
        <v>16</v>
      </c>
      <c r="F94" s="5" t="s">
        <v>17</v>
      </c>
      <c r="G94" s="5" t="s">
        <v>18</v>
      </c>
      <c r="I94" s="5">
        <v>41.217063090000003</v>
      </c>
      <c r="J94" s="5">
        <v>-81.442508169999897</v>
      </c>
      <c r="K94" s="5" t="s">
        <v>747</v>
      </c>
      <c r="L94" s="5" t="s">
        <v>743</v>
      </c>
      <c r="M94" s="5" t="s">
        <v>675</v>
      </c>
      <c r="N94" s="5" t="s">
        <v>748</v>
      </c>
      <c r="O94" s="5">
        <v>2031</v>
      </c>
      <c r="P94" s="5" t="s">
        <v>20</v>
      </c>
      <c r="Q94" s="5" t="s">
        <v>676</v>
      </c>
      <c r="R94" s="5" t="s">
        <v>37</v>
      </c>
      <c r="S94" s="4">
        <v>10196.959999999999</v>
      </c>
      <c r="T94" s="4">
        <v>22058.62</v>
      </c>
      <c r="U94" s="4">
        <v>3969.1</v>
      </c>
      <c r="V94" s="4">
        <v>5551.47</v>
      </c>
      <c r="W94" s="5">
        <v>29978</v>
      </c>
      <c r="X94" s="3">
        <v>20</v>
      </c>
      <c r="Y94" s="3">
        <v>167</v>
      </c>
      <c r="Z94" s="3">
        <v>5</v>
      </c>
      <c r="AA94" s="3">
        <v>172</v>
      </c>
      <c r="AB94" s="3">
        <v>390</v>
      </c>
      <c r="AC94" s="3">
        <v>3113</v>
      </c>
      <c r="AD94" s="3">
        <v>481</v>
      </c>
      <c r="AE94" s="3">
        <v>3503</v>
      </c>
      <c r="AF94" s="3">
        <v>0</v>
      </c>
      <c r="AG94" s="3">
        <v>3503</v>
      </c>
      <c r="AH94" s="2"/>
      <c r="AI94" s="5" t="s">
        <v>1159</v>
      </c>
      <c r="AJ94" s="1" t="str">
        <f t="shared" si="5"/>
        <v>LINK</v>
      </c>
    </row>
    <row r="95" spans="2:36" s="5" customFormat="1" x14ac:dyDescent="0.25">
      <c r="B95" s="5" t="s">
        <v>3405</v>
      </c>
      <c r="C95" s="5" t="s">
        <v>740</v>
      </c>
      <c r="D95" s="5" t="s">
        <v>741</v>
      </c>
      <c r="E95" s="5" t="s">
        <v>16</v>
      </c>
      <c r="F95" s="5" t="s">
        <v>17</v>
      </c>
      <c r="G95" s="5" t="s">
        <v>18</v>
      </c>
      <c r="I95" s="5">
        <v>41.243414350000002</v>
      </c>
      <c r="J95" s="5">
        <v>-81.440034249999897</v>
      </c>
      <c r="K95" s="5" t="s">
        <v>742</v>
      </c>
      <c r="L95" s="5" t="s">
        <v>743</v>
      </c>
      <c r="M95" s="5" t="s">
        <v>675</v>
      </c>
      <c r="N95" s="5" t="s">
        <v>744</v>
      </c>
      <c r="O95" s="5">
        <v>3800</v>
      </c>
      <c r="P95" s="5" t="s">
        <v>20</v>
      </c>
      <c r="Q95" s="5" t="s">
        <v>676</v>
      </c>
      <c r="R95" s="5" t="s">
        <v>37</v>
      </c>
      <c r="S95" s="4">
        <v>151219.15</v>
      </c>
      <c r="T95" s="4">
        <v>292937.87</v>
      </c>
      <c r="U95" s="4">
        <v>42853.14</v>
      </c>
      <c r="V95" s="4">
        <v>87782.52</v>
      </c>
      <c r="W95" s="5">
        <v>18705</v>
      </c>
      <c r="X95" s="3">
        <v>170</v>
      </c>
      <c r="Y95" s="3">
        <v>486</v>
      </c>
      <c r="Z95" s="3">
        <v>241</v>
      </c>
      <c r="AA95" s="3">
        <v>727</v>
      </c>
      <c r="AB95" s="3">
        <v>119468.81</v>
      </c>
      <c r="AC95" s="3">
        <v>211677.8</v>
      </c>
      <c r="AD95" s="3">
        <v>26906.52</v>
      </c>
      <c r="AE95" s="3">
        <v>331146.61</v>
      </c>
      <c r="AF95" s="3">
        <v>0</v>
      </c>
      <c r="AG95" s="3">
        <v>331146.61</v>
      </c>
      <c r="AH95" s="2">
        <v>39417</v>
      </c>
      <c r="AI95" s="5" t="s">
        <v>1158</v>
      </c>
      <c r="AJ95" s="1" t="str">
        <f t="shared" si="5"/>
        <v>LINK</v>
      </c>
    </row>
    <row r="96" spans="2:36" x14ac:dyDescent="0.25">
      <c r="C96" t="s">
        <v>937</v>
      </c>
      <c r="D96" t="s">
        <v>938</v>
      </c>
      <c r="E96" t="s">
        <v>16</v>
      </c>
      <c r="F96" t="s">
        <v>17</v>
      </c>
      <c r="G96" t="s">
        <v>18</v>
      </c>
      <c r="I96">
        <v>30.811592310000002</v>
      </c>
      <c r="J96">
        <v>-95.259737709999897</v>
      </c>
      <c r="K96" t="s">
        <v>939</v>
      </c>
      <c r="L96" t="s">
        <v>940</v>
      </c>
      <c r="M96" t="s">
        <v>905</v>
      </c>
      <c r="N96" t="s">
        <v>941</v>
      </c>
      <c r="O96">
        <v>147</v>
      </c>
      <c r="P96" t="s">
        <v>20</v>
      </c>
      <c r="Q96" t="s">
        <v>921</v>
      </c>
      <c r="R96" t="s">
        <v>22</v>
      </c>
      <c r="S96" s="9">
        <v>13830.37</v>
      </c>
      <c r="T96" s="9">
        <v>14087.57</v>
      </c>
      <c r="U96" s="9">
        <v>3915.8</v>
      </c>
      <c r="V96" s="9">
        <v>2854.38</v>
      </c>
      <c r="W96">
        <v>5150</v>
      </c>
      <c r="X96" s="6">
        <v>9</v>
      </c>
      <c r="Y96" s="6">
        <v>105</v>
      </c>
      <c r="Z96" s="6">
        <v>0</v>
      </c>
      <c r="AA96" s="6">
        <v>105</v>
      </c>
      <c r="AB96" s="6">
        <v>1280</v>
      </c>
      <c r="AC96" s="6">
        <v>2372</v>
      </c>
      <c r="AD96" s="6">
        <v>0</v>
      </c>
      <c r="AE96" s="6">
        <v>3652</v>
      </c>
      <c r="AF96" s="6">
        <v>0</v>
      </c>
      <c r="AG96" s="6">
        <v>3652</v>
      </c>
      <c r="AH96" s="10"/>
      <c r="AJ96" s="11" t="str">
        <f t="shared" si="5"/>
        <v>LINK</v>
      </c>
    </row>
    <row r="97" spans="2:36" x14ac:dyDescent="0.25">
      <c r="C97" t="s">
        <v>223</v>
      </c>
      <c r="D97" t="s">
        <v>224</v>
      </c>
      <c r="E97" t="s">
        <v>16</v>
      </c>
      <c r="F97" t="s">
        <v>17</v>
      </c>
      <c r="G97" t="s">
        <v>18</v>
      </c>
      <c r="I97">
        <v>32.8202546099999</v>
      </c>
      <c r="J97">
        <v>-83.167825629999896</v>
      </c>
      <c r="K97" t="s">
        <v>225</v>
      </c>
      <c r="L97" t="s">
        <v>226</v>
      </c>
      <c r="M97" t="s">
        <v>120</v>
      </c>
      <c r="N97" t="s">
        <v>227</v>
      </c>
      <c r="O97">
        <v>130</v>
      </c>
      <c r="P97" t="s">
        <v>20</v>
      </c>
      <c r="Q97" t="s">
        <v>217</v>
      </c>
      <c r="R97" t="s">
        <v>22</v>
      </c>
      <c r="S97" s="9">
        <v>18589.07</v>
      </c>
      <c r="T97" s="9">
        <v>33935.07</v>
      </c>
      <c r="U97" s="9">
        <v>4431.32</v>
      </c>
      <c r="V97" s="9">
        <v>11287.95</v>
      </c>
      <c r="W97">
        <v>5856</v>
      </c>
      <c r="X97" s="6">
        <v>26</v>
      </c>
      <c r="Y97" s="6">
        <v>346</v>
      </c>
      <c r="Z97" s="6">
        <v>54</v>
      </c>
      <c r="AA97" s="6">
        <v>400</v>
      </c>
      <c r="AB97" s="6">
        <v>6307</v>
      </c>
      <c r="AC97" s="6">
        <v>8154.3</v>
      </c>
      <c r="AD97" s="6">
        <v>23953.19</v>
      </c>
      <c r="AE97" s="6">
        <v>14461.3</v>
      </c>
      <c r="AF97" s="6">
        <v>0</v>
      </c>
      <c r="AG97" s="6">
        <v>14461.3</v>
      </c>
      <c r="AH97" s="10">
        <v>43282</v>
      </c>
      <c r="AI97" t="s">
        <v>1087</v>
      </c>
      <c r="AJ97" s="11" t="str">
        <f t="shared" si="5"/>
        <v>LINK</v>
      </c>
    </row>
    <row r="98" spans="2:36" x14ac:dyDescent="0.25">
      <c r="C98" t="s">
        <v>228</v>
      </c>
      <c r="D98" t="s">
        <v>229</v>
      </c>
      <c r="E98" t="s">
        <v>16</v>
      </c>
      <c r="F98" t="s">
        <v>17</v>
      </c>
      <c r="G98" t="s">
        <v>18</v>
      </c>
      <c r="I98">
        <v>34.468178790000003</v>
      </c>
      <c r="J98">
        <v>-84.431445010000004</v>
      </c>
      <c r="K98" t="s">
        <v>230</v>
      </c>
      <c r="L98" t="s">
        <v>107</v>
      </c>
      <c r="M98" t="s">
        <v>120</v>
      </c>
      <c r="N98" t="s">
        <v>231</v>
      </c>
      <c r="O98">
        <v>215</v>
      </c>
      <c r="P98" t="s">
        <v>20</v>
      </c>
      <c r="Q98" t="s">
        <v>121</v>
      </c>
      <c r="R98" t="s">
        <v>37</v>
      </c>
      <c r="S98" s="9">
        <v>23841.25</v>
      </c>
      <c r="T98" s="9">
        <v>37315.919999999998</v>
      </c>
      <c r="U98" s="9">
        <v>5449.75</v>
      </c>
      <c r="V98" s="9">
        <v>12081.5</v>
      </c>
      <c r="W98">
        <v>3452</v>
      </c>
      <c r="X98" s="6">
        <v>22</v>
      </c>
      <c r="Y98" s="6">
        <v>342</v>
      </c>
      <c r="Z98" s="6">
        <v>368</v>
      </c>
      <c r="AA98" s="6">
        <v>710</v>
      </c>
      <c r="AB98" s="6">
        <v>26282.12</v>
      </c>
      <c r="AC98" s="6">
        <v>57572.76</v>
      </c>
      <c r="AD98" s="6">
        <v>31373.49</v>
      </c>
      <c r="AE98" s="6">
        <v>83854.880000000005</v>
      </c>
      <c r="AF98" s="6">
        <v>0</v>
      </c>
      <c r="AG98" s="6">
        <v>83854.880000000005</v>
      </c>
      <c r="AH98" s="10"/>
      <c r="AI98" t="s">
        <v>1088</v>
      </c>
      <c r="AJ98" s="11" t="str">
        <f t="shared" si="5"/>
        <v>LINK</v>
      </c>
    </row>
    <row r="99" spans="2:36" x14ac:dyDescent="0.25">
      <c r="C99" t="s">
        <v>1202</v>
      </c>
      <c r="E99" t="s">
        <v>16</v>
      </c>
      <c r="F99" t="s">
        <v>17</v>
      </c>
      <c r="G99" t="s">
        <v>18</v>
      </c>
      <c r="I99">
        <v>42.478421320000002</v>
      </c>
      <c r="J99">
        <v>-94.718465559999899</v>
      </c>
      <c r="K99" t="s">
        <v>416</v>
      </c>
      <c r="L99" t="s">
        <v>417</v>
      </c>
      <c r="M99" t="s">
        <v>328</v>
      </c>
      <c r="N99" t="s">
        <v>418</v>
      </c>
      <c r="O99">
        <v>1688</v>
      </c>
      <c r="P99" t="s">
        <v>20</v>
      </c>
      <c r="Q99" t="s">
        <v>329</v>
      </c>
      <c r="R99" t="s">
        <v>22</v>
      </c>
      <c r="S99" s="9">
        <v>0</v>
      </c>
      <c r="T99" s="9">
        <v>0</v>
      </c>
      <c r="U99" s="9">
        <v>0</v>
      </c>
      <c r="V99" s="9">
        <v>0</v>
      </c>
      <c r="W99">
        <v>10084</v>
      </c>
      <c r="X99" s="6">
        <v>3</v>
      </c>
      <c r="Y99" s="6">
        <v>23</v>
      </c>
      <c r="Z99" s="6">
        <v>0</v>
      </c>
      <c r="AA99" s="6">
        <v>23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10"/>
      <c r="AJ99" s="11" t="str">
        <f t="shared" si="5"/>
        <v>LINK</v>
      </c>
    </row>
    <row r="100" spans="2:36" x14ac:dyDescent="0.25">
      <c r="C100" t="s">
        <v>749</v>
      </c>
      <c r="D100" t="s">
        <v>750</v>
      </c>
      <c r="E100" t="s">
        <v>16</v>
      </c>
      <c r="F100" t="s">
        <v>17</v>
      </c>
      <c r="G100" t="s">
        <v>18</v>
      </c>
      <c r="I100">
        <v>40.647896369999899</v>
      </c>
      <c r="J100">
        <v>-83.610298659999899</v>
      </c>
      <c r="K100" t="s">
        <v>751</v>
      </c>
      <c r="L100" t="s">
        <v>752</v>
      </c>
      <c r="M100" t="s">
        <v>675</v>
      </c>
      <c r="N100" t="s">
        <v>753</v>
      </c>
      <c r="O100">
        <v>2686</v>
      </c>
      <c r="P100" t="s">
        <v>20</v>
      </c>
      <c r="Q100" t="s">
        <v>697</v>
      </c>
      <c r="R100" t="s">
        <v>22</v>
      </c>
      <c r="S100" s="9">
        <v>33005.9</v>
      </c>
      <c r="T100" s="9">
        <v>45165.06</v>
      </c>
      <c r="U100" s="9">
        <v>12605.5</v>
      </c>
      <c r="V100" s="9">
        <v>13894.25</v>
      </c>
      <c r="W100">
        <v>9800</v>
      </c>
      <c r="X100" s="6">
        <v>30</v>
      </c>
      <c r="Y100" s="6">
        <v>473</v>
      </c>
      <c r="Z100" s="6">
        <v>557</v>
      </c>
      <c r="AA100" s="6">
        <v>1030</v>
      </c>
      <c r="AB100" s="6">
        <v>2452.58</v>
      </c>
      <c r="AC100" s="6">
        <v>27447.49</v>
      </c>
      <c r="AD100" s="6">
        <v>2556</v>
      </c>
      <c r="AE100" s="6">
        <v>29900.07</v>
      </c>
      <c r="AF100" s="6">
        <v>0</v>
      </c>
      <c r="AG100" s="6">
        <v>29900.07</v>
      </c>
      <c r="AH100" s="10"/>
      <c r="AI100" t="s">
        <v>1032</v>
      </c>
      <c r="AJ100" s="11" t="str">
        <f t="shared" si="5"/>
        <v>LINK</v>
      </c>
    </row>
    <row r="101" spans="2:36" x14ac:dyDescent="0.25">
      <c r="B101" s="5" t="s">
        <v>3405</v>
      </c>
      <c r="C101" t="s">
        <v>943</v>
      </c>
      <c r="D101" t="s">
        <v>944</v>
      </c>
      <c r="E101" t="s">
        <v>16</v>
      </c>
      <c r="F101" t="s">
        <v>17</v>
      </c>
      <c r="G101" t="s">
        <v>18</v>
      </c>
      <c r="I101">
        <v>30.045347589999899</v>
      </c>
      <c r="J101">
        <v>-99.13997664</v>
      </c>
      <c r="K101" t="s">
        <v>945</v>
      </c>
      <c r="L101" t="s">
        <v>942</v>
      </c>
      <c r="M101" t="s">
        <v>905</v>
      </c>
      <c r="N101" t="s">
        <v>946</v>
      </c>
      <c r="O101">
        <v>2899</v>
      </c>
      <c r="P101" t="s">
        <v>20</v>
      </c>
      <c r="Q101" t="s">
        <v>912</v>
      </c>
      <c r="R101" t="s">
        <v>37</v>
      </c>
      <c r="S101" s="9">
        <v>44982.18</v>
      </c>
      <c r="T101" s="9">
        <v>68041.94</v>
      </c>
      <c r="U101" s="9">
        <v>10368.24</v>
      </c>
      <c r="V101" s="9">
        <v>23709.360000000001</v>
      </c>
      <c r="W101">
        <v>24782</v>
      </c>
      <c r="X101" s="6">
        <v>144</v>
      </c>
      <c r="Y101" s="6">
        <v>720</v>
      </c>
      <c r="Z101" s="6">
        <v>787</v>
      </c>
      <c r="AA101" s="6">
        <v>1507</v>
      </c>
      <c r="AB101" s="6">
        <v>13942.9</v>
      </c>
      <c r="AC101" s="6">
        <v>48060.79</v>
      </c>
      <c r="AD101" s="6">
        <v>4423</v>
      </c>
      <c r="AE101" s="6">
        <v>62003.69</v>
      </c>
      <c r="AF101" s="6">
        <v>0</v>
      </c>
      <c r="AG101" s="6">
        <v>62003.69</v>
      </c>
      <c r="AH101" s="10">
        <v>39507</v>
      </c>
      <c r="AI101" t="s">
        <v>1178</v>
      </c>
      <c r="AJ101" s="11" t="str">
        <f t="shared" si="5"/>
        <v>LINK</v>
      </c>
    </row>
    <row r="102" spans="2:36" x14ac:dyDescent="0.25">
      <c r="C102" t="s">
        <v>754</v>
      </c>
      <c r="D102" t="s">
        <v>755</v>
      </c>
      <c r="E102" t="s">
        <v>16</v>
      </c>
      <c r="F102" t="s">
        <v>17</v>
      </c>
      <c r="G102" t="s">
        <v>18</v>
      </c>
      <c r="I102">
        <v>41.889403280000003</v>
      </c>
      <c r="J102">
        <v>-80.67476628</v>
      </c>
      <c r="K102" t="s">
        <v>756</v>
      </c>
      <c r="L102" t="s">
        <v>757</v>
      </c>
      <c r="M102" t="s">
        <v>675</v>
      </c>
      <c r="N102" t="s">
        <v>758</v>
      </c>
      <c r="O102">
        <v>230</v>
      </c>
      <c r="P102" t="s">
        <v>20</v>
      </c>
      <c r="Q102" t="s">
        <v>676</v>
      </c>
      <c r="R102" t="s">
        <v>22</v>
      </c>
      <c r="S102" s="9">
        <v>24970.34</v>
      </c>
      <c r="T102" s="9">
        <v>22819.040000000001</v>
      </c>
      <c r="U102" s="9">
        <v>5858.07</v>
      </c>
      <c r="V102" s="9">
        <v>7930.35</v>
      </c>
      <c r="W102">
        <v>3232</v>
      </c>
      <c r="X102" s="6">
        <v>23</v>
      </c>
      <c r="Y102" s="6">
        <v>132</v>
      </c>
      <c r="Z102" s="6">
        <v>336</v>
      </c>
      <c r="AA102" s="6">
        <v>468</v>
      </c>
      <c r="AB102" s="6">
        <v>950</v>
      </c>
      <c r="AC102" s="6">
        <v>18922.46</v>
      </c>
      <c r="AD102" s="6">
        <v>0</v>
      </c>
      <c r="AE102" s="6">
        <v>19872.46</v>
      </c>
      <c r="AF102" s="6">
        <v>0</v>
      </c>
      <c r="AG102" s="6">
        <v>19872.46</v>
      </c>
      <c r="AH102" s="10"/>
      <c r="AI102" t="s">
        <v>1160</v>
      </c>
      <c r="AJ102" s="11" t="str">
        <f t="shared" si="5"/>
        <v>LINK</v>
      </c>
    </row>
    <row r="103" spans="2:36" x14ac:dyDescent="0.25">
      <c r="C103" t="s">
        <v>1203</v>
      </c>
      <c r="E103" t="s">
        <v>16</v>
      </c>
      <c r="F103" t="s">
        <v>17</v>
      </c>
      <c r="G103" t="s">
        <v>18</v>
      </c>
      <c r="I103">
        <v>41.34934878</v>
      </c>
      <c r="J103">
        <v>-93.025588139999897</v>
      </c>
      <c r="K103" t="s">
        <v>419</v>
      </c>
      <c r="L103" t="s">
        <v>420</v>
      </c>
      <c r="M103" t="s">
        <v>328</v>
      </c>
      <c r="N103" t="s">
        <v>421</v>
      </c>
      <c r="O103">
        <v>3871</v>
      </c>
      <c r="P103" t="s">
        <v>20</v>
      </c>
      <c r="Q103" t="s">
        <v>329</v>
      </c>
      <c r="R103" t="s">
        <v>22</v>
      </c>
      <c r="S103" s="9">
        <v>0</v>
      </c>
      <c r="T103" s="9">
        <v>0</v>
      </c>
      <c r="U103" s="9">
        <v>0</v>
      </c>
      <c r="V103" s="9">
        <v>0</v>
      </c>
      <c r="W103">
        <v>10084</v>
      </c>
      <c r="X103" s="6">
        <v>5</v>
      </c>
      <c r="Y103" s="6">
        <v>30</v>
      </c>
      <c r="Z103" s="6">
        <v>75</v>
      </c>
      <c r="AA103" s="6">
        <v>105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10">
        <v>32577</v>
      </c>
      <c r="AJ103" s="11" t="str">
        <f t="shared" si="5"/>
        <v>LINK</v>
      </c>
    </row>
    <row r="104" spans="2:36" x14ac:dyDescent="0.25">
      <c r="C104" t="s">
        <v>2391</v>
      </c>
      <c r="D104" t="s">
        <v>427</v>
      </c>
      <c r="E104" t="s">
        <v>16</v>
      </c>
      <c r="F104" t="s">
        <v>17</v>
      </c>
      <c r="G104" t="s">
        <v>18</v>
      </c>
      <c r="H104" t="s">
        <v>25</v>
      </c>
      <c r="I104">
        <v>41.320268200000001</v>
      </c>
      <c r="J104">
        <v>-93.06150375</v>
      </c>
      <c r="K104" t="s">
        <v>428</v>
      </c>
      <c r="L104" t="s">
        <v>425</v>
      </c>
      <c r="M104" t="s">
        <v>328</v>
      </c>
      <c r="N104" t="s">
        <v>429</v>
      </c>
      <c r="O104">
        <v>3302</v>
      </c>
      <c r="P104" t="s">
        <v>20</v>
      </c>
      <c r="Q104" t="s">
        <v>329</v>
      </c>
      <c r="R104" t="s">
        <v>22</v>
      </c>
      <c r="S104" s="9">
        <v>0</v>
      </c>
      <c r="T104" s="9">
        <v>0</v>
      </c>
      <c r="U104" s="9">
        <v>0</v>
      </c>
      <c r="V104" s="9">
        <v>0</v>
      </c>
      <c r="W104">
        <v>10084</v>
      </c>
      <c r="X104" s="6">
        <v>5</v>
      </c>
      <c r="Y104" s="6">
        <v>330</v>
      </c>
      <c r="Z104" s="6">
        <v>0</v>
      </c>
      <c r="AA104" s="6">
        <v>330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10">
        <v>42339</v>
      </c>
      <c r="AJ104" s="11" t="str">
        <f t="shared" si="5"/>
        <v>LINK</v>
      </c>
    </row>
    <row r="105" spans="2:36" x14ac:dyDescent="0.25">
      <c r="C105" t="s">
        <v>422</v>
      </c>
      <c r="D105" t="s">
        <v>423</v>
      </c>
      <c r="E105" t="s">
        <v>16</v>
      </c>
      <c r="F105" t="s">
        <v>17</v>
      </c>
      <c r="G105" t="s">
        <v>18</v>
      </c>
      <c r="I105">
        <v>41.319551429999898</v>
      </c>
      <c r="J105">
        <v>-93.0983319999999</v>
      </c>
      <c r="K105" t="s">
        <v>424</v>
      </c>
      <c r="L105" t="s">
        <v>425</v>
      </c>
      <c r="M105" t="s">
        <v>328</v>
      </c>
      <c r="N105" t="s">
        <v>426</v>
      </c>
      <c r="O105">
        <v>1692</v>
      </c>
      <c r="P105" t="s">
        <v>20</v>
      </c>
      <c r="Q105" t="s">
        <v>329</v>
      </c>
      <c r="R105" t="s">
        <v>22</v>
      </c>
      <c r="S105" s="9">
        <v>48014.92</v>
      </c>
      <c r="T105" s="9">
        <v>70867.03</v>
      </c>
      <c r="U105" s="9">
        <v>28948.12</v>
      </c>
      <c r="V105" s="9">
        <v>18976.16</v>
      </c>
      <c r="W105">
        <v>5078</v>
      </c>
      <c r="X105" s="6">
        <v>79</v>
      </c>
      <c r="Y105" s="6">
        <v>257</v>
      </c>
      <c r="Z105" s="6">
        <v>1771</v>
      </c>
      <c r="AA105" s="6">
        <v>2028</v>
      </c>
      <c r="AB105" s="6">
        <v>10278.290000000001</v>
      </c>
      <c r="AC105" s="6">
        <v>102182.83</v>
      </c>
      <c r="AD105" s="6">
        <v>70229.19</v>
      </c>
      <c r="AE105" s="6">
        <v>112461.12</v>
      </c>
      <c r="AF105" s="6">
        <v>289.82</v>
      </c>
      <c r="AG105" s="6">
        <v>112750.94</v>
      </c>
      <c r="AH105" s="10"/>
      <c r="AI105" t="s">
        <v>1114</v>
      </c>
      <c r="AJ105" s="11" t="str">
        <f t="shared" si="5"/>
        <v>LINK</v>
      </c>
    </row>
    <row r="106" spans="2:36" x14ac:dyDescent="0.25">
      <c r="C106" t="s">
        <v>232</v>
      </c>
      <c r="D106" t="s">
        <v>233</v>
      </c>
      <c r="E106" t="s">
        <v>16</v>
      </c>
      <c r="F106" t="s">
        <v>17</v>
      </c>
      <c r="G106" t="s">
        <v>18</v>
      </c>
      <c r="I106">
        <v>34.706652550000001</v>
      </c>
      <c r="J106">
        <v>-85.282740489999895</v>
      </c>
      <c r="K106" t="s">
        <v>234</v>
      </c>
      <c r="L106" t="s">
        <v>235</v>
      </c>
      <c r="M106" t="s">
        <v>120</v>
      </c>
      <c r="N106" t="s">
        <v>236</v>
      </c>
      <c r="O106">
        <v>90</v>
      </c>
      <c r="P106" t="s">
        <v>20</v>
      </c>
      <c r="Q106" t="s">
        <v>50</v>
      </c>
      <c r="R106" t="s">
        <v>22</v>
      </c>
      <c r="S106" s="9">
        <v>8126.5</v>
      </c>
      <c r="T106" s="9">
        <v>44077.75</v>
      </c>
      <c r="U106" s="9">
        <v>6047.73</v>
      </c>
      <c r="V106" s="9">
        <v>14601.2</v>
      </c>
      <c r="W106">
        <v>8000</v>
      </c>
      <c r="X106" s="6">
        <v>37</v>
      </c>
      <c r="Y106" s="6">
        <v>412</v>
      </c>
      <c r="Z106" s="6">
        <v>932</v>
      </c>
      <c r="AA106" s="6">
        <v>1344</v>
      </c>
      <c r="AB106" s="6">
        <v>12199.8</v>
      </c>
      <c r="AC106" s="6">
        <v>20136.36</v>
      </c>
      <c r="AD106" s="6">
        <v>22480.52</v>
      </c>
      <c r="AE106" s="6">
        <v>32336.16</v>
      </c>
      <c r="AF106" s="6">
        <v>0</v>
      </c>
      <c r="AG106" s="6">
        <v>32336.16</v>
      </c>
      <c r="AH106" s="10">
        <v>42881</v>
      </c>
      <c r="AI106" t="s">
        <v>1089</v>
      </c>
      <c r="AJ106" s="11" t="str">
        <f t="shared" si="5"/>
        <v>LINK</v>
      </c>
    </row>
    <row r="107" spans="2:36" x14ac:dyDescent="0.25">
      <c r="C107" t="s">
        <v>759</v>
      </c>
      <c r="D107" t="s">
        <v>760</v>
      </c>
      <c r="E107" t="s">
        <v>16</v>
      </c>
      <c r="F107" t="s">
        <v>17</v>
      </c>
      <c r="G107" t="s">
        <v>18</v>
      </c>
      <c r="I107">
        <v>41.3125910199999</v>
      </c>
      <c r="J107">
        <v>-82.1173181099999</v>
      </c>
      <c r="K107" t="s">
        <v>761</v>
      </c>
      <c r="L107" t="s">
        <v>762</v>
      </c>
      <c r="M107" t="s">
        <v>675</v>
      </c>
      <c r="N107" t="s">
        <v>763</v>
      </c>
      <c r="O107">
        <v>2033</v>
      </c>
      <c r="P107" t="s">
        <v>20</v>
      </c>
      <c r="Q107" t="s">
        <v>697</v>
      </c>
      <c r="R107" t="s">
        <v>37</v>
      </c>
      <c r="S107" s="9">
        <v>20092.07</v>
      </c>
      <c r="T107" s="9">
        <v>14642.24</v>
      </c>
      <c r="U107" s="9">
        <v>12985.54</v>
      </c>
      <c r="V107" s="9">
        <v>7908.44</v>
      </c>
      <c r="W107">
        <v>3015</v>
      </c>
      <c r="X107" s="6">
        <v>16</v>
      </c>
      <c r="Y107" s="6">
        <v>128</v>
      </c>
      <c r="Z107" s="6">
        <v>266</v>
      </c>
      <c r="AA107" s="6">
        <v>394</v>
      </c>
      <c r="AB107" s="6">
        <v>1248</v>
      </c>
      <c r="AC107" s="6">
        <v>1951.9</v>
      </c>
      <c r="AD107" s="6">
        <v>1908</v>
      </c>
      <c r="AE107" s="6">
        <v>3199.9</v>
      </c>
      <c r="AF107" s="6">
        <v>0</v>
      </c>
      <c r="AG107" s="6">
        <v>3199.9</v>
      </c>
      <c r="AH107" s="10"/>
      <c r="AI107" t="s">
        <v>1161</v>
      </c>
      <c r="AJ107" s="11" t="str">
        <f t="shared" si="5"/>
        <v>LINK</v>
      </c>
    </row>
    <row r="108" spans="2:36" x14ac:dyDescent="0.25">
      <c r="C108" t="s">
        <v>430</v>
      </c>
      <c r="D108" t="s">
        <v>431</v>
      </c>
      <c r="E108" t="s">
        <v>16</v>
      </c>
      <c r="F108" t="s">
        <v>17</v>
      </c>
      <c r="G108" t="s">
        <v>18</v>
      </c>
      <c r="I108">
        <v>42.26849988</v>
      </c>
      <c r="J108">
        <v>-94.733615580000006</v>
      </c>
      <c r="K108" t="s">
        <v>432</v>
      </c>
      <c r="L108" t="s">
        <v>108</v>
      </c>
      <c r="M108" t="s">
        <v>328</v>
      </c>
      <c r="N108" t="s">
        <v>433</v>
      </c>
      <c r="O108">
        <v>1695</v>
      </c>
      <c r="P108" t="s">
        <v>20</v>
      </c>
      <c r="Q108" t="s">
        <v>329</v>
      </c>
      <c r="R108" t="s">
        <v>22</v>
      </c>
      <c r="S108" s="9">
        <v>8236.41</v>
      </c>
      <c r="T108" s="9">
        <v>4614.96</v>
      </c>
      <c r="U108" s="9">
        <v>994.75</v>
      </c>
      <c r="V108" s="9">
        <v>2124.35</v>
      </c>
      <c r="W108">
        <v>5368</v>
      </c>
      <c r="X108" s="6">
        <v>9</v>
      </c>
      <c r="Y108" s="6">
        <v>263</v>
      </c>
      <c r="Z108" s="6">
        <v>0</v>
      </c>
      <c r="AA108" s="6">
        <v>263</v>
      </c>
      <c r="AB108" s="6">
        <v>0</v>
      </c>
      <c r="AC108" s="6">
        <v>665</v>
      </c>
      <c r="AD108" s="6">
        <v>0</v>
      </c>
      <c r="AE108" s="6">
        <v>665</v>
      </c>
      <c r="AF108" s="6">
        <v>0</v>
      </c>
      <c r="AG108" s="6">
        <v>665</v>
      </c>
      <c r="AH108" s="10"/>
      <c r="AI108" t="s">
        <v>1017</v>
      </c>
      <c r="AJ108" s="11" t="str">
        <f t="shared" si="5"/>
        <v>LINK</v>
      </c>
    </row>
    <row r="109" spans="2:36" x14ac:dyDescent="0.25">
      <c r="C109" t="s">
        <v>947</v>
      </c>
      <c r="D109" t="s">
        <v>948</v>
      </c>
      <c r="E109" t="s">
        <v>16</v>
      </c>
      <c r="F109" t="s">
        <v>17</v>
      </c>
      <c r="G109" t="s">
        <v>18</v>
      </c>
      <c r="I109">
        <v>32.732097170000003</v>
      </c>
      <c r="J109">
        <v>-101.9508835</v>
      </c>
      <c r="K109" t="s">
        <v>949</v>
      </c>
      <c r="L109" t="s">
        <v>950</v>
      </c>
      <c r="M109" t="s">
        <v>905</v>
      </c>
      <c r="N109">
        <v>5545001</v>
      </c>
      <c r="O109">
        <v>2901</v>
      </c>
      <c r="P109" t="s">
        <v>20</v>
      </c>
      <c r="Q109" t="s">
        <v>840</v>
      </c>
      <c r="R109" t="s">
        <v>22</v>
      </c>
      <c r="S109" s="9">
        <v>39426.36</v>
      </c>
      <c r="T109" s="9">
        <v>18692.21</v>
      </c>
      <c r="U109" s="9">
        <v>10536.25</v>
      </c>
      <c r="V109" s="9">
        <v>4520.5</v>
      </c>
      <c r="W109">
        <v>9638</v>
      </c>
      <c r="X109" s="6">
        <v>20</v>
      </c>
      <c r="Y109" s="6">
        <v>338</v>
      </c>
      <c r="Z109" s="6">
        <v>1236</v>
      </c>
      <c r="AA109" s="6">
        <v>1574</v>
      </c>
      <c r="AB109" s="6">
        <v>4010.3</v>
      </c>
      <c r="AC109" s="6">
        <v>16677.77</v>
      </c>
      <c r="AD109" s="6">
        <v>14318.9</v>
      </c>
      <c r="AE109" s="6">
        <v>20688.07</v>
      </c>
      <c r="AF109" s="6">
        <v>0</v>
      </c>
      <c r="AG109" s="6">
        <v>20688.07</v>
      </c>
      <c r="AH109" s="10"/>
      <c r="AI109" t="s">
        <v>1179</v>
      </c>
      <c r="AJ109" s="11" t="str">
        <f t="shared" si="5"/>
        <v>LINK</v>
      </c>
    </row>
    <row r="110" spans="2:36" x14ac:dyDescent="0.25">
      <c r="C110" t="s">
        <v>237</v>
      </c>
      <c r="D110" t="s">
        <v>238</v>
      </c>
      <c r="E110" t="s">
        <v>16</v>
      </c>
      <c r="F110" t="s">
        <v>17</v>
      </c>
      <c r="G110" t="s">
        <v>18</v>
      </c>
      <c r="I110">
        <v>34.435933560000002</v>
      </c>
      <c r="J110">
        <v>-83.104404579999894</v>
      </c>
      <c r="K110" t="s">
        <v>239</v>
      </c>
      <c r="L110" t="s">
        <v>240</v>
      </c>
      <c r="M110" t="s">
        <v>120</v>
      </c>
      <c r="N110" t="s">
        <v>241</v>
      </c>
      <c r="O110">
        <v>176</v>
      </c>
      <c r="P110" t="s">
        <v>20</v>
      </c>
      <c r="Q110" t="s">
        <v>121</v>
      </c>
      <c r="R110" t="s">
        <v>37</v>
      </c>
      <c r="S110" s="9">
        <v>8551.02</v>
      </c>
      <c r="T110" s="9">
        <v>46309.46</v>
      </c>
      <c r="U110" s="9">
        <v>2477.5</v>
      </c>
      <c r="V110" s="9">
        <v>15351.82</v>
      </c>
      <c r="W110">
        <v>4750</v>
      </c>
      <c r="X110" s="6">
        <v>42</v>
      </c>
      <c r="Y110" s="6">
        <v>541</v>
      </c>
      <c r="Z110" s="6">
        <v>301</v>
      </c>
      <c r="AA110" s="6">
        <v>842</v>
      </c>
      <c r="AB110" s="6">
        <v>13414.94</v>
      </c>
      <c r="AC110" s="6">
        <v>35689.730000000003</v>
      </c>
      <c r="AD110" s="6">
        <v>39576.99</v>
      </c>
      <c r="AE110" s="6">
        <v>49104.67</v>
      </c>
      <c r="AF110" s="6">
        <v>0</v>
      </c>
      <c r="AG110" s="6">
        <v>49104.67</v>
      </c>
      <c r="AH110" s="10"/>
      <c r="AI110" t="s">
        <v>1090</v>
      </c>
      <c r="AJ110" s="11" t="str">
        <f t="shared" si="5"/>
        <v>LINK</v>
      </c>
    </row>
    <row r="111" spans="2:36" x14ac:dyDescent="0.25">
      <c r="C111" t="s">
        <v>23</v>
      </c>
      <c r="D111" t="s">
        <v>24</v>
      </c>
      <c r="E111" t="s">
        <v>16</v>
      </c>
      <c r="F111" t="s">
        <v>17</v>
      </c>
      <c r="G111" t="s">
        <v>18</v>
      </c>
      <c r="H111" t="s">
        <v>25</v>
      </c>
      <c r="I111">
        <v>33.543727060000002</v>
      </c>
      <c r="J111">
        <v>-86.544395210000005</v>
      </c>
      <c r="K111" t="s">
        <v>26</v>
      </c>
      <c r="L111" t="s">
        <v>27</v>
      </c>
      <c r="M111" t="s">
        <v>19</v>
      </c>
      <c r="N111" t="s">
        <v>28</v>
      </c>
      <c r="O111">
        <v>116</v>
      </c>
      <c r="P111" t="s">
        <v>20</v>
      </c>
      <c r="Q111" t="s">
        <v>21</v>
      </c>
      <c r="R111" t="s">
        <v>22</v>
      </c>
      <c r="S111" s="9">
        <v>35776.629999999997</v>
      </c>
      <c r="T111" s="9">
        <v>56918.13</v>
      </c>
      <c r="U111" s="9">
        <v>11967.58</v>
      </c>
      <c r="V111" s="9">
        <v>18809.400000000001</v>
      </c>
      <c r="W111">
        <v>6445</v>
      </c>
      <c r="X111" s="6">
        <v>27</v>
      </c>
      <c r="Y111" s="6">
        <v>295</v>
      </c>
      <c r="Z111" s="6">
        <v>984</v>
      </c>
      <c r="AA111" s="6">
        <v>1279</v>
      </c>
      <c r="AB111" s="6">
        <v>11233.8</v>
      </c>
      <c r="AC111" s="6">
        <v>19443.02</v>
      </c>
      <c r="AD111" s="6">
        <v>24308.33</v>
      </c>
      <c r="AE111" s="6">
        <v>30676.82</v>
      </c>
      <c r="AF111" s="6">
        <v>0</v>
      </c>
      <c r="AG111" s="6">
        <v>30676.82</v>
      </c>
      <c r="AH111" s="10">
        <v>41883</v>
      </c>
      <c r="AI111" s="11" t="s">
        <v>1056</v>
      </c>
      <c r="AJ111" s="11" t="s">
        <v>1056</v>
      </c>
    </row>
    <row r="112" spans="2:36" x14ac:dyDescent="0.25">
      <c r="C112" t="s">
        <v>591</v>
      </c>
      <c r="D112" t="s">
        <v>592</v>
      </c>
      <c r="E112" t="s">
        <v>16</v>
      </c>
      <c r="F112" t="s">
        <v>17</v>
      </c>
      <c r="G112" t="s">
        <v>18</v>
      </c>
      <c r="I112">
        <v>37.484458920000002</v>
      </c>
      <c r="J112">
        <v>-86.293951129999897</v>
      </c>
      <c r="K112" t="s">
        <v>593</v>
      </c>
      <c r="L112" t="s">
        <v>594</v>
      </c>
      <c r="M112" t="s">
        <v>517</v>
      </c>
      <c r="N112" t="s">
        <v>595</v>
      </c>
      <c r="O112">
        <v>426</v>
      </c>
      <c r="P112" t="s">
        <v>20</v>
      </c>
      <c r="Q112" t="s">
        <v>519</v>
      </c>
      <c r="R112" t="s">
        <v>22</v>
      </c>
      <c r="S112" s="9">
        <v>32439.88</v>
      </c>
      <c r="T112" s="9">
        <v>39792.03</v>
      </c>
      <c r="U112" s="9">
        <v>15690.98</v>
      </c>
      <c r="V112" s="9">
        <v>12820.6</v>
      </c>
      <c r="W112">
        <v>4500</v>
      </c>
      <c r="X112" s="6">
        <v>35</v>
      </c>
      <c r="Y112" s="6">
        <v>205</v>
      </c>
      <c r="Z112" s="6">
        <v>1128</v>
      </c>
      <c r="AA112" s="6">
        <v>1333</v>
      </c>
      <c r="AB112" s="6">
        <v>9981.35</v>
      </c>
      <c r="AC112" s="6">
        <v>11699.17</v>
      </c>
      <c r="AD112" s="6">
        <v>116831.05</v>
      </c>
      <c r="AE112" s="6">
        <v>21680.52</v>
      </c>
      <c r="AF112" s="6">
        <v>0</v>
      </c>
      <c r="AG112" s="6">
        <v>21680.52</v>
      </c>
      <c r="AH112" s="10"/>
      <c r="AI112" t="s">
        <v>1136</v>
      </c>
      <c r="AJ112" s="11" t="str">
        <f t="shared" ref="AJ112:AJ120" si="6">HYPERLINK(AI112,"LINK")</f>
        <v>LINK</v>
      </c>
    </row>
    <row r="113" spans="2:36" x14ac:dyDescent="0.25">
      <c r="B113" s="5" t="s">
        <v>3405</v>
      </c>
      <c r="C113" t="s">
        <v>951</v>
      </c>
      <c r="D113" t="s">
        <v>952</v>
      </c>
      <c r="E113" t="s">
        <v>16</v>
      </c>
      <c r="F113" t="s">
        <v>17</v>
      </c>
      <c r="G113" t="s">
        <v>18</v>
      </c>
      <c r="H113" t="s">
        <v>206</v>
      </c>
      <c r="I113">
        <v>33.588055830000002</v>
      </c>
      <c r="J113">
        <v>-102.379543499999</v>
      </c>
      <c r="K113" t="s">
        <v>953</v>
      </c>
      <c r="L113" t="s">
        <v>954</v>
      </c>
      <c r="M113" t="s">
        <v>905</v>
      </c>
      <c r="N113" t="s">
        <v>955</v>
      </c>
      <c r="O113">
        <v>2215</v>
      </c>
      <c r="P113" t="s">
        <v>20</v>
      </c>
      <c r="Q113" t="s">
        <v>840</v>
      </c>
      <c r="R113" t="s">
        <v>22</v>
      </c>
      <c r="S113" s="9">
        <v>62293.72</v>
      </c>
      <c r="T113" s="9">
        <v>37529.42</v>
      </c>
      <c r="U113" s="9">
        <v>20677.18</v>
      </c>
      <c r="V113" s="9">
        <v>15123.29</v>
      </c>
      <c r="W113">
        <v>12108</v>
      </c>
      <c r="X113" s="6">
        <v>75</v>
      </c>
      <c r="Y113" s="6">
        <v>280</v>
      </c>
      <c r="Z113" s="6">
        <v>684</v>
      </c>
      <c r="AA113" s="6">
        <v>964</v>
      </c>
      <c r="AB113" s="6">
        <v>8290</v>
      </c>
      <c r="AC113" s="6">
        <v>24438.57</v>
      </c>
      <c r="AD113" s="6">
        <v>3619</v>
      </c>
      <c r="AE113" s="6">
        <v>32728.57</v>
      </c>
      <c r="AF113" s="6">
        <v>0</v>
      </c>
      <c r="AG113" s="6">
        <v>32728.57</v>
      </c>
      <c r="AH113" s="10">
        <v>42583</v>
      </c>
      <c r="AI113" t="s">
        <v>1050</v>
      </c>
      <c r="AJ113" s="11" t="str">
        <f t="shared" si="6"/>
        <v>LINK</v>
      </c>
    </row>
    <row r="114" spans="2:36" x14ac:dyDescent="0.25">
      <c r="C114" t="s">
        <v>956</v>
      </c>
      <c r="D114" t="s">
        <v>957</v>
      </c>
      <c r="E114" t="s">
        <v>16</v>
      </c>
      <c r="F114" t="s">
        <v>17</v>
      </c>
      <c r="G114" t="s">
        <v>18</v>
      </c>
      <c r="I114">
        <v>33.921042999999898</v>
      </c>
      <c r="J114">
        <v>-102.329773</v>
      </c>
      <c r="K114" t="s">
        <v>958</v>
      </c>
      <c r="L114" t="s">
        <v>959</v>
      </c>
      <c r="M114" t="s">
        <v>905</v>
      </c>
      <c r="N114">
        <v>5547001</v>
      </c>
      <c r="O114">
        <v>2905</v>
      </c>
      <c r="P114" t="s">
        <v>20</v>
      </c>
      <c r="R114" t="s">
        <v>22</v>
      </c>
      <c r="S114" s="9">
        <v>11419.7</v>
      </c>
      <c r="T114" s="9">
        <v>22928.6</v>
      </c>
      <c r="U114" s="9">
        <v>9534.15</v>
      </c>
      <c r="V114" s="9">
        <v>8514.23</v>
      </c>
      <c r="W114">
        <v>10872</v>
      </c>
      <c r="X114" s="6">
        <v>39</v>
      </c>
      <c r="Y114" s="6">
        <v>200</v>
      </c>
      <c r="Z114" s="6">
        <v>541</v>
      </c>
      <c r="AA114" s="6">
        <v>741</v>
      </c>
      <c r="AB114" s="6">
        <v>1433.9</v>
      </c>
      <c r="AC114" s="6">
        <v>3698.6</v>
      </c>
      <c r="AD114" s="6">
        <v>5430.1</v>
      </c>
      <c r="AE114" s="6">
        <v>5132.5</v>
      </c>
      <c r="AF114" s="6">
        <v>0</v>
      </c>
      <c r="AG114" s="6">
        <v>5132.5</v>
      </c>
      <c r="AH114" s="10"/>
      <c r="AI114" t="s">
        <v>1051</v>
      </c>
      <c r="AJ114" s="11" t="str">
        <f t="shared" si="6"/>
        <v>LINK</v>
      </c>
    </row>
    <row r="115" spans="2:36" x14ac:dyDescent="0.25">
      <c r="B115" s="5" t="s">
        <v>3405</v>
      </c>
      <c r="C115" t="s">
        <v>110</v>
      </c>
      <c r="D115" t="s">
        <v>111</v>
      </c>
      <c r="E115" t="s">
        <v>16</v>
      </c>
      <c r="F115" t="s">
        <v>17</v>
      </c>
      <c r="G115" t="s">
        <v>18</v>
      </c>
      <c r="I115">
        <v>30.29397346</v>
      </c>
      <c r="J115">
        <v>-82.982079150000004</v>
      </c>
      <c r="K115" t="s">
        <v>112</v>
      </c>
      <c r="L115" t="s">
        <v>109</v>
      </c>
      <c r="M115" t="s">
        <v>81</v>
      </c>
      <c r="N115" t="s">
        <v>113</v>
      </c>
      <c r="O115">
        <v>2347</v>
      </c>
      <c r="P115" t="s">
        <v>20</v>
      </c>
      <c r="Q115" t="s">
        <v>82</v>
      </c>
      <c r="R115" t="s">
        <v>22</v>
      </c>
      <c r="S115" s="9">
        <v>177616.39</v>
      </c>
      <c r="T115" s="9">
        <v>165791.72</v>
      </c>
      <c r="U115" s="9">
        <v>20604.419999999998</v>
      </c>
      <c r="V115" s="9">
        <v>59604.05</v>
      </c>
      <c r="W115">
        <v>21370</v>
      </c>
      <c r="X115" s="6">
        <v>123</v>
      </c>
      <c r="Y115" s="6">
        <v>774</v>
      </c>
      <c r="Z115" s="6">
        <v>856</v>
      </c>
      <c r="AA115" s="6">
        <v>1630</v>
      </c>
      <c r="AB115" s="6">
        <v>67011.38</v>
      </c>
      <c r="AC115" s="6">
        <v>100782.94</v>
      </c>
      <c r="AD115" s="6">
        <v>50269.760000000002</v>
      </c>
      <c r="AE115" s="6">
        <v>167794.32</v>
      </c>
      <c r="AF115" s="6">
        <v>1027.52</v>
      </c>
      <c r="AG115" s="6">
        <v>168821.84</v>
      </c>
      <c r="AH115" s="10">
        <v>39173</v>
      </c>
      <c r="AI115" t="s">
        <v>1071</v>
      </c>
      <c r="AJ115" s="11" t="str">
        <f t="shared" si="6"/>
        <v>LINK</v>
      </c>
    </row>
    <row r="116" spans="2:36" x14ac:dyDescent="0.25">
      <c r="C116" t="s">
        <v>764</v>
      </c>
      <c r="D116" t="s">
        <v>765</v>
      </c>
      <c r="E116" t="s">
        <v>16</v>
      </c>
      <c r="F116" t="s">
        <v>17</v>
      </c>
      <c r="G116" t="s">
        <v>18</v>
      </c>
      <c r="I116">
        <v>41.800274219999899</v>
      </c>
      <c r="J116">
        <v>-81.048985389999899</v>
      </c>
      <c r="K116" t="s">
        <v>766</v>
      </c>
      <c r="L116" t="s">
        <v>767</v>
      </c>
      <c r="M116" t="s">
        <v>675</v>
      </c>
      <c r="N116" t="s">
        <v>768</v>
      </c>
      <c r="O116">
        <v>232</v>
      </c>
      <c r="P116" t="s">
        <v>20</v>
      </c>
      <c r="Q116" t="s">
        <v>676</v>
      </c>
      <c r="R116" t="s">
        <v>37</v>
      </c>
      <c r="S116" s="9">
        <v>24646.76</v>
      </c>
      <c r="T116" s="9">
        <v>47135.95</v>
      </c>
      <c r="U116" s="9">
        <v>13339.08</v>
      </c>
      <c r="V116" s="9">
        <v>21123.97</v>
      </c>
      <c r="W116">
        <v>3222</v>
      </c>
      <c r="X116" s="6">
        <v>28</v>
      </c>
      <c r="Y116" s="6">
        <v>366</v>
      </c>
      <c r="Z116" s="6">
        <v>362</v>
      </c>
      <c r="AA116" s="6">
        <v>728</v>
      </c>
      <c r="AB116" s="6">
        <v>270</v>
      </c>
      <c r="AC116" s="6">
        <v>7302.58</v>
      </c>
      <c r="AD116" s="6">
        <v>11749.4</v>
      </c>
      <c r="AE116" s="6">
        <v>7572.58</v>
      </c>
      <c r="AF116" s="6">
        <v>0</v>
      </c>
      <c r="AG116" s="6">
        <v>7572.58</v>
      </c>
      <c r="AH116" s="10"/>
      <c r="AI116" t="s">
        <v>1162</v>
      </c>
      <c r="AJ116" s="11" t="str">
        <f t="shared" si="6"/>
        <v>LINK</v>
      </c>
    </row>
    <row r="117" spans="2:36" x14ac:dyDescent="0.25">
      <c r="C117" t="s">
        <v>438</v>
      </c>
      <c r="D117" t="s">
        <v>439</v>
      </c>
      <c r="E117" t="s">
        <v>16</v>
      </c>
      <c r="F117" t="s">
        <v>17</v>
      </c>
      <c r="G117" t="s">
        <v>18</v>
      </c>
      <c r="I117">
        <v>42.484722830000003</v>
      </c>
      <c r="J117">
        <v>-91.457176810000007</v>
      </c>
      <c r="K117" t="s">
        <v>440</v>
      </c>
      <c r="L117" t="s">
        <v>245</v>
      </c>
      <c r="M117" t="s">
        <v>328</v>
      </c>
      <c r="N117" t="s">
        <v>441</v>
      </c>
      <c r="O117">
        <v>58</v>
      </c>
      <c r="P117" t="s">
        <v>20</v>
      </c>
      <c r="Q117" t="s">
        <v>329</v>
      </c>
      <c r="R117" t="s">
        <v>22</v>
      </c>
      <c r="S117" s="9">
        <v>20657.98</v>
      </c>
      <c r="T117" s="9">
        <v>27413.45</v>
      </c>
      <c r="U117" s="9">
        <v>5716.44</v>
      </c>
      <c r="V117" s="9">
        <v>11256.47</v>
      </c>
      <c r="W117">
        <v>10684</v>
      </c>
      <c r="X117" s="6">
        <v>30</v>
      </c>
      <c r="Y117" s="6">
        <v>474</v>
      </c>
      <c r="Z117" s="6">
        <v>461</v>
      </c>
      <c r="AA117" s="6">
        <v>935</v>
      </c>
      <c r="AB117" s="6">
        <v>7810</v>
      </c>
      <c r="AC117" s="6">
        <v>25980.43</v>
      </c>
      <c r="AD117" s="6">
        <v>28853.97</v>
      </c>
      <c r="AE117" s="6">
        <v>33790.43</v>
      </c>
      <c r="AF117" s="6">
        <v>21</v>
      </c>
      <c r="AG117" s="6">
        <v>33811.43</v>
      </c>
      <c r="AH117" s="10"/>
      <c r="AI117" t="s">
        <v>1116</v>
      </c>
      <c r="AJ117" s="11" t="str">
        <f t="shared" si="6"/>
        <v>LINK</v>
      </c>
    </row>
    <row r="118" spans="2:36" x14ac:dyDescent="0.25">
      <c r="C118" t="s">
        <v>434</v>
      </c>
      <c r="D118" t="s">
        <v>435</v>
      </c>
      <c r="E118" t="s">
        <v>16</v>
      </c>
      <c r="F118" t="s">
        <v>17</v>
      </c>
      <c r="G118" t="s">
        <v>18</v>
      </c>
      <c r="H118" t="s">
        <v>25</v>
      </c>
      <c r="I118">
        <v>42.455873330000003</v>
      </c>
      <c r="J118">
        <v>-91.478370729999895</v>
      </c>
      <c r="K118" t="s">
        <v>436</v>
      </c>
      <c r="L118" t="s">
        <v>245</v>
      </c>
      <c r="M118" t="s">
        <v>328</v>
      </c>
      <c r="N118" t="s">
        <v>437</v>
      </c>
      <c r="P118" t="s">
        <v>38</v>
      </c>
      <c r="Q118" t="s">
        <v>329</v>
      </c>
      <c r="R118" t="s">
        <v>22</v>
      </c>
      <c r="S118" s="9">
        <v>19276</v>
      </c>
      <c r="T118" s="9">
        <v>2471.5300000000002</v>
      </c>
      <c r="U118" s="9">
        <v>11491.63</v>
      </c>
      <c r="V118" s="9">
        <v>974.38</v>
      </c>
      <c r="W118">
        <v>8500</v>
      </c>
      <c r="X118" s="6">
        <v>2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10"/>
      <c r="AI118" t="s">
        <v>1115</v>
      </c>
      <c r="AJ118" s="11" t="str">
        <f t="shared" si="6"/>
        <v>LINK</v>
      </c>
    </row>
    <row r="119" spans="2:36" x14ac:dyDescent="0.25">
      <c r="C119" t="s">
        <v>242</v>
      </c>
      <c r="D119" t="s">
        <v>243</v>
      </c>
      <c r="E119" t="s">
        <v>16</v>
      </c>
      <c r="F119" t="s">
        <v>17</v>
      </c>
      <c r="G119" t="s">
        <v>18</v>
      </c>
      <c r="I119">
        <v>32.851323780000001</v>
      </c>
      <c r="J119">
        <v>-84.615933150000004</v>
      </c>
      <c r="K119" t="s">
        <v>244</v>
      </c>
      <c r="L119" t="s">
        <v>245</v>
      </c>
      <c r="M119" t="s">
        <v>120</v>
      </c>
      <c r="N119" t="s">
        <v>246</v>
      </c>
      <c r="O119">
        <v>100</v>
      </c>
      <c r="P119" t="s">
        <v>20</v>
      </c>
      <c r="Q119" t="s">
        <v>121</v>
      </c>
      <c r="R119" t="s">
        <v>22</v>
      </c>
      <c r="S119" s="9">
        <v>7736.88</v>
      </c>
      <c r="T119" s="9">
        <v>31303.59</v>
      </c>
      <c r="U119" s="9">
        <v>758.84</v>
      </c>
      <c r="V119" s="9">
        <v>10154.450000000001</v>
      </c>
      <c r="W119">
        <v>7438</v>
      </c>
      <c r="X119" s="6">
        <v>31</v>
      </c>
      <c r="Y119" s="6">
        <v>257</v>
      </c>
      <c r="Z119" s="6">
        <v>320</v>
      </c>
      <c r="AA119" s="6">
        <v>577</v>
      </c>
      <c r="AB119" s="6">
        <v>7031.66</v>
      </c>
      <c r="AC119" s="6">
        <v>8466</v>
      </c>
      <c r="AD119" s="6">
        <v>4185</v>
      </c>
      <c r="AE119" s="6">
        <v>15497.66</v>
      </c>
      <c r="AF119" s="6">
        <v>0</v>
      </c>
      <c r="AG119" s="6">
        <v>15497.66</v>
      </c>
      <c r="AH119" s="10">
        <v>42881</v>
      </c>
      <c r="AI119" t="s">
        <v>1009</v>
      </c>
      <c r="AJ119" s="11" t="str">
        <f t="shared" si="6"/>
        <v>LINK</v>
      </c>
    </row>
    <row r="120" spans="2:36" x14ac:dyDescent="0.25">
      <c r="C120" t="s">
        <v>442</v>
      </c>
      <c r="D120" t="s">
        <v>443</v>
      </c>
      <c r="E120" t="s">
        <v>16</v>
      </c>
      <c r="F120" t="s">
        <v>17</v>
      </c>
      <c r="G120" t="s">
        <v>18</v>
      </c>
      <c r="I120">
        <v>41.798880939999897</v>
      </c>
      <c r="J120">
        <v>-92.069393070000004</v>
      </c>
      <c r="K120" t="s">
        <v>444</v>
      </c>
      <c r="L120" t="s">
        <v>445</v>
      </c>
      <c r="M120" t="s">
        <v>328</v>
      </c>
      <c r="N120" t="s">
        <v>446</v>
      </c>
      <c r="O120">
        <v>159</v>
      </c>
      <c r="P120" t="s">
        <v>20</v>
      </c>
      <c r="Q120" t="s">
        <v>329</v>
      </c>
      <c r="R120" t="s">
        <v>22</v>
      </c>
      <c r="S120" s="9">
        <v>13852.79</v>
      </c>
      <c r="T120" s="9">
        <v>16243.68</v>
      </c>
      <c r="U120" s="9">
        <v>2149.1</v>
      </c>
      <c r="V120" s="9">
        <v>4672.29</v>
      </c>
      <c r="W120">
        <v>4800</v>
      </c>
      <c r="X120" s="6">
        <v>15</v>
      </c>
      <c r="Y120" s="6">
        <v>146</v>
      </c>
      <c r="Z120" s="6">
        <v>266</v>
      </c>
      <c r="AA120" s="6">
        <v>412</v>
      </c>
      <c r="AB120" s="6">
        <v>606</v>
      </c>
      <c r="AC120" s="6">
        <v>220</v>
      </c>
      <c r="AD120" s="6">
        <v>10746.4</v>
      </c>
      <c r="AE120" s="6">
        <v>826</v>
      </c>
      <c r="AF120" s="6">
        <v>0</v>
      </c>
      <c r="AG120" s="6">
        <v>826</v>
      </c>
      <c r="AH120" s="10"/>
      <c r="AI120" t="s">
        <v>1117</v>
      </c>
      <c r="AJ120" s="11" t="str">
        <f t="shared" si="6"/>
        <v>LINK</v>
      </c>
    </row>
    <row r="121" spans="2:36" x14ac:dyDescent="0.25">
      <c r="C121" t="s">
        <v>115</v>
      </c>
      <c r="D121" t="s">
        <v>116</v>
      </c>
      <c r="E121" t="s">
        <v>16</v>
      </c>
      <c r="F121" t="s">
        <v>17</v>
      </c>
      <c r="G121" t="s">
        <v>18</v>
      </c>
      <c r="I121">
        <v>30.05422767</v>
      </c>
      <c r="J121">
        <v>-83.176257759999899</v>
      </c>
      <c r="K121" t="s">
        <v>117</v>
      </c>
      <c r="L121" t="s">
        <v>114</v>
      </c>
      <c r="M121" t="s">
        <v>81</v>
      </c>
      <c r="N121" t="s">
        <v>118</v>
      </c>
      <c r="O121">
        <v>267</v>
      </c>
      <c r="P121" t="s">
        <v>20</v>
      </c>
      <c r="Q121" t="s">
        <v>82</v>
      </c>
      <c r="R121" t="s">
        <v>22</v>
      </c>
      <c r="S121" s="9">
        <v>27165.68</v>
      </c>
      <c r="T121" s="9">
        <v>25305.35</v>
      </c>
      <c r="U121" s="9">
        <v>6453.7</v>
      </c>
      <c r="V121" s="9">
        <v>8079.74</v>
      </c>
      <c r="W121">
        <v>2746</v>
      </c>
      <c r="X121" s="6">
        <v>20</v>
      </c>
      <c r="Y121" s="6">
        <v>419</v>
      </c>
      <c r="Z121" s="6">
        <v>288</v>
      </c>
      <c r="AA121" s="6">
        <v>707</v>
      </c>
      <c r="AB121" s="6">
        <v>0</v>
      </c>
      <c r="AC121" s="6">
        <v>16592.89</v>
      </c>
      <c r="AD121" s="6">
        <v>36194.050000000003</v>
      </c>
      <c r="AE121" s="6">
        <v>16592.89</v>
      </c>
      <c r="AF121" s="6">
        <v>0</v>
      </c>
      <c r="AG121" s="6">
        <v>16592.89</v>
      </c>
      <c r="AH121" s="10"/>
      <c r="AI121" t="s">
        <v>1072</v>
      </c>
      <c r="AJ121" s="11" t="s">
        <v>1072</v>
      </c>
    </row>
    <row r="122" spans="2:36" x14ac:dyDescent="0.25">
      <c r="C122" t="s">
        <v>247</v>
      </c>
      <c r="D122" t="s">
        <v>248</v>
      </c>
      <c r="E122" t="s">
        <v>16</v>
      </c>
      <c r="F122" t="s">
        <v>17</v>
      </c>
      <c r="G122" t="s">
        <v>18</v>
      </c>
      <c r="I122">
        <v>32.066782009999898</v>
      </c>
      <c r="J122">
        <v>-82.897522570000007</v>
      </c>
      <c r="K122" t="s">
        <v>249</v>
      </c>
      <c r="L122" t="s">
        <v>250</v>
      </c>
      <c r="M122" t="s">
        <v>120</v>
      </c>
      <c r="N122" t="s">
        <v>251</v>
      </c>
      <c r="O122">
        <v>194</v>
      </c>
      <c r="P122" t="s">
        <v>20</v>
      </c>
      <c r="Q122" t="s">
        <v>121</v>
      </c>
      <c r="R122" t="s">
        <v>22</v>
      </c>
      <c r="S122" s="9">
        <v>23287.94</v>
      </c>
      <c r="T122" s="9">
        <v>29082.49</v>
      </c>
      <c r="U122" s="9">
        <v>1842.43</v>
      </c>
      <c r="V122" s="9">
        <v>8100.79</v>
      </c>
      <c r="W122">
        <v>3813</v>
      </c>
      <c r="X122" s="6">
        <v>23</v>
      </c>
      <c r="Y122" s="6">
        <v>378</v>
      </c>
      <c r="Z122" s="6">
        <v>1026</v>
      </c>
      <c r="AA122" s="6">
        <v>1404</v>
      </c>
      <c r="AB122" s="6">
        <v>7316.57</v>
      </c>
      <c r="AC122" s="6">
        <v>45288.83</v>
      </c>
      <c r="AD122" s="6">
        <v>18011.330000000002</v>
      </c>
      <c r="AE122" s="6">
        <v>52605.4</v>
      </c>
      <c r="AF122" s="6">
        <v>0</v>
      </c>
      <c r="AG122" s="6">
        <v>52605.4</v>
      </c>
      <c r="AH122" s="10">
        <v>42881</v>
      </c>
      <c r="AI122" t="s">
        <v>1091</v>
      </c>
      <c r="AJ122" s="11" t="str">
        <f>HYPERLINK(AI122,"LINK")</f>
        <v>LINK</v>
      </c>
    </row>
    <row r="123" spans="2:36" x14ac:dyDescent="0.25">
      <c r="C123" t="s">
        <v>447</v>
      </c>
      <c r="E123" t="s">
        <v>16</v>
      </c>
      <c r="F123" t="s">
        <v>17</v>
      </c>
      <c r="G123" t="s">
        <v>18</v>
      </c>
      <c r="I123">
        <v>40.975447410000001</v>
      </c>
      <c r="J123">
        <v>-93.0481071399999</v>
      </c>
      <c r="K123" t="s">
        <v>449</v>
      </c>
      <c r="L123" t="s">
        <v>119</v>
      </c>
      <c r="M123" t="s">
        <v>328</v>
      </c>
      <c r="N123" t="s">
        <v>448</v>
      </c>
      <c r="P123" t="s">
        <v>38</v>
      </c>
      <c r="R123" t="s">
        <v>22</v>
      </c>
      <c r="S123" s="9">
        <v>0</v>
      </c>
      <c r="T123" s="9">
        <v>0</v>
      </c>
      <c r="U123" s="9">
        <v>0</v>
      </c>
      <c r="V123" s="9">
        <v>0</v>
      </c>
      <c r="W123">
        <v>10084</v>
      </c>
      <c r="X123" s="6">
        <v>7</v>
      </c>
      <c r="Y123" s="6">
        <v>50</v>
      </c>
      <c r="Z123" s="6">
        <v>0</v>
      </c>
      <c r="AA123" s="6">
        <v>50</v>
      </c>
      <c r="AB123" s="6">
        <v>1295</v>
      </c>
      <c r="AC123" s="6">
        <v>0</v>
      </c>
      <c r="AD123" s="6">
        <v>4073.3</v>
      </c>
      <c r="AE123" s="6">
        <v>1295</v>
      </c>
      <c r="AF123" s="6">
        <v>0</v>
      </c>
      <c r="AG123" s="6">
        <v>1295</v>
      </c>
      <c r="AH123" s="10"/>
      <c r="AJ123" s="11" t="str">
        <f>HYPERLINK(AI123,"LINK")</f>
        <v>LINK</v>
      </c>
    </row>
    <row r="124" spans="2:36" x14ac:dyDescent="0.25">
      <c r="C124" t="s">
        <v>960</v>
      </c>
      <c r="D124" t="s">
        <v>961</v>
      </c>
      <c r="E124" t="s">
        <v>16</v>
      </c>
      <c r="F124" t="s">
        <v>17</v>
      </c>
      <c r="G124" t="s">
        <v>18</v>
      </c>
      <c r="I124">
        <v>34.724508110000002</v>
      </c>
      <c r="J124">
        <v>-100.53937550000001</v>
      </c>
      <c r="K124" t="s">
        <v>962</v>
      </c>
      <c r="L124" t="s">
        <v>963</v>
      </c>
      <c r="M124" t="s">
        <v>905</v>
      </c>
      <c r="N124" t="s">
        <v>964</v>
      </c>
      <c r="O124">
        <v>2916</v>
      </c>
      <c r="P124" t="s">
        <v>20</v>
      </c>
      <c r="Q124" t="s">
        <v>840</v>
      </c>
      <c r="R124" t="s">
        <v>37</v>
      </c>
      <c r="S124" s="9">
        <v>36511.71</v>
      </c>
      <c r="T124" s="9">
        <v>37649.83</v>
      </c>
      <c r="U124" s="9">
        <v>4702.43</v>
      </c>
      <c r="V124" s="9">
        <v>9522.25</v>
      </c>
      <c r="W124">
        <v>9620</v>
      </c>
      <c r="X124" s="6">
        <v>48</v>
      </c>
      <c r="Y124" s="6">
        <v>257</v>
      </c>
      <c r="Z124" s="6">
        <v>502</v>
      </c>
      <c r="AA124" s="6">
        <v>759</v>
      </c>
      <c r="AB124" s="6">
        <v>1688.87</v>
      </c>
      <c r="AC124" s="6">
        <v>19410.240000000002</v>
      </c>
      <c r="AD124" s="6">
        <v>7138</v>
      </c>
      <c r="AE124" s="6">
        <v>21099.11</v>
      </c>
      <c r="AF124" s="6">
        <v>0</v>
      </c>
      <c r="AG124" s="6">
        <v>21099.11</v>
      </c>
      <c r="AH124" s="10">
        <v>41883</v>
      </c>
      <c r="AI124" t="s">
        <v>1180</v>
      </c>
      <c r="AJ124" s="11" t="str">
        <f>HYPERLINK(AI124,"LINK")</f>
        <v>LINK</v>
      </c>
    </row>
    <row r="125" spans="2:36" x14ac:dyDescent="0.25">
      <c r="B125" s="5" t="s">
        <v>3405</v>
      </c>
      <c r="C125" t="s">
        <v>252</v>
      </c>
      <c r="D125" t="s">
        <v>253</v>
      </c>
      <c r="E125" t="s">
        <v>16</v>
      </c>
      <c r="F125" t="s">
        <v>17</v>
      </c>
      <c r="G125" t="s">
        <v>18</v>
      </c>
      <c r="I125">
        <v>33.090814809999898</v>
      </c>
      <c r="J125">
        <v>-83.228472819999894</v>
      </c>
      <c r="K125" t="s">
        <v>254</v>
      </c>
      <c r="L125" t="s">
        <v>255</v>
      </c>
      <c r="M125" t="s">
        <v>120</v>
      </c>
      <c r="N125" t="s">
        <v>256</v>
      </c>
      <c r="O125">
        <v>19</v>
      </c>
      <c r="P125" t="s">
        <v>20</v>
      </c>
      <c r="Q125" t="s">
        <v>121</v>
      </c>
      <c r="R125" t="s">
        <v>22</v>
      </c>
      <c r="S125" s="9">
        <v>86249.72</v>
      </c>
      <c r="T125" s="9">
        <v>156249.37</v>
      </c>
      <c r="U125" s="9">
        <v>45893.97</v>
      </c>
      <c r="V125" s="9">
        <v>50239.29</v>
      </c>
      <c r="W125">
        <v>25764</v>
      </c>
      <c r="X125" s="6">
        <v>93</v>
      </c>
      <c r="Y125" s="6">
        <v>1016</v>
      </c>
      <c r="Z125" s="6">
        <v>346</v>
      </c>
      <c r="AA125" s="6">
        <v>1362</v>
      </c>
      <c r="AB125" s="6">
        <v>40278.47</v>
      </c>
      <c r="AC125" s="6">
        <v>76847.679999999993</v>
      </c>
      <c r="AD125" s="6">
        <v>212148.55</v>
      </c>
      <c r="AE125" s="6">
        <v>117126.15</v>
      </c>
      <c r="AF125" s="6">
        <v>0</v>
      </c>
      <c r="AG125" s="6">
        <v>117126.15</v>
      </c>
      <c r="AH125" s="10">
        <v>42881</v>
      </c>
      <c r="AI125" t="s">
        <v>1010</v>
      </c>
      <c r="AJ125" s="11" t="str">
        <f>HYPERLINK(AI125,"LINK")</f>
        <v>LINK</v>
      </c>
    </row>
    <row r="126" spans="2:36" x14ac:dyDescent="0.25">
      <c r="C126" t="s">
        <v>262</v>
      </c>
      <c r="D126" t="s">
        <v>263</v>
      </c>
      <c r="E126" t="s">
        <v>16</v>
      </c>
      <c r="F126" t="s">
        <v>17</v>
      </c>
      <c r="G126" t="s">
        <v>18</v>
      </c>
      <c r="H126" t="s">
        <v>25</v>
      </c>
      <c r="I126">
        <v>33.890438019999898</v>
      </c>
      <c r="J126">
        <v>-83.719923170000001</v>
      </c>
      <c r="K126" t="s">
        <v>264</v>
      </c>
      <c r="L126" t="s">
        <v>260</v>
      </c>
      <c r="M126" t="s">
        <v>120</v>
      </c>
      <c r="N126" t="s">
        <v>265</v>
      </c>
      <c r="O126">
        <v>3801</v>
      </c>
      <c r="P126" t="s">
        <v>20</v>
      </c>
      <c r="Q126" t="s">
        <v>121</v>
      </c>
      <c r="R126" t="s">
        <v>22</v>
      </c>
      <c r="S126" s="9">
        <v>88106.45</v>
      </c>
      <c r="T126" s="9">
        <v>25821.040000000001</v>
      </c>
      <c r="U126" s="9">
        <v>13388.37</v>
      </c>
      <c r="V126" s="9">
        <v>9701.2900000000009</v>
      </c>
      <c r="W126">
        <v>11041</v>
      </c>
      <c r="X126" s="6">
        <v>3</v>
      </c>
      <c r="Y126" s="6">
        <v>69</v>
      </c>
      <c r="Z126" s="6">
        <v>5</v>
      </c>
      <c r="AA126" s="6">
        <v>74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10"/>
      <c r="AI126" t="s">
        <v>1092</v>
      </c>
      <c r="AJ126" s="11" t="s">
        <v>1092</v>
      </c>
    </row>
    <row r="127" spans="2:36" x14ac:dyDescent="0.25">
      <c r="C127" t="s">
        <v>257</v>
      </c>
      <c r="D127" t="s">
        <v>258</v>
      </c>
      <c r="E127" t="s">
        <v>16</v>
      </c>
      <c r="F127" t="s">
        <v>17</v>
      </c>
      <c r="G127" t="s">
        <v>18</v>
      </c>
      <c r="I127">
        <v>33.796456579999898</v>
      </c>
      <c r="J127">
        <v>-83.712538940000002</v>
      </c>
      <c r="K127" t="s">
        <v>259</v>
      </c>
      <c r="L127" t="s">
        <v>260</v>
      </c>
      <c r="M127" t="s">
        <v>120</v>
      </c>
      <c r="N127" t="s">
        <v>261</v>
      </c>
      <c r="O127">
        <v>155</v>
      </c>
      <c r="P127" t="s">
        <v>20</v>
      </c>
      <c r="Q127" t="s">
        <v>121</v>
      </c>
      <c r="R127" t="s">
        <v>22</v>
      </c>
      <c r="S127" s="9">
        <v>34664.730000000003</v>
      </c>
      <c r="T127" s="9">
        <v>50041.43</v>
      </c>
      <c r="U127" s="9">
        <v>4921.3900000000003</v>
      </c>
      <c r="V127" s="9">
        <v>12779.09</v>
      </c>
      <c r="W127">
        <v>4860</v>
      </c>
      <c r="X127" s="6">
        <v>36</v>
      </c>
      <c r="Y127" s="6">
        <v>518</v>
      </c>
      <c r="Z127" s="6">
        <v>796</v>
      </c>
      <c r="AA127" s="6">
        <v>1314</v>
      </c>
      <c r="AB127" s="6">
        <v>15499.9</v>
      </c>
      <c r="AC127" s="6">
        <v>38017.21</v>
      </c>
      <c r="AD127" s="6">
        <v>10945.56</v>
      </c>
      <c r="AE127" s="6">
        <v>53517.11</v>
      </c>
      <c r="AF127" s="6">
        <v>0</v>
      </c>
      <c r="AG127" s="6">
        <v>53517.11</v>
      </c>
      <c r="AH127" s="10">
        <v>42881</v>
      </c>
      <c r="AI127" t="s">
        <v>1011</v>
      </c>
      <c r="AJ127" s="11" t="str">
        <f t="shared" ref="AJ127:AJ168" si="7">HYPERLINK(AI127,"LINK")</f>
        <v>LINK</v>
      </c>
    </row>
    <row r="128" spans="2:36" x14ac:dyDescent="0.25">
      <c r="C128" t="s">
        <v>266</v>
      </c>
      <c r="D128" t="s">
        <v>267</v>
      </c>
      <c r="E128" t="s">
        <v>16</v>
      </c>
      <c r="F128" t="s">
        <v>17</v>
      </c>
      <c r="G128" t="s">
        <v>18</v>
      </c>
      <c r="I128">
        <v>32.301748029999899</v>
      </c>
      <c r="J128">
        <v>-84.030829150000002</v>
      </c>
      <c r="K128" t="s">
        <v>268</v>
      </c>
      <c r="L128" t="s">
        <v>269</v>
      </c>
      <c r="M128" t="s">
        <v>120</v>
      </c>
      <c r="N128" t="s">
        <v>270</v>
      </c>
      <c r="O128">
        <v>143</v>
      </c>
      <c r="P128" t="s">
        <v>20</v>
      </c>
      <c r="Q128" t="s">
        <v>121</v>
      </c>
      <c r="R128" t="s">
        <v>37</v>
      </c>
      <c r="S128" s="9">
        <v>6461.09</v>
      </c>
      <c r="T128" s="9">
        <v>35356.660000000003</v>
      </c>
      <c r="U128" s="9">
        <v>3042.44</v>
      </c>
      <c r="V128" s="9">
        <v>11834.77</v>
      </c>
      <c r="W128">
        <v>5332</v>
      </c>
      <c r="X128" s="6">
        <v>25</v>
      </c>
      <c r="Y128" s="6">
        <v>267</v>
      </c>
      <c r="Z128" s="6">
        <v>755</v>
      </c>
      <c r="AA128" s="6">
        <v>1022</v>
      </c>
      <c r="AB128" s="6">
        <v>13847.9</v>
      </c>
      <c r="AC128" s="6">
        <v>11298.37</v>
      </c>
      <c r="AD128" s="6">
        <v>22062.33</v>
      </c>
      <c r="AE128" s="6">
        <v>25146.27</v>
      </c>
      <c r="AF128" s="6">
        <v>0</v>
      </c>
      <c r="AG128" s="6">
        <v>25146.27</v>
      </c>
      <c r="AH128" s="10">
        <v>42881</v>
      </c>
      <c r="AI128" t="s">
        <v>1093</v>
      </c>
      <c r="AJ128" s="11" t="str">
        <f t="shared" si="7"/>
        <v>LINK</v>
      </c>
    </row>
    <row r="129" spans="2:36" x14ac:dyDescent="0.25">
      <c r="C129" t="s">
        <v>598</v>
      </c>
      <c r="D129" t="s">
        <v>599</v>
      </c>
      <c r="E129" t="s">
        <v>16</v>
      </c>
      <c r="F129" t="s">
        <v>17</v>
      </c>
      <c r="G129" t="s">
        <v>18</v>
      </c>
      <c r="I129">
        <v>36.831270680000003</v>
      </c>
      <c r="J129">
        <v>-84.850426240000004</v>
      </c>
      <c r="K129" t="s">
        <v>600</v>
      </c>
      <c r="L129" t="s">
        <v>597</v>
      </c>
      <c r="M129" t="s">
        <v>517</v>
      </c>
      <c r="N129" t="s">
        <v>601</v>
      </c>
      <c r="O129">
        <v>185</v>
      </c>
      <c r="P129" t="s">
        <v>20</v>
      </c>
      <c r="Q129" t="s">
        <v>519</v>
      </c>
      <c r="R129" t="s">
        <v>37</v>
      </c>
      <c r="S129" s="9">
        <v>17461.080000000002</v>
      </c>
      <c r="T129" s="9">
        <v>40457.75</v>
      </c>
      <c r="U129" s="9">
        <v>4874</v>
      </c>
      <c r="V129" s="9">
        <v>13735.1</v>
      </c>
      <c r="W129">
        <v>4047</v>
      </c>
      <c r="X129" s="6">
        <v>42</v>
      </c>
      <c r="Y129" s="6">
        <v>435</v>
      </c>
      <c r="Z129" s="6">
        <v>1574</v>
      </c>
      <c r="AA129" s="6">
        <v>2009</v>
      </c>
      <c r="AB129" s="6">
        <v>8194.85</v>
      </c>
      <c r="AC129" s="6">
        <v>27357.78</v>
      </c>
      <c r="AD129" s="6">
        <v>28455.48</v>
      </c>
      <c r="AE129" s="6">
        <v>35552.629999999997</v>
      </c>
      <c r="AF129" s="6">
        <v>0</v>
      </c>
      <c r="AG129" s="6">
        <v>35552.629999999997</v>
      </c>
      <c r="AH129" s="10">
        <v>36892</v>
      </c>
      <c r="AI129" t="s">
        <v>1137</v>
      </c>
      <c r="AJ129" s="11" t="str">
        <f t="shared" si="7"/>
        <v>LINK</v>
      </c>
    </row>
    <row r="130" spans="2:36" x14ac:dyDescent="0.25">
      <c r="C130" t="s">
        <v>29</v>
      </c>
      <c r="D130" t="s">
        <v>30</v>
      </c>
      <c r="E130" t="s">
        <v>16</v>
      </c>
      <c r="F130" t="s">
        <v>17</v>
      </c>
      <c r="G130" t="s">
        <v>18</v>
      </c>
      <c r="I130">
        <v>33.5934139599999</v>
      </c>
      <c r="J130">
        <v>-86.498523640000002</v>
      </c>
      <c r="K130" t="s">
        <v>31</v>
      </c>
      <c r="L130" t="s">
        <v>32</v>
      </c>
      <c r="M130" t="s">
        <v>19</v>
      </c>
      <c r="N130" t="s">
        <v>33</v>
      </c>
      <c r="O130">
        <v>235</v>
      </c>
      <c r="P130" t="s">
        <v>20</v>
      </c>
      <c r="Q130" t="s">
        <v>21</v>
      </c>
      <c r="R130" t="s">
        <v>22</v>
      </c>
      <c r="S130" s="9">
        <v>21334.55</v>
      </c>
      <c r="T130" s="9">
        <v>102721.77</v>
      </c>
      <c r="U130" s="9">
        <v>4136.43</v>
      </c>
      <c r="V130" s="9">
        <v>30581.71</v>
      </c>
      <c r="W130">
        <v>3200</v>
      </c>
      <c r="X130" s="6">
        <v>52</v>
      </c>
      <c r="Y130" s="6">
        <v>239</v>
      </c>
      <c r="Z130" s="6">
        <v>1389</v>
      </c>
      <c r="AA130" s="6">
        <v>1628</v>
      </c>
      <c r="AB130" s="6">
        <v>17788.73</v>
      </c>
      <c r="AC130" s="6">
        <v>29930.82</v>
      </c>
      <c r="AD130" s="6">
        <v>12047.4</v>
      </c>
      <c r="AE130" s="6">
        <v>47719.55</v>
      </c>
      <c r="AF130" s="6">
        <v>0</v>
      </c>
      <c r="AG130" s="6">
        <v>47719.55</v>
      </c>
      <c r="AH130" s="10">
        <v>41866</v>
      </c>
      <c r="AI130" t="s">
        <v>1057</v>
      </c>
      <c r="AJ130" s="11" t="str">
        <f t="shared" si="7"/>
        <v>LINK</v>
      </c>
    </row>
    <row r="131" spans="2:36" x14ac:dyDescent="0.25">
      <c r="C131" s="12" t="s">
        <v>450</v>
      </c>
      <c r="E131" t="s">
        <v>46</v>
      </c>
      <c r="F131" t="s">
        <v>17</v>
      </c>
      <c r="G131" t="s">
        <v>18</v>
      </c>
      <c r="I131">
        <v>40.892054989999899</v>
      </c>
      <c r="J131">
        <v>-92.983500019999894</v>
      </c>
      <c r="K131" t="s">
        <v>453</v>
      </c>
      <c r="L131" t="s">
        <v>451</v>
      </c>
      <c r="M131" t="s">
        <v>328</v>
      </c>
      <c r="N131" t="s">
        <v>452</v>
      </c>
      <c r="P131" t="s">
        <v>38</v>
      </c>
      <c r="R131" t="s">
        <v>22</v>
      </c>
      <c r="S131" s="9">
        <v>0</v>
      </c>
      <c r="T131" s="9">
        <v>0</v>
      </c>
      <c r="U131" s="9">
        <v>0</v>
      </c>
      <c r="V131" s="9">
        <v>0</v>
      </c>
      <c r="W131">
        <v>10084</v>
      </c>
      <c r="X131" s="6">
        <v>5</v>
      </c>
      <c r="Y131" s="6">
        <v>49</v>
      </c>
      <c r="Z131" s="6">
        <v>0</v>
      </c>
      <c r="AA131" s="6">
        <v>49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10"/>
      <c r="AJ131" s="11" t="str">
        <f t="shared" si="7"/>
        <v>LINK</v>
      </c>
    </row>
    <row r="132" spans="2:36" s="5" customFormat="1" x14ac:dyDescent="0.25">
      <c r="B132" s="5" t="s">
        <v>3405</v>
      </c>
      <c r="C132" s="5" t="s">
        <v>602</v>
      </c>
      <c r="D132" s="5" t="s">
        <v>603</v>
      </c>
      <c r="E132" s="5" t="s">
        <v>16</v>
      </c>
      <c r="F132" s="5" t="s">
        <v>17</v>
      </c>
      <c r="G132" s="5" t="s">
        <v>18</v>
      </c>
      <c r="H132" s="5" t="s">
        <v>34</v>
      </c>
      <c r="I132" s="5">
        <v>38.183663750000001</v>
      </c>
      <c r="J132" s="5">
        <v>-83.43477901</v>
      </c>
      <c r="K132" s="5" t="s">
        <v>604</v>
      </c>
      <c r="L132" s="5" t="s">
        <v>605</v>
      </c>
      <c r="M132" s="5" t="s">
        <v>517</v>
      </c>
      <c r="N132" s="5" t="s">
        <v>606</v>
      </c>
      <c r="O132" s="5">
        <v>23</v>
      </c>
      <c r="P132" s="5" t="s">
        <v>20</v>
      </c>
      <c r="Q132" s="5" t="s">
        <v>519</v>
      </c>
      <c r="R132" s="5" t="s">
        <v>37</v>
      </c>
      <c r="S132" s="4">
        <v>37578.36</v>
      </c>
      <c r="T132" s="4">
        <v>109271.36</v>
      </c>
      <c r="U132" s="4">
        <v>6631.25</v>
      </c>
      <c r="V132" s="4">
        <v>39402.980000000003</v>
      </c>
      <c r="W132" s="5">
        <v>23104</v>
      </c>
      <c r="X132" s="3">
        <v>160</v>
      </c>
      <c r="Y132" s="3">
        <v>263</v>
      </c>
      <c r="Z132" s="3">
        <v>407</v>
      </c>
      <c r="AA132" s="3">
        <v>670</v>
      </c>
      <c r="AB132" s="3">
        <v>17854.900000000001</v>
      </c>
      <c r="AC132" s="3">
        <v>107767.71</v>
      </c>
      <c r="AD132" s="3">
        <v>81907.100000000006</v>
      </c>
      <c r="AE132" s="3">
        <v>125622.61</v>
      </c>
      <c r="AF132" s="3">
        <v>0</v>
      </c>
      <c r="AG132" s="3">
        <v>125622.61</v>
      </c>
      <c r="AH132" s="2"/>
      <c r="AI132" s="5" t="s">
        <v>1138</v>
      </c>
      <c r="AJ132" s="1" t="str">
        <f t="shared" si="7"/>
        <v>LINK</v>
      </c>
    </row>
    <row r="133" spans="2:36" x14ac:dyDescent="0.25">
      <c r="B133" s="5" t="s">
        <v>3405</v>
      </c>
      <c r="C133" t="s">
        <v>276</v>
      </c>
      <c r="D133" t="s">
        <v>277</v>
      </c>
      <c r="E133" t="s">
        <v>16</v>
      </c>
      <c r="F133" t="s">
        <v>17</v>
      </c>
      <c r="G133" t="s">
        <v>18</v>
      </c>
      <c r="I133">
        <v>31.1774829199999</v>
      </c>
      <c r="J133">
        <v>-83.783713550000002</v>
      </c>
      <c r="K133" t="s">
        <v>278</v>
      </c>
      <c r="L133" t="s">
        <v>274</v>
      </c>
      <c r="M133" t="s">
        <v>120</v>
      </c>
      <c r="N133" t="s">
        <v>279</v>
      </c>
      <c r="O133">
        <v>20</v>
      </c>
      <c r="P133" t="s">
        <v>20</v>
      </c>
      <c r="Q133" t="s">
        <v>121</v>
      </c>
      <c r="R133" t="s">
        <v>37</v>
      </c>
      <c r="S133" s="9">
        <v>44518.26</v>
      </c>
      <c r="T133" s="9">
        <v>130268.76</v>
      </c>
      <c r="U133" s="9">
        <v>32316.68</v>
      </c>
      <c r="V133" s="9">
        <v>39313.9</v>
      </c>
      <c r="W133">
        <v>25380</v>
      </c>
      <c r="X133" s="6">
        <v>89</v>
      </c>
      <c r="Y133" s="6">
        <v>460</v>
      </c>
      <c r="Z133" s="6">
        <v>2509</v>
      </c>
      <c r="AA133" s="6">
        <v>2969</v>
      </c>
      <c r="AB133" s="6">
        <v>13721</v>
      </c>
      <c r="AC133" s="6">
        <v>107934.84</v>
      </c>
      <c r="AD133" s="6">
        <v>34945.33</v>
      </c>
      <c r="AE133" s="6">
        <v>121655.84</v>
      </c>
      <c r="AF133" s="6">
        <v>0</v>
      </c>
      <c r="AG133" s="6">
        <v>121655.84</v>
      </c>
      <c r="AH133" s="10">
        <v>42881</v>
      </c>
      <c r="AI133" t="s">
        <v>1095</v>
      </c>
      <c r="AJ133" s="11" t="str">
        <f t="shared" si="7"/>
        <v>LINK</v>
      </c>
    </row>
    <row r="134" spans="2:36" x14ac:dyDescent="0.25">
      <c r="B134" s="5" t="s">
        <v>3405</v>
      </c>
      <c r="C134" t="s">
        <v>271</v>
      </c>
      <c r="D134" t="s">
        <v>272</v>
      </c>
      <c r="E134" t="s">
        <v>16</v>
      </c>
      <c r="F134" t="s">
        <v>17</v>
      </c>
      <c r="G134" t="s">
        <v>18</v>
      </c>
      <c r="H134" t="s">
        <v>25</v>
      </c>
      <c r="I134">
        <v>31.179190250000001</v>
      </c>
      <c r="J134">
        <v>-83.748761310000006</v>
      </c>
      <c r="K134" t="s">
        <v>273</v>
      </c>
      <c r="L134" t="s">
        <v>274</v>
      </c>
      <c r="M134" t="s">
        <v>120</v>
      </c>
      <c r="N134" t="s">
        <v>275</v>
      </c>
      <c r="O134">
        <v>3432</v>
      </c>
      <c r="P134" t="s">
        <v>20</v>
      </c>
      <c r="Q134" t="s">
        <v>121</v>
      </c>
      <c r="R134" t="s">
        <v>37</v>
      </c>
      <c r="S134" s="9">
        <v>63723.57</v>
      </c>
      <c r="T134" s="9">
        <v>35179.589999999997</v>
      </c>
      <c r="U134" s="9">
        <v>23980.62</v>
      </c>
      <c r="V134" s="9">
        <v>9833.75</v>
      </c>
      <c r="W134">
        <v>15016</v>
      </c>
      <c r="X134" s="6">
        <v>4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10"/>
      <c r="AI134" t="s">
        <v>1094</v>
      </c>
      <c r="AJ134" s="11" t="str">
        <f t="shared" si="7"/>
        <v>LINK</v>
      </c>
    </row>
    <row r="135" spans="2:36" x14ac:dyDescent="0.25">
      <c r="C135" t="s">
        <v>454</v>
      </c>
      <c r="D135" t="s">
        <v>455</v>
      </c>
      <c r="E135" t="s">
        <v>16</v>
      </c>
      <c r="F135" t="s">
        <v>17</v>
      </c>
      <c r="G135" t="s">
        <v>18</v>
      </c>
      <c r="I135">
        <v>40.712604310000003</v>
      </c>
      <c r="J135">
        <v>-94.237303769999897</v>
      </c>
      <c r="K135" t="s">
        <v>456</v>
      </c>
      <c r="L135" t="s">
        <v>457</v>
      </c>
      <c r="M135" t="s">
        <v>328</v>
      </c>
      <c r="N135" t="s">
        <v>458</v>
      </c>
      <c r="O135">
        <v>1723</v>
      </c>
      <c r="P135" t="s">
        <v>20</v>
      </c>
      <c r="Q135" t="s">
        <v>329</v>
      </c>
      <c r="R135" t="s">
        <v>22</v>
      </c>
      <c r="S135" s="9">
        <v>20150.689999999999</v>
      </c>
      <c r="T135" s="9">
        <v>24129.47</v>
      </c>
      <c r="U135" s="9">
        <v>4949.5600000000004</v>
      </c>
      <c r="V135" s="9">
        <v>8589.84</v>
      </c>
      <c r="W135">
        <v>5892</v>
      </c>
      <c r="X135" s="6">
        <v>9</v>
      </c>
      <c r="Y135" s="6">
        <v>365</v>
      </c>
      <c r="Z135" s="6">
        <v>50</v>
      </c>
      <c r="AA135" s="6">
        <v>415</v>
      </c>
      <c r="AB135" s="6">
        <v>1450</v>
      </c>
      <c r="AC135" s="6">
        <v>2511.77</v>
      </c>
      <c r="AD135" s="6">
        <v>3059</v>
      </c>
      <c r="AE135" s="6">
        <v>3961.77</v>
      </c>
      <c r="AF135" s="6">
        <v>0</v>
      </c>
      <c r="AG135" s="6">
        <v>3961.77</v>
      </c>
      <c r="AH135" s="10"/>
      <c r="AI135" t="s">
        <v>1018</v>
      </c>
      <c r="AJ135" s="11" t="str">
        <f t="shared" si="7"/>
        <v>LINK</v>
      </c>
    </row>
    <row r="136" spans="2:36" x14ac:dyDescent="0.25">
      <c r="C136" t="s">
        <v>460</v>
      </c>
      <c r="D136" t="s">
        <v>461</v>
      </c>
      <c r="E136" t="s">
        <v>16</v>
      </c>
      <c r="F136" t="s">
        <v>17</v>
      </c>
      <c r="G136" t="s">
        <v>18</v>
      </c>
      <c r="I136">
        <v>40.967865850000003</v>
      </c>
      <c r="J136">
        <v>-91.553385689999899</v>
      </c>
      <c r="K136" t="s">
        <v>462</v>
      </c>
      <c r="L136" t="s">
        <v>459</v>
      </c>
      <c r="M136" t="s">
        <v>328</v>
      </c>
      <c r="N136" t="s">
        <v>463</v>
      </c>
      <c r="O136">
        <v>89</v>
      </c>
      <c r="P136" t="s">
        <v>20</v>
      </c>
      <c r="Q136" t="s">
        <v>329</v>
      </c>
      <c r="R136" t="s">
        <v>22</v>
      </c>
      <c r="S136" s="9">
        <v>20164.05</v>
      </c>
      <c r="T136" s="9">
        <v>63015</v>
      </c>
      <c r="U136" s="9">
        <v>2929.73</v>
      </c>
      <c r="V136" s="9">
        <v>19426.8</v>
      </c>
      <c r="W136">
        <v>8065</v>
      </c>
      <c r="X136" s="6">
        <v>48</v>
      </c>
      <c r="Y136" s="6">
        <v>791</v>
      </c>
      <c r="Z136" s="6">
        <v>87</v>
      </c>
      <c r="AA136" s="6">
        <v>878</v>
      </c>
      <c r="AB136" s="6">
        <v>7358.8</v>
      </c>
      <c r="AC136" s="6">
        <v>50304.07</v>
      </c>
      <c r="AD136" s="6">
        <v>20049.66</v>
      </c>
      <c r="AE136" s="6">
        <v>57662.87</v>
      </c>
      <c r="AF136" s="6">
        <v>1274.3599999999999</v>
      </c>
      <c r="AG136" s="6">
        <v>58937.23</v>
      </c>
      <c r="AH136" s="10"/>
      <c r="AI136" t="s">
        <v>1019</v>
      </c>
      <c r="AJ136" s="11" t="str">
        <f t="shared" si="7"/>
        <v>LINK</v>
      </c>
    </row>
    <row r="137" spans="2:36" x14ac:dyDescent="0.25">
      <c r="C137" t="s">
        <v>607</v>
      </c>
      <c r="D137" t="s">
        <v>608</v>
      </c>
      <c r="E137" t="s">
        <v>16</v>
      </c>
      <c r="F137" t="s">
        <v>17</v>
      </c>
      <c r="G137" t="s">
        <v>18</v>
      </c>
      <c r="H137" t="s">
        <v>596</v>
      </c>
      <c r="I137">
        <v>37.354260359999898</v>
      </c>
      <c r="J137">
        <v>-84.3415178999999</v>
      </c>
      <c r="K137" t="s">
        <v>609</v>
      </c>
      <c r="L137" t="s">
        <v>280</v>
      </c>
      <c r="M137" t="s">
        <v>517</v>
      </c>
      <c r="N137" t="s">
        <v>610</v>
      </c>
      <c r="O137">
        <v>3952</v>
      </c>
      <c r="P137" t="s">
        <v>20</v>
      </c>
      <c r="R137" t="s">
        <v>22</v>
      </c>
      <c r="S137" s="9">
        <v>18759.05</v>
      </c>
      <c r="T137" s="9">
        <v>499.09</v>
      </c>
      <c r="U137" s="9">
        <v>3591.14</v>
      </c>
      <c r="V137" s="9">
        <v>109.28</v>
      </c>
      <c r="W137">
        <v>3121</v>
      </c>
      <c r="X137" s="6">
        <v>20</v>
      </c>
      <c r="Y137" s="6">
        <v>391</v>
      </c>
      <c r="Z137" s="6">
        <v>453</v>
      </c>
      <c r="AA137" s="6">
        <v>844</v>
      </c>
      <c r="AB137" s="6">
        <v>2206.9</v>
      </c>
      <c r="AC137" s="6">
        <v>14350.92</v>
      </c>
      <c r="AD137" s="6">
        <v>28286.5</v>
      </c>
      <c r="AE137" s="6">
        <v>16557.82</v>
      </c>
      <c r="AF137" s="6">
        <v>0</v>
      </c>
      <c r="AG137" s="6">
        <v>16557.82</v>
      </c>
      <c r="AH137" s="10"/>
      <c r="AI137" t="s">
        <v>1139</v>
      </c>
      <c r="AJ137" s="11" t="str">
        <f t="shared" si="7"/>
        <v>LINK</v>
      </c>
    </row>
    <row r="138" spans="2:36" x14ac:dyDescent="0.25">
      <c r="C138" t="s">
        <v>281</v>
      </c>
      <c r="D138" t="s">
        <v>282</v>
      </c>
      <c r="E138" t="s">
        <v>16</v>
      </c>
      <c r="F138" t="s">
        <v>17</v>
      </c>
      <c r="G138" t="s">
        <v>18</v>
      </c>
      <c r="I138">
        <v>31.2060928299999</v>
      </c>
      <c r="J138">
        <v>-83.251335659999896</v>
      </c>
      <c r="K138" t="s">
        <v>283</v>
      </c>
      <c r="L138" t="s">
        <v>284</v>
      </c>
      <c r="M138" t="s">
        <v>120</v>
      </c>
      <c r="N138" t="s">
        <v>285</v>
      </c>
      <c r="O138">
        <v>246</v>
      </c>
      <c r="P138" t="s">
        <v>20</v>
      </c>
      <c r="Q138" t="s">
        <v>121</v>
      </c>
      <c r="R138" t="s">
        <v>37</v>
      </c>
      <c r="S138" s="9">
        <v>15265.71</v>
      </c>
      <c r="T138" s="9">
        <v>38309.35</v>
      </c>
      <c r="U138" s="9">
        <v>2894.44</v>
      </c>
      <c r="V138" s="9">
        <v>13081.69</v>
      </c>
      <c r="W138">
        <v>3008</v>
      </c>
      <c r="X138" s="6">
        <v>32</v>
      </c>
      <c r="Y138" s="6">
        <v>382</v>
      </c>
      <c r="Z138" s="6">
        <v>1833</v>
      </c>
      <c r="AA138" s="6">
        <v>2215</v>
      </c>
      <c r="AB138" s="6">
        <v>1702.8</v>
      </c>
      <c r="AC138" s="6">
        <v>22029.88</v>
      </c>
      <c r="AD138" s="6">
        <v>94633.13</v>
      </c>
      <c r="AE138" s="6">
        <v>23732.68</v>
      </c>
      <c r="AF138" s="6">
        <v>0</v>
      </c>
      <c r="AG138" s="6">
        <v>23732.68</v>
      </c>
      <c r="AH138" s="10"/>
      <c r="AI138" t="s">
        <v>1096</v>
      </c>
      <c r="AJ138" s="11" t="str">
        <f t="shared" si="7"/>
        <v>LINK</v>
      </c>
    </row>
    <row r="139" spans="2:36" x14ac:dyDescent="0.25">
      <c r="C139" t="s">
        <v>464</v>
      </c>
      <c r="D139" t="s">
        <v>465</v>
      </c>
      <c r="E139" t="s">
        <v>16</v>
      </c>
      <c r="F139" t="s">
        <v>17</v>
      </c>
      <c r="G139" t="s">
        <v>18</v>
      </c>
      <c r="I139">
        <v>42.020860280000001</v>
      </c>
      <c r="J139">
        <v>-93.451133909999896</v>
      </c>
      <c r="K139" t="s">
        <v>466</v>
      </c>
      <c r="L139" t="s">
        <v>467</v>
      </c>
      <c r="M139" t="s">
        <v>328</v>
      </c>
      <c r="N139" t="s">
        <v>468</v>
      </c>
      <c r="O139">
        <v>198</v>
      </c>
      <c r="P139" t="s">
        <v>20</v>
      </c>
      <c r="Q139" t="s">
        <v>329</v>
      </c>
      <c r="R139" t="s">
        <v>22</v>
      </c>
      <c r="S139" s="9">
        <v>11056.93</v>
      </c>
      <c r="T139" s="9">
        <v>28612.74</v>
      </c>
      <c r="U139" s="9">
        <v>2617.89</v>
      </c>
      <c r="V139" s="9">
        <v>9103.6200000000008</v>
      </c>
      <c r="W139">
        <v>3724</v>
      </c>
      <c r="X139" s="6">
        <v>24</v>
      </c>
      <c r="Y139" s="6">
        <v>373</v>
      </c>
      <c r="Z139" s="6">
        <v>291</v>
      </c>
      <c r="AA139" s="6">
        <v>664</v>
      </c>
      <c r="AB139" s="6">
        <v>6692.5</v>
      </c>
      <c r="AC139" s="6">
        <v>6010.5</v>
      </c>
      <c r="AD139" s="6">
        <v>5621.9</v>
      </c>
      <c r="AE139" s="6">
        <v>12703</v>
      </c>
      <c r="AF139" s="6">
        <v>0</v>
      </c>
      <c r="AG139" s="6">
        <v>12703</v>
      </c>
      <c r="AH139" s="10"/>
      <c r="AI139" t="s">
        <v>1118</v>
      </c>
      <c r="AJ139" s="11" t="str">
        <f t="shared" si="7"/>
        <v>LINK</v>
      </c>
    </row>
    <row r="140" spans="2:36" x14ac:dyDescent="0.25">
      <c r="C140" t="s">
        <v>2829</v>
      </c>
      <c r="D140" t="s">
        <v>474</v>
      </c>
      <c r="E140" t="s">
        <v>16</v>
      </c>
      <c r="F140" t="s">
        <v>17</v>
      </c>
      <c r="G140" t="s">
        <v>18</v>
      </c>
      <c r="I140">
        <v>43.0661261999999</v>
      </c>
      <c r="J140">
        <v>-92.307775789999894</v>
      </c>
      <c r="K140" t="s">
        <v>475</v>
      </c>
      <c r="L140" t="s">
        <v>472</v>
      </c>
      <c r="M140" t="s">
        <v>328</v>
      </c>
      <c r="N140" t="s">
        <v>476</v>
      </c>
      <c r="O140">
        <v>3305</v>
      </c>
      <c r="P140" t="s">
        <v>20</v>
      </c>
      <c r="Q140" t="s">
        <v>329</v>
      </c>
      <c r="R140" t="s">
        <v>22</v>
      </c>
      <c r="S140" s="9">
        <v>0</v>
      </c>
      <c r="T140" s="9">
        <v>0</v>
      </c>
      <c r="U140" s="9">
        <v>0</v>
      </c>
      <c r="V140" s="9">
        <v>0</v>
      </c>
      <c r="W140">
        <v>10084</v>
      </c>
      <c r="X140" s="6">
        <v>1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10"/>
      <c r="AJ140" s="11" t="str">
        <f t="shared" si="7"/>
        <v>LINK</v>
      </c>
    </row>
    <row r="141" spans="2:36" x14ac:dyDescent="0.25">
      <c r="C141" t="s">
        <v>469</v>
      </c>
      <c r="D141" t="s">
        <v>470</v>
      </c>
      <c r="E141" t="s">
        <v>16</v>
      </c>
      <c r="F141" t="s">
        <v>17</v>
      </c>
      <c r="G141" t="s">
        <v>18</v>
      </c>
      <c r="I141">
        <v>43.059092110000002</v>
      </c>
      <c r="J141">
        <v>-92.312723320000003</v>
      </c>
      <c r="K141" t="s">
        <v>471</v>
      </c>
      <c r="L141" t="s">
        <v>472</v>
      </c>
      <c r="M141" t="s">
        <v>328</v>
      </c>
      <c r="N141" t="s">
        <v>473</v>
      </c>
      <c r="O141">
        <v>2410</v>
      </c>
      <c r="P141" t="s">
        <v>20</v>
      </c>
      <c r="Q141" t="s">
        <v>329</v>
      </c>
      <c r="R141" t="s">
        <v>22</v>
      </c>
      <c r="S141" s="9">
        <v>20634.310000000001</v>
      </c>
      <c r="T141" s="9">
        <v>11355.58</v>
      </c>
      <c r="U141" s="9">
        <v>5184.2</v>
      </c>
      <c r="V141" s="9">
        <v>5897.08</v>
      </c>
      <c r="W141">
        <v>3812</v>
      </c>
      <c r="X141" s="6">
        <v>32</v>
      </c>
      <c r="Y141" s="6">
        <v>267</v>
      </c>
      <c r="Z141" s="6">
        <v>133</v>
      </c>
      <c r="AA141" s="6">
        <v>400</v>
      </c>
      <c r="AB141" s="6">
        <v>1850</v>
      </c>
      <c r="AC141" s="6">
        <v>8116.15</v>
      </c>
      <c r="AD141" s="6">
        <v>6964</v>
      </c>
      <c r="AE141" s="6">
        <v>9966.15</v>
      </c>
      <c r="AF141" s="6">
        <v>0</v>
      </c>
      <c r="AG141" s="6">
        <v>9966.15</v>
      </c>
      <c r="AH141" s="10"/>
      <c r="AI141" t="s">
        <v>1020</v>
      </c>
      <c r="AJ141" s="11" t="str">
        <f t="shared" si="7"/>
        <v>LINK</v>
      </c>
    </row>
    <row r="142" spans="2:36" s="5" customFormat="1" x14ac:dyDescent="0.25">
      <c r="B142" s="5" t="s">
        <v>3405</v>
      </c>
      <c r="C142" s="5" t="s">
        <v>774</v>
      </c>
      <c r="D142" s="5" t="s">
        <v>775</v>
      </c>
      <c r="E142" s="5" t="s">
        <v>16</v>
      </c>
      <c r="F142" s="5" t="s">
        <v>17</v>
      </c>
      <c r="G142" s="5" t="s">
        <v>18</v>
      </c>
      <c r="I142" s="5">
        <v>40.059448529999898</v>
      </c>
      <c r="J142" s="5">
        <v>-82.404873050000006</v>
      </c>
      <c r="K142" s="5" t="s">
        <v>776</v>
      </c>
      <c r="L142" s="5" t="s">
        <v>772</v>
      </c>
      <c r="M142" s="5" t="s">
        <v>675</v>
      </c>
      <c r="N142" s="5" t="s">
        <v>777</v>
      </c>
      <c r="O142" s="5">
        <v>2693</v>
      </c>
      <c r="P142" s="5" t="s">
        <v>20</v>
      </c>
      <c r="Q142" s="5" t="s">
        <v>697</v>
      </c>
      <c r="R142" s="5" t="s">
        <v>22</v>
      </c>
      <c r="S142" s="4">
        <v>49396.639999999999</v>
      </c>
      <c r="T142" s="4">
        <v>121164.43</v>
      </c>
      <c r="U142" s="4">
        <v>30226.23</v>
      </c>
      <c r="V142" s="4">
        <v>45375.08</v>
      </c>
      <c r="W142" s="5">
        <v>35563</v>
      </c>
      <c r="X142" s="3">
        <v>145</v>
      </c>
      <c r="Y142" s="3">
        <v>717</v>
      </c>
      <c r="Z142" s="3">
        <v>1236</v>
      </c>
      <c r="AA142" s="3">
        <v>1953</v>
      </c>
      <c r="AB142" s="3">
        <v>6099.45</v>
      </c>
      <c r="AC142" s="3">
        <v>28989.82</v>
      </c>
      <c r="AD142" s="3">
        <v>57489.56</v>
      </c>
      <c r="AE142" s="3">
        <v>35089.269999999997</v>
      </c>
      <c r="AF142" s="3">
        <v>0</v>
      </c>
      <c r="AG142" s="3">
        <v>35089.269999999997</v>
      </c>
      <c r="AH142" s="2"/>
      <c r="AI142" s="5" t="s">
        <v>1034</v>
      </c>
      <c r="AJ142" s="1" t="str">
        <f t="shared" si="7"/>
        <v>LINK</v>
      </c>
    </row>
    <row r="143" spans="2:36" x14ac:dyDescent="0.25">
      <c r="C143" t="s">
        <v>782</v>
      </c>
      <c r="D143" t="s">
        <v>783</v>
      </c>
      <c r="E143" t="s">
        <v>16</v>
      </c>
      <c r="F143" t="s">
        <v>17</v>
      </c>
      <c r="G143" t="s">
        <v>18</v>
      </c>
      <c r="I143">
        <v>40.0575081</v>
      </c>
      <c r="J143">
        <v>-82.427187939999897</v>
      </c>
      <c r="K143" t="s">
        <v>784</v>
      </c>
      <c r="L143" t="s">
        <v>772</v>
      </c>
      <c r="M143" t="s">
        <v>675</v>
      </c>
      <c r="N143" t="s">
        <v>785</v>
      </c>
      <c r="O143">
        <v>2698</v>
      </c>
      <c r="P143" t="s">
        <v>20</v>
      </c>
      <c r="Q143" t="s">
        <v>697</v>
      </c>
      <c r="R143" t="s">
        <v>22</v>
      </c>
      <c r="S143" s="9">
        <v>11492.02</v>
      </c>
      <c r="T143" s="9">
        <v>37418.83</v>
      </c>
      <c r="U143" s="9">
        <v>16558.27</v>
      </c>
      <c r="V143" s="9">
        <v>11204.83</v>
      </c>
      <c r="W143">
        <v>8571</v>
      </c>
      <c r="X143" s="6">
        <v>21</v>
      </c>
      <c r="Y143" s="6">
        <v>353</v>
      </c>
      <c r="Z143" s="6">
        <v>1001</v>
      </c>
      <c r="AA143" s="6">
        <v>1354</v>
      </c>
      <c r="AB143" s="6">
        <v>3248.8</v>
      </c>
      <c r="AC143" s="6">
        <v>5165.7</v>
      </c>
      <c r="AD143" s="6">
        <v>3534.9</v>
      </c>
      <c r="AE143" s="6">
        <v>8414.5</v>
      </c>
      <c r="AF143" s="6">
        <v>0</v>
      </c>
      <c r="AG143" s="6">
        <v>8414.5</v>
      </c>
      <c r="AH143" s="10"/>
      <c r="AI143" t="s">
        <v>1036</v>
      </c>
      <c r="AJ143" s="11" t="str">
        <f t="shared" si="7"/>
        <v>LINK</v>
      </c>
    </row>
    <row r="144" spans="2:36" x14ac:dyDescent="0.25">
      <c r="C144" t="s">
        <v>786</v>
      </c>
      <c r="D144" t="s">
        <v>787</v>
      </c>
      <c r="E144" t="s">
        <v>16</v>
      </c>
      <c r="F144" t="s">
        <v>17</v>
      </c>
      <c r="G144" t="s">
        <v>18</v>
      </c>
      <c r="I144">
        <v>40.013564850000002</v>
      </c>
      <c r="J144">
        <v>-82.404617729999899</v>
      </c>
      <c r="K144" t="s">
        <v>788</v>
      </c>
      <c r="L144" t="s">
        <v>772</v>
      </c>
      <c r="M144" t="s">
        <v>675</v>
      </c>
      <c r="N144" t="s">
        <v>789</v>
      </c>
      <c r="O144">
        <v>2695</v>
      </c>
      <c r="P144" t="s">
        <v>20</v>
      </c>
      <c r="Q144" t="s">
        <v>697</v>
      </c>
      <c r="R144" t="s">
        <v>22</v>
      </c>
      <c r="S144" s="9">
        <v>21970.46</v>
      </c>
      <c r="T144" s="9">
        <v>17911.259999999998</v>
      </c>
      <c r="U144" s="9">
        <v>4915.45</v>
      </c>
      <c r="V144" s="9">
        <v>6951.21</v>
      </c>
      <c r="W144">
        <v>3890</v>
      </c>
      <c r="X144" s="6">
        <v>24</v>
      </c>
      <c r="Y144" s="6">
        <v>104</v>
      </c>
      <c r="Z144" s="6">
        <v>187</v>
      </c>
      <c r="AA144" s="6">
        <v>291</v>
      </c>
      <c r="AB144" s="6">
        <v>5275</v>
      </c>
      <c r="AC144" s="6">
        <v>7310.4</v>
      </c>
      <c r="AD144" s="6">
        <v>10830.2</v>
      </c>
      <c r="AE144" s="6">
        <v>12585.4</v>
      </c>
      <c r="AF144" s="6">
        <v>0</v>
      </c>
      <c r="AG144" s="6">
        <v>12585.4</v>
      </c>
      <c r="AH144" s="10"/>
      <c r="AI144" t="s">
        <v>1037</v>
      </c>
      <c r="AJ144" s="11" t="str">
        <f t="shared" si="7"/>
        <v>LINK</v>
      </c>
    </row>
    <row r="145" spans="2:36" x14ac:dyDescent="0.25">
      <c r="C145" t="s">
        <v>778</v>
      </c>
      <c r="D145" t="s">
        <v>779</v>
      </c>
      <c r="E145" t="s">
        <v>16</v>
      </c>
      <c r="F145" t="s">
        <v>17</v>
      </c>
      <c r="G145" t="s">
        <v>18</v>
      </c>
      <c r="I145">
        <v>40.086893510000003</v>
      </c>
      <c r="J145">
        <v>-82.42710726</v>
      </c>
      <c r="K145" t="s">
        <v>780</v>
      </c>
      <c r="L145" t="s">
        <v>772</v>
      </c>
      <c r="M145" t="s">
        <v>675</v>
      </c>
      <c r="N145" t="s">
        <v>781</v>
      </c>
      <c r="O145">
        <v>2694</v>
      </c>
      <c r="P145" t="s">
        <v>20</v>
      </c>
      <c r="Q145" t="s">
        <v>697</v>
      </c>
      <c r="R145" t="s">
        <v>22</v>
      </c>
      <c r="S145" s="9">
        <v>22088.84</v>
      </c>
      <c r="T145" s="9">
        <v>49744.82</v>
      </c>
      <c r="U145" s="9">
        <v>5754.05</v>
      </c>
      <c r="V145" s="9">
        <v>18913.78</v>
      </c>
      <c r="W145">
        <v>3870</v>
      </c>
      <c r="X145" s="6">
        <v>25</v>
      </c>
      <c r="Y145" s="6">
        <v>368</v>
      </c>
      <c r="Z145" s="6">
        <v>1098</v>
      </c>
      <c r="AA145" s="6">
        <v>1466</v>
      </c>
      <c r="AB145" s="6">
        <v>1305</v>
      </c>
      <c r="AC145" s="6">
        <v>7591.2</v>
      </c>
      <c r="AD145" s="6">
        <v>9091.2999999999993</v>
      </c>
      <c r="AE145" s="6">
        <v>8896.2000000000007</v>
      </c>
      <c r="AF145" s="6">
        <v>0</v>
      </c>
      <c r="AG145" s="6">
        <v>8896.2000000000007</v>
      </c>
      <c r="AH145" s="10"/>
      <c r="AI145" t="s">
        <v>1035</v>
      </c>
      <c r="AJ145" s="11" t="str">
        <f t="shared" si="7"/>
        <v>LINK</v>
      </c>
    </row>
    <row r="146" spans="2:36" x14ac:dyDescent="0.25">
      <c r="C146" t="s">
        <v>769</v>
      </c>
      <c r="D146" t="s">
        <v>770</v>
      </c>
      <c r="E146" t="s">
        <v>16</v>
      </c>
      <c r="F146" t="s">
        <v>17</v>
      </c>
      <c r="G146" t="s">
        <v>18</v>
      </c>
      <c r="I146">
        <v>40.041316889999898</v>
      </c>
      <c r="J146">
        <v>-82.441717960000005</v>
      </c>
      <c r="K146" t="s">
        <v>771</v>
      </c>
      <c r="L146" t="s">
        <v>772</v>
      </c>
      <c r="M146" t="s">
        <v>675</v>
      </c>
      <c r="N146" t="s">
        <v>773</v>
      </c>
      <c r="O146">
        <v>2696</v>
      </c>
      <c r="P146" t="s">
        <v>20</v>
      </c>
      <c r="Q146" t="s">
        <v>697</v>
      </c>
      <c r="R146" t="s">
        <v>22</v>
      </c>
      <c r="S146" s="9">
        <v>13836.72</v>
      </c>
      <c r="T146" s="9">
        <v>25230.74</v>
      </c>
      <c r="U146" s="9">
        <v>6747.48</v>
      </c>
      <c r="V146" s="9">
        <v>5840.05</v>
      </c>
      <c r="W146">
        <v>3614</v>
      </c>
      <c r="X146" s="6">
        <v>27</v>
      </c>
      <c r="Y146" s="6">
        <v>316</v>
      </c>
      <c r="Z146" s="6">
        <v>513</v>
      </c>
      <c r="AA146" s="6">
        <v>829</v>
      </c>
      <c r="AB146" s="6">
        <v>2837</v>
      </c>
      <c r="AC146" s="6">
        <v>4385.8999999999996</v>
      </c>
      <c r="AD146" s="6">
        <v>7342.7</v>
      </c>
      <c r="AE146" s="6">
        <v>7222.9</v>
      </c>
      <c r="AF146" s="6">
        <v>0</v>
      </c>
      <c r="AG146" s="6">
        <v>7222.9</v>
      </c>
      <c r="AH146" s="10">
        <v>42881</v>
      </c>
      <c r="AI146" t="s">
        <v>1033</v>
      </c>
      <c r="AJ146" s="11" t="str">
        <f t="shared" si="7"/>
        <v>LINK</v>
      </c>
    </row>
    <row r="147" spans="2:36" s="5" customFormat="1" x14ac:dyDescent="0.25">
      <c r="B147" s="5" t="s">
        <v>3405</v>
      </c>
      <c r="C147" s="5" t="s">
        <v>477</v>
      </c>
      <c r="D147" s="5" t="s">
        <v>478</v>
      </c>
      <c r="E147" s="5" t="s">
        <v>16</v>
      </c>
      <c r="F147" s="5" t="s">
        <v>17</v>
      </c>
      <c r="G147" s="5" t="s">
        <v>18</v>
      </c>
      <c r="I147" s="5">
        <v>41.698331500000002</v>
      </c>
      <c r="J147" s="5">
        <v>-93.054485650000004</v>
      </c>
      <c r="K147" s="5" t="s">
        <v>479</v>
      </c>
      <c r="L147" s="5" t="s">
        <v>480</v>
      </c>
      <c r="M147" s="5" t="s">
        <v>328</v>
      </c>
      <c r="N147" s="5" t="s">
        <v>481</v>
      </c>
      <c r="O147" s="5">
        <v>2411</v>
      </c>
      <c r="P147" s="5" t="s">
        <v>20</v>
      </c>
      <c r="Q147" s="5" t="s">
        <v>329</v>
      </c>
      <c r="R147" s="5" t="s">
        <v>22</v>
      </c>
      <c r="S147" s="4">
        <v>143343.34</v>
      </c>
      <c r="T147" s="4">
        <v>91808.72</v>
      </c>
      <c r="U147" s="4">
        <v>31658.36</v>
      </c>
      <c r="V147" s="4">
        <v>22200.06</v>
      </c>
      <c r="W147" s="5">
        <v>43934</v>
      </c>
      <c r="X147" s="3">
        <v>60</v>
      </c>
      <c r="Y147" s="3">
        <v>862</v>
      </c>
      <c r="Z147" s="3">
        <v>1789</v>
      </c>
      <c r="AA147" s="3">
        <v>2651</v>
      </c>
      <c r="AB147" s="3">
        <v>7531.78</v>
      </c>
      <c r="AC147" s="3">
        <v>39884.18</v>
      </c>
      <c r="AD147" s="3">
        <v>90116.1</v>
      </c>
      <c r="AE147" s="3">
        <v>47415.96</v>
      </c>
      <c r="AF147" s="3">
        <v>0</v>
      </c>
      <c r="AG147" s="3">
        <v>47415.96</v>
      </c>
      <c r="AH147" s="2"/>
      <c r="AI147" s="5" t="s">
        <v>1119</v>
      </c>
      <c r="AJ147" s="1" t="str">
        <f t="shared" si="7"/>
        <v>LINK</v>
      </c>
    </row>
    <row r="148" spans="2:36" x14ac:dyDescent="0.25">
      <c r="B148" t="s">
        <v>3406</v>
      </c>
      <c r="C148" t="s">
        <v>611</v>
      </c>
      <c r="D148" t="s">
        <v>612</v>
      </c>
      <c r="E148" t="s">
        <v>16</v>
      </c>
      <c r="F148" t="s">
        <v>17</v>
      </c>
      <c r="G148" t="s">
        <v>18</v>
      </c>
      <c r="I148">
        <v>37.8806709099999</v>
      </c>
      <c r="J148">
        <v>-84.572366110000004</v>
      </c>
      <c r="K148" t="s">
        <v>613</v>
      </c>
      <c r="L148" t="s">
        <v>614</v>
      </c>
      <c r="M148" t="s">
        <v>517</v>
      </c>
      <c r="N148" t="s">
        <v>615</v>
      </c>
      <c r="O148">
        <v>123</v>
      </c>
      <c r="P148" t="s">
        <v>20</v>
      </c>
      <c r="Q148" t="s">
        <v>519</v>
      </c>
      <c r="R148" t="s">
        <v>37</v>
      </c>
      <c r="S148" s="9">
        <v>22704.46</v>
      </c>
      <c r="T148" s="9">
        <v>83234.990000000005</v>
      </c>
      <c r="U148" s="9">
        <v>9764.0499999999993</v>
      </c>
      <c r="V148" s="9">
        <v>22830.17</v>
      </c>
      <c r="W148">
        <v>6190</v>
      </c>
      <c r="X148" s="6">
        <v>121</v>
      </c>
      <c r="Y148" s="6">
        <v>335</v>
      </c>
      <c r="Z148" s="6">
        <v>1385</v>
      </c>
      <c r="AA148" s="6">
        <v>1720</v>
      </c>
      <c r="AB148" s="6">
        <v>19185.03</v>
      </c>
      <c r="AC148" s="6">
        <v>26962.61</v>
      </c>
      <c r="AD148" s="6">
        <v>49596.69</v>
      </c>
      <c r="AE148" s="6">
        <v>46147.64</v>
      </c>
      <c r="AF148" s="6">
        <v>0</v>
      </c>
      <c r="AG148" s="6">
        <v>46147.64</v>
      </c>
      <c r="AH148" s="10"/>
      <c r="AI148" t="s">
        <v>1140</v>
      </c>
      <c r="AJ148" s="11" t="str">
        <f t="shared" si="7"/>
        <v>LINK</v>
      </c>
    </row>
    <row r="149" spans="2:36" x14ac:dyDescent="0.25">
      <c r="C149" t="s">
        <v>965</v>
      </c>
      <c r="D149" t="s">
        <v>966</v>
      </c>
      <c r="E149" t="s">
        <v>16</v>
      </c>
      <c r="F149" t="s">
        <v>17</v>
      </c>
      <c r="G149" t="s">
        <v>18</v>
      </c>
      <c r="I149">
        <v>33.78899947</v>
      </c>
      <c r="J149">
        <v>-97.726498309999897</v>
      </c>
      <c r="K149" t="s">
        <v>967</v>
      </c>
      <c r="L149" t="s">
        <v>968</v>
      </c>
      <c r="M149" t="s">
        <v>905</v>
      </c>
      <c r="N149" t="s">
        <v>969</v>
      </c>
      <c r="O149">
        <v>113</v>
      </c>
      <c r="P149" t="s">
        <v>20</v>
      </c>
      <c r="Q149" t="s">
        <v>906</v>
      </c>
      <c r="R149" t="s">
        <v>37</v>
      </c>
      <c r="S149" s="9">
        <v>13871.13</v>
      </c>
      <c r="T149" s="9">
        <v>27432.25</v>
      </c>
      <c r="U149" s="9">
        <v>6049.29</v>
      </c>
      <c r="V149" s="9">
        <v>6941.63</v>
      </c>
      <c r="W149">
        <v>6642</v>
      </c>
      <c r="X149" s="6">
        <v>21</v>
      </c>
      <c r="Y149" s="6">
        <v>165</v>
      </c>
      <c r="Z149" s="6">
        <v>551</v>
      </c>
      <c r="AA149" s="6">
        <v>716</v>
      </c>
      <c r="AB149" s="6">
        <v>2282</v>
      </c>
      <c r="AC149" s="6">
        <v>3964</v>
      </c>
      <c r="AD149" s="6">
        <v>2812</v>
      </c>
      <c r="AE149" s="6">
        <v>6246</v>
      </c>
      <c r="AF149" s="6">
        <v>0</v>
      </c>
      <c r="AG149" s="6">
        <v>6246</v>
      </c>
      <c r="AH149" s="10">
        <v>42881</v>
      </c>
      <c r="AI149" t="s">
        <v>1181</v>
      </c>
      <c r="AJ149" s="11" t="str">
        <f t="shared" si="7"/>
        <v>LINK</v>
      </c>
    </row>
    <row r="150" spans="2:36" x14ac:dyDescent="0.25">
      <c r="C150" t="s">
        <v>790</v>
      </c>
      <c r="D150" t="s">
        <v>791</v>
      </c>
      <c r="E150" t="s">
        <v>16</v>
      </c>
      <c r="F150" t="s">
        <v>17</v>
      </c>
      <c r="G150" t="s">
        <v>18</v>
      </c>
      <c r="I150">
        <v>41.39099066</v>
      </c>
      <c r="J150">
        <v>-82.019140820000004</v>
      </c>
      <c r="K150" t="s">
        <v>792</v>
      </c>
      <c r="L150" t="s">
        <v>793</v>
      </c>
      <c r="M150" t="s">
        <v>675</v>
      </c>
      <c r="N150" t="s">
        <v>794</v>
      </c>
      <c r="O150">
        <v>2036</v>
      </c>
      <c r="P150" t="s">
        <v>20</v>
      </c>
      <c r="Q150" t="s">
        <v>697</v>
      </c>
      <c r="R150" t="s">
        <v>37</v>
      </c>
      <c r="S150" s="9">
        <v>18919.189999999999</v>
      </c>
      <c r="T150" s="9">
        <v>49097.53</v>
      </c>
      <c r="U150" s="9">
        <v>8102.58</v>
      </c>
      <c r="V150" s="9">
        <v>13337.74</v>
      </c>
      <c r="W150">
        <v>10048</v>
      </c>
      <c r="X150" s="6">
        <v>57</v>
      </c>
      <c r="Y150" s="6">
        <v>207</v>
      </c>
      <c r="Z150" s="6">
        <v>235</v>
      </c>
      <c r="AA150" s="6">
        <v>442</v>
      </c>
      <c r="AB150" s="6">
        <v>1130</v>
      </c>
      <c r="AC150" s="6">
        <v>13757.26</v>
      </c>
      <c r="AD150" s="6">
        <v>565</v>
      </c>
      <c r="AE150" s="6">
        <v>14887.26</v>
      </c>
      <c r="AF150" s="6">
        <v>0</v>
      </c>
      <c r="AG150" s="6">
        <v>14887.26</v>
      </c>
      <c r="AH150" s="10"/>
      <c r="AI150" t="s">
        <v>1038</v>
      </c>
      <c r="AJ150" s="11" t="str">
        <f t="shared" si="7"/>
        <v>LINK</v>
      </c>
    </row>
    <row r="151" spans="2:36" s="5" customFormat="1" x14ac:dyDescent="0.25">
      <c r="B151" s="5" t="s">
        <v>3405</v>
      </c>
      <c r="C151" s="5" t="s">
        <v>795</v>
      </c>
      <c r="D151" s="5" t="s">
        <v>796</v>
      </c>
      <c r="E151" s="5" t="s">
        <v>16</v>
      </c>
      <c r="F151" s="5" t="s">
        <v>17</v>
      </c>
      <c r="G151" s="5" t="s">
        <v>18</v>
      </c>
      <c r="I151" s="5">
        <v>41.314744480000002</v>
      </c>
      <c r="J151" s="5">
        <v>-81.537039320000005</v>
      </c>
      <c r="K151" s="5" t="s">
        <v>797</v>
      </c>
      <c r="L151" s="5" t="s">
        <v>798</v>
      </c>
      <c r="M151" s="5" t="s">
        <v>675</v>
      </c>
      <c r="N151" s="5" t="s">
        <v>799</v>
      </c>
      <c r="O151" s="5">
        <v>2701</v>
      </c>
      <c r="P151" s="5" t="s">
        <v>20</v>
      </c>
      <c r="Q151" s="5" t="s">
        <v>676</v>
      </c>
      <c r="R151" s="5" t="s">
        <v>37</v>
      </c>
      <c r="S151" s="4">
        <v>53064.32</v>
      </c>
      <c r="T151" s="4">
        <v>123417.05</v>
      </c>
      <c r="U151" s="4">
        <v>33189.06</v>
      </c>
      <c r="V151" s="4">
        <v>36876.69</v>
      </c>
      <c r="W151" s="5">
        <v>66721</v>
      </c>
      <c r="X151" s="3">
        <v>93</v>
      </c>
      <c r="Y151" s="3">
        <v>371</v>
      </c>
      <c r="Z151" s="3">
        <v>960</v>
      </c>
      <c r="AA151" s="3">
        <v>1331</v>
      </c>
      <c r="AB151" s="3">
        <v>4919.5</v>
      </c>
      <c r="AC151" s="3">
        <v>34006.75</v>
      </c>
      <c r="AD151" s="3">
        <v>24440.44</v>
      </c>
      <c r="AE151" s="3">
        <v>38926.25</v>
      </c>
      <c r="AF151" s="3">
        <v>0</v>
      </c>
      <c r="AG151" s="3">
        <v>38926.25</v>
      </c>
      <c r="AH151" s="2"/>
      <c r="AI151" s="5" t="s">
        <v>1163</v>
      </c>
      <c r="AJ151" s="1" t="str">
        <f t="shared" si="7"/>
        <v>LINK</v>
      </c>
    </row>
    <row r="152" spans="2:36" x14ac:dyDescent="0.25">
      <c r="C152" t="s">
        <v>665</v>
      </c>
      <c r="D152" t="s">
        <v>666</v>
      </c>
      <c r="E152" t="s">
        <v>16</v>
      </c>
      <c r="F152" t="s">
        <v>17</v>
      </c>
      <c r="G152" t="s">
        <v>18</v>
      </c>
      <c r="H152" t="s">
        <v>34</v>
      </c>
      <c r="I152">
        <v>35.22668599</v>
      </c>
      <c r="J152">
        <v>-80.12266339</v>
      </c>
      <c r="K152" t="s">
        <v>667</v>
      </c>
      <c r="L152" t="s">
        <v>668</v>
      </c>
      <c r="M152" t="s">
        <v>651</v>
      </c>
      <c r="N152" t="s">
        <v>669</v>
      </c>
      <c r="O152">
        <v>219</v>
      </c>
      <c r="P152" t="s">
        <v>20</v>
      </c>
      <c r="Q152" t="s">
        <v>653</v>
      </c>
      <c r="R152" t="s">
        <v>22</v>
      </c>
      <c r="S152" s="9">
        <v>13238.08</v>
      </c>
      <c r="T152" s="9">
        <v>18830.900000000001</v>
      </c>
      <c r="U152" s="9">
        <v>1134.28</v>
      </c>
      <c r="V152" s="9">
        <v>3417.55</v>
      </c>
      <c r="W152">
        <v>3400</v>
      </c>
      <c r="X152" s="6">
        <v>15</v>
      </c>
      <c r="Y152" s="6">
        <v>254</v>
      </c>
      <c r="Z152" s="6">
        <v>63</v>
      </c>
      <c r="AA152" s="6">
        <v>317</v>
      </c>
      <c r="AB152" s="6">
        <v>1310</v>
      </c>
      <c r="AC152" s="6">
        <v>1264.5</v>
      </c>
      <c r="AD152" s="6">
        <v>5104.33</v>
      </c>
      <c r="AE152" s="6">
        <v>2574.5</v>
      </c>
      <c r="AF152" s="6">
        <v>0</v>
      </c>
      <c r="AG152" s="6">
        <v>2574.5</v>
      </c>
      <c r="AH152" s="10"/>
      <c r="AI152" t="s">
        <v>1027</v>
      </c>
      <c r="AJ152" s="11" t="str">
        <f t="shared" si="7"/>
        <v>LINK</v>
      </c>
    </row>
    <row r="153" spans="2:36" x14ac:dyDescent="0.25">
      <c r="C153" t="s">
        <v>616</v>
      </c>
      <c r="D153" t="s">
        <v>617</v>
      </c>
      <c r="E153" t="s">
        <v>16</v>
      </c>
      <c r="F153" t="s">
        <v>17</v>
      </c>
      <c r="G153" t="s">
        <v>18</v>
      </c>
      <c r="I153">
        <v>38.302181390000001</v>
      </c>
      <c r="J153">
        <v>-83.170296109999896</v>
      </c>
      <c r="K153" t="s">
        <v>618</v>
      </c>
      <c r="L153" t="s">
        <v>619</v>
      </c>
      <c r="M153" t="s">
        <v>517</v>
      </c>
      <c r="N153" t="s">
        <v>620</v>
      </c>
      <c r="O153">
        <v>231</v>
      </c>
      <c r="P153" t="s">
        <v>20</v>
      </c>
      <c r="Q153" t="s">
        <v>519</v>
      </c>
      <c r="R153" t="s">
        <v>37</v>
      </c>
      <c r="S153" s="9">
        <v>20804.91</v>
      </c>
      <c r="T153" s="9">
        <v>21593.52</v>
      </c>
      <c r="U153" s="9">
        <v>1356.72</v>
      </c>
      <c r="V153" s="9">
        <v>6459.09</v>
      </c>
      <c r="W153">
        <v>3226</v>
      </c>
      <c r="X153" s="6">
        <v>42</v>
      </c>
      <c r="Y153" s="6">
        <v>126</v>
      </c>
      <c r="Z153" s="6">
        <v>12</v>
      </c>
      <c r="AA153" s="6">
        <v>138</v>
      </c>
      <c r="AB153" s="6">
        <v>3520</v>
      </c>
      <c r="AC153" s="6">
        <v>16399.38</v>
      </c>
      <c r="AD153" s="6">
        <v>88835.7</v>
      </c>
      <c r="AE153" s="6">
        <v>19919.38</v>
      </c>
      <c r="AF153" s="6">
        <v>0</v>
      </c>
      <c r="AG153" s="6">
        <v>19919.38</v>
      </c>
      <c r="AH153" s="10"/>
      <c r="AI153" t="s">
        <v>1141</v>
      </c>
      <c r="AJ153" s="11" t="str">
        <f t="shared" si="7"/>
        <v>LINK</v>
      </c>
    </row>
    <row r="154" spans="2:36" x14ac:dyDescent="0.25">
      <c r="C154" t="s">
        <v>621</v>
      </c>
      <c r="D154" t="s">
        <v>622</v>
      </c>
      <c r="E154" t="s">
        <v>16</v>
      </c>
      <c r="F154" t="s">
        <v>17</v>
      </c>
      <c r="G154" t="s">
        <v>18</v>
      </c>
      <c r="H154" t="s">
        <v>206</v>
      </c>
      <c r="I154">
        <v>38.141086369999897</v>
      </c>
      <c r="J154">
        <v>-83.765921210000002</v>
      </c>
      <c r="K154" t="s">
        <v>623</v>
      </c>
      <c r="L154" t="s">
        <v>624</v>
      </c>
      <c r="M154" t="s">
        <v>517</v>
      </c>
      <c r="N154" t="s">
        <v>625</v>
      </c>
      <c r="O154">
        <v>213</v>
      </c>
      <c r="P154" t="s">
        <v>20</v>
      </c>
      <c r="Q154" t="s">
        <v>519</v>
      </c>
      <c r="R154" t="s">
        <v>37</v>
      </c>
      <c r="S154" s="9">
        <v>31837.3</v>
      </c>
      <c r="T154" s="9">
        <v>28246.45</v>
      </c>
      <c r="U154" s="9">
        <v>1942.74</v>
      </c>
      <c r="V154" s="9">
        <v>14239.2</v>
      </c>
      <c r="W154">
        <v>3527</v>
      </c>
      <c r="X154" s="6">
        <v>50</v>
      </c>
      <c r="Y154" s="6">
        <v>147</v>
      </c>
      <c r="Z154" s="6">
        <v>286</v>
      </c>
      <c r="AA154" s="6">
        <v>433</v>
      </c>
      <c r="AB154" s="6">
        <v>0</v>
      </c>
      <c r="AC154" s="6">
        <v>8850.1</v>
      </c>
      <c r="AD154" s="6">
        <v>96871</v>
      </c>
      <c r="AE154" s="6">
        <v>8850.1</v>
      </c>
      <c r="AF154" s="6">
        <v>0</v>
      </c>
      <c r="AG154" s="6">
        <v>8850.1</v>
      </c>
      <c r="AH154" s="10"/>
      <c r="AI154" t="s">
        <v>1142</v>
      </c>
      <c r="AJ154" s="11" t="str">
        <f t="shared" si="7"/>
        <v>LINK</v>
      </c>
    </row>
    <row r="155" spans="2:36" x14ac:dyDescent="0.25">
      <c r="C155" t="s">
        <v>800</v>
      </c>
      <c r="D155" t="s">
        <v>801</v>
      </c>
      <c r="E155" t="s">
        <v>16</v>
      </c>
      <c r="F155" t="s">
        <v>17</v>
      </c>
      <c r="G155" t="s">
        <v>18</v>
      </c>
      <c r="H155" t="s">
        <v>25</v>
      </c>
      <c r="I155">
        <v>41.136055659999897</v>
      </c>
      <c r="J155">
        <v>-84.581590090000006</v>
      </c>
      <c r="K155" t="s">
        <v>802</v>
      </c>
      <c r="L155" t="s">
        <v>803</v>
      </c>
      <c r="M155" t="s">
        <v>675</v>
      </c>
      <c r="N155" t="s">
        <v>804</v>
      </c>
      <c r="O155">
        <v>2703</v>
      </c>
      <c r="P155" t="s">
        <v>20</v>
      </c>
      <c r="Q155" t="s">
        <v>697</v>
      </c>
      <c r="R155" t="s">
        <v>22</v>
      </c>
      <c r="S155" s="9">
        <v>15146</v>
      </c>
      <c r="T155" s="9">
        <v>36175.35</v>
      </c>
      <c r="U155" s="9">
        <v>6226.06</v>
      </c>
      <c r="V155" s="9">
        <v>21258.48</v>
      </c>
      <c r="W155">
        <v>5400</v>
      </c>
      <c r="X155" s="6">
        <v>30</v>
      </c>
      <c r="Y155" s="6">
        <v>212</v>
      </c>
      <c r="Z155" s="6">
        <v>256</v>
      </c>
      <c r="AA155" s="6">
        <v>468</v>
      </c>
      <c r="AB155" s="6">
        <v>400</v>
      </c>
      <c r="AC155" s="6">
        <v>28574.98</v>
      </c>
      <c r="AD155" s="6">
        <v>16351.97</v>
      </c>
      <c r="AE155" s="6">
        <v>28974.98</v>
      </c>
      <c r="AF155" s="6">
        <v>0</v>
      </c>
      <c r="AG155" s="6">
        <v>28974.98</v>
      </c>
      <c r="AH155" s="10"/>
      <c r="AI155" t="s">
        <v>1039</v>
      </c>
      <c r="AJ155" s="11" t="str">
        <f t="shared" si="7"/>
        <v>LINK</v>
      </c>
    </row>
    <row r="156" spans="2:36" x14ac:dyDescent="0.25">
      <c r="C156" t="s">
        <v>971</v>
      </c>
      <c r="D156" t="s">
        <v>972</v>
      </c>
      <c r="E156" t="s">
        <v>16</v>
      </c>
      <c r="F156" t="s">
        <v>17</v>
      </c>
      <c r="G156" t="s">
        <v>18</v>
      </c>
      <c r="I156">
        <v>31.40444183</v>
      </c>
      <c r="J156">
        <v>-103.5034902</v>
      </c>
      <c r="K156" t="s">
        <v>973</v>
      </c>
      <c r="L156" t="s">
        <v>970</v>
      </c>
      <c r="M156" t="s">
        <v>905</v>
      </c>
      <c r="N156">
        <v>6372598</v>
      </c>
      <c r="P156" t="s">
        <v>38</v>
      </c>
      <c r="R156" t="s">
        <v>22</v>
      </c>
      <c r="S156" s="9">
        <v>10861.8</v>
      </c>
      <c r="T156" s="9">
        <v>21874.14</v>
      </c>
      <c r="U156" s="9">
        <v>12530.94</v>
      </c>
      <c r="V156" s="9">
        <v>6234.66</v>
      </c>
      <c r="W156">
        <v>3520</v>
      </c>
      <c r="X156" s="6">
        <v>35</v>
      </c>
      <c r="Y156" s="6">
        <v>419</v>
      </c>
      <c r="Z156" s="6">
        <v>661</v>
      </c>
      <c r="AA156" s="6">
        <v>1080</v>
      </c>
      <c r="AB156" s="6">
        <v>12038.4</v>
      </c>
      <c r="AC156" s="6">
        <v>6898.22</v>
      </c>
      <c r="AD156" s="6">
        <v>73171.839999999997</v>
      </c>
      <c r="AE156" s="6">
        <v>18936.62</v>
      </c>
      <c r="AF156" s="6">
        <v>0</v>
      </c>
      <c r="AG156" s="6">
        <v>18936.62</v>
      </c>
      <c r="AH156" s="10"/>
      <c r="AI156" t="s">
        <v>1182</v>
      </c>
      <c r="AJ156" s="11" t="str">
        <f t="shared" si="7"/>
        <v>LINK</v>
      </c>
    </row>
    <row r="157" spans="2:36" x14ac:dyDescent="0.25">
      <c r="C157" t="s">
        <v>805</v>
      </c>
      <c r="D157" t="s">
        <v>806</v>
      </c>
      <c r="E157" t="s">
        <v>16</v>
      </c>
      <c r="F157" t="s">
        <v>17</v>
      </c>
      <c r="G157" t="s">
        <v>18</v>
      </c>
      <c r="I157">
        <v>41.241245200000002</v>
      </c>
      <c r="J157">
        <v>-81.545441150000002</v>
      </c>
      <c r="K157" t="s">
        <v>807</v>
      </c>
      <c r="L157" t="s">
        <v>808</v>
      </c>
      <c r="M157" t="s">
        <v>675</v>
      </c>
      <c r="N157" t="s">
        <v>809</v>
      </c>
      <c r="O157">
        <v>2704</v>
      </c>
      <c r="P157" t="s">
        <v>20</v>
      </c>
      <c r="Q157" t="s">
        <v>676</v>
      </c>
      <c r="R157" t="s">
        <v>37</v>
      </c>
      <c r="S157" s="9">
        <v>14592.35</v>
      </c>
      <c r="T157" s="9">
        <v>16262.33</v>
      </c>
      <c r="U157" s="9">
        <v>5648.49</v>
      </c>
      <c r="V157" s="9">
        <v>3798.7</v>
      </c>
      <c r="W157">
        <v>4500</v>
      </c>
      <c r="X157" s="6">
        <v>15</v>
      </c>
      <c r="Y157" s="6">
        <v>83</v>
      </c>
      <c r="Z157" s="6">
        <v>207</v>
      </c>
      <c r="AA157" s="6">
        <v>290</v>
      </c>
      <c r="AB157" s="6">
        <v>588</v>
      </c>
      <c r="AC157" s="6">
        <v>0</v>
      </c>
      <c r="AD157" s="6">
        <v>8716.81</v>
      </c>
      <c r="AE157" s="6">
        <v>588</v>
      </c>
      <c r="AF157" s="6">
        <v>0</v>
      </c>
      <c r="AG157" s="6">
        <v>588</v>
      </c>
      <c r="AH157" s="10"/>
      <c r="AI157" t="s">
        <v>1164</v>
      </c>
      <c r="AJ157" s="11" t="str">
        <f t="shared" si="7"/>
        <v>LINK</v>
      </c>
    </row>
    <row r="158" spans="2:36" x14ac:dyDescent="0.25">
      <c r="C158" t="s">
        <v>286</v>
      </c>
      <c r="D158" t="s">
        <v>287</v>
      </c>
      <c r="E158" t="s">
        <v>16</v>
      </c>
      <c r="F158" t="s">
        <v>17</v>
      </c>
      <c r="G158" t="s">
        <v>18</v>
      </c>
      <c r="H158" t="s">
        <v>25</v>
      </c>
      <c r="I158">
        <v>32.435817909999898</v>
      </c>
      <c r="J158">
        <v>-83.7608892599999</v>
      </c>
      <c r="K158" t="s">
        <v>288</v>
      </c>
      <c r="L158" t="s">
        <v>65</v>
      </c>
      <c r="M158" t="s">
        <v>120</v>
      </c>
      <c r="N158" t="s">
        <v>289</v>
      </c>
      <c r="P158" t="s">
        <v>38</v>
      </c>
      <c r="Q158" t="s">
        <v>121</v>
      </c>
      <c r="R158" t="s">
        <v>37</v>
      </c>
      <c r="S158" s="9">
        <v>74920.94</v>
      </c>
      <c r="T158" s="9">
        <v>39785.99</v>
      </c>
      <c r="U158" s="9">
        <v>10635.06</v>
      </c>
      <c r="V158" s="9">
        <v>13189.05</v>
      </c>
      <c r="W158">
        <v>7732</v>
      </c>
      <c r="X158" s="6">
        <v>4</v>
      </c>
      <c r="Y158" s="6">
        <v>171</v>
      </c>
      <c r="Z158" s="6">
        <v>103</v>
      </c>
      <c r="AA158" s="6">
        <v>274</v>
      </c>
      <c r="AB158" s="6">
        <v>0</v>
      </c>
      <c r="AC158" s="6">
        <v>800</v>
      </c>
      <c r="AD158" s="6">
        <v>0</v>
      </c>
      <c r="AE158" s="6">
        <v>800</v>
      </c>
      <c r="AF158" s="6">
        <v>0</v>
      </c>
      <c r="AG158" s="6">
        <v>800</v>
      </c>
      <c r="AH158" s="10">
        <v>42917</v>
      </c>
      <c r="AI158" t="s">
        <v>1097</v>
      </c>
      <c r="AJ158" s="11" t="str">
        <f t="shared" si="7"/>
        <v>LINK</v>
      </c>
    </row>
    <row r="159" spans="2:36" x14ac:dyDescent="0.25">
      <c r="B159" t="s">
        <v>3406</v>
      </c>
      <c r="C159" t="s">
        <v>290</v>
      </c>
      <c r="D159" t="s">
        <v>291</v>
      </c>
      <c r="E159" t="s">
        <v>16</v>
      </c>
      <c r="F159" t="s">
        <v>17</v>
      </c>
      <c r="G159" t="s">
        <v>18</v>
      </c>
      <c r="I159">
        <v>32.457381949999899</v>
      </c>
      <c r="J159">
        <v>-83.73262665</v>
      </c>
      <c r="K159" t="s">
        <v>292</v>
      </c>
      <c r="L159" t="s">
        <v>65</v>
      </c>
      <c r="M159" t="s">
        <v>120</v>
      </c>
      <c r="N159" t="s">
        <v>293</v>
      </c>
      <c r="O159">
        <v>133</v>
      </c>
      <c r="P159" t="s">
        <v>20</v>
      </c>
      <c r="Q159" t="s">
        <v>121</v>
      </c>
      <c r="R159" t="s">
        <v>37</v>
      </c>
      <c r="S159" s="9">
        <v>18113.29</v>
      </c>
      <c r="T159" s="9">
        <v>90112.320000000007</v>
      </c>
      <c r="U159" s="9">
        <v>3981.92</v>
      </c>
      <c r="V159" s="9">
        <v>29397.49</v>
      </c>
      <c r="W159">
        <v>5775</v>
      </c>
      <c r="X159" s="6">
        <v>95</v>
      </c>
      <c r="Y159" s="6">
        <v>648</v>
      </c>
      <c r="Z159" s="6">
        <v>1054</v>
      </c>
      <c r="AA159" s="6">
        <v>1702</v>
      </c>
      <c r="AB159" s="6">
        <v>18123.95</v>
      </c>
      <c r="AC159" s="6">
        <v>34747.53</v>
      </c>
      <c r="AD159" s="6">
        <v>124837.6</v>
      </c>
      <c r="AE159" s="6">
        <v>52871.48</v>
      </c>
      <c r="AF159" s="6">
        <v>1402.12</v>
      </c>
      <c r="AG159" s="6">
        <v>54273.599999999999</v>
      </c>
      <c r="AH159" s="10">
        <v>43282</v>
      </c>
      <c r="AI159" t="s">
        <v>1098</v>
      </c>
      <c r="AJ159" s="11" t="str">
        <f t="shared" si="7"/>
        <v>LINK</v>
      </c>
    </row>
    <row r="160" spans="2:36" x14ac:dyDescent="0.25">
      <c r="C160" t="s">
        <v>810</v>
      </c>
      <c r="D160" t="s">
        <v>811</v>
      </c>
      <c r="E160" t="s">
        <v>16</v>
      </c>
      <c r="F160" t="s">
        <v>17</v>
      </c>
      <c r="G160" t="s">
        <v>18</v>
      </c>
      <c r="I160">
        <v>41.75907565</v>
      </c>
      <c r="J160">
        <v>-81.138529500000004</v>
      </c>
      <c r="K160" t="s">
        <v>812</v>
      </c>
      <c r="L160" t="s">
        <v>813</v>
      </c>
      <c r="M160" t="s">
        <v>675</v>
      </c>
      <c r="N160" t="s">
        <v>814</v>
      </c>
      <c r="O160">
        <v>157</v>
      </c>
      <c r="P160" t="s">
        <v>20</v>
      </c>
      <c r="Q160" t="s">
        <v>676</v>
      </c>
      <c r="R160" t="s">
        <v>37</v>
      </c>
      <c r="S160" s="9">
        <v>18767.97</v>
      </c>
      <c r="T160" s="9">
        <v>30474.240000000002</v>
      </c>
      <c r="U160" s="9">
        <v>12510.39</v>
      </c>
      <c r="V160" s="9">
        <v>12908.24</v>
      </c>
      <c r="W160">
        <v>4846</v>
      </c>
      <c r="X160" s="6">
        <v>20</v>
      </c>
      <c r="Y160" s="6">
        <v>186</v>
      </c>
      <c r="Z160" s="6">
        <v>342</v>
      </c>
      <c r="AA160" s="6">
        <v>528</v>
      </c>
      <c r="AB160" s="6">
        <v>0</v>
      </c>
      <c r="AC160" s="6">
        <v>3440.9</v>
      </c>
      <c r="AD160" s="6">
        <v>12019.4</v>
      </c>
      <c r="AE160" s="6">
        <v>3440.9</v>
      </c>
      <c r="AF160" s="6">
        <v>0</v>
      </c>
      <c r="AG160" s="6">
        <v>3440.9</v>
      </c>
      <c r="AH160" s="10"/>
      <c r="AI160" t="s">
        <v>1165</v>
      </c>
      <c r="AJ160" s="11" t="str">
        <f t="shared" si="7"/>
        <v>LINK</v>
      </c>
    </row>
    <row r="161" spans="2:36" x14ac:dyDescent="0.25">
      <c r="C161" t="s">
        <v>974</v>
      </c>
      <c r="D161" t="s">
        <v>975</v>
      </c>
      <c r="E161" t="s">
        <v>16</v>
      </c>
      <c r="F161" t="s">
        <v>17</v>
      </c>
      <c r="G161" t="s">
        <v>18</v>
      </c>
      <c r="H161" t="s">
        <v>206</v>
      </c>
      <c r="I161">
        <v>36.39730102</v>
      </c>
      <c r="J161">
        <v>-100.803753299999</v>
      </c>
      <c r="K161" t="s">
        <v>976</v>
      </c>
      <c r="L161" t="s">
        <v>977</v>
      </c>
      <c r="M161" t="s">
        <v>905</v>
      </c>
      <c r="N161" t="s">
        <v>978</v>
      </c>
      <c r="O161">
        <v>2933</v>
      </c>
      <c r="P161" t="s">
        <v>20</v>
      </c>
      <c r="Q161" t="s">
        <v>840</v>
      </c>
      <c r="R161" t="s">
        <v>22</v>
      </c>
      <c r="S161" s="9">
        <v>0</v>
      </c>
      <c r="T161" s="9">
        <v>24814.400000000001</v>
      </c>
      <c r="U161" s="9">
        <v>0</v>
      </c>
      <c r="V161" s="9">
        <v>11037.64</v>
      </c>
      <c r="W161">
        <v>10580</v>
      </c>
      <c r="X161" s="6">
        <v>36</v>
      </c>
      <c r="Y161" s="6">
        <v>338</v>
      </c>
      <c r="Z161" s="6">
        <v>583</v>
      </c>
      <c r="AA161" s="6">
        <v>921</v>
      </c>
      <c r="AB161" s="6">
        <v>5891.72</v>
      </c>
      <c r="AC161" s="6">
        <v>9069.0499999999993</v>
      </c>
      <c r="AD161" s="6">
        <v>4111.5</v>
      </c>
      <c r="AE161" s="6">
        <v>14960.77</v>
      </c>
      <c r="AF161" s="6">
        <v>0</v>
      </c>
      <c r="AG161" s="6">
        <v>14960.77</v>
      </c>
      <c r="AH161" s="10">
        <v>41883</v>
      </c>
      <c r="AI161" t="s">
        <v>1183</v>
      </c>
      <c r="AJ161" s="11" t="str">
        <f t="shared" si="7"/>
        <v>LINK</v>
      </c>
    </row>
    <row r="162" spans="2:36" x14ac:dyDescent="0.25">
      <c r="C162" t="s">
        <v>482</v>
      </c>
      <c r="E162" t="s">
        <v>46</v>
      </c>
      <c r="F162" t="s">
        <v>17</v>
      </c>
      <c r="G162" t="s">
        <v>18</v>
      </c>
      <c r="H162" t="s">
        <v>25</v>
      </c>
      <c r="I162">
        <v>41.580036010000001</v>
      </c>
      <c r="J162">
        <v>-95.568549090000005</v>
      </c>
      <c r="K162" t="s">
        <v>485</v>
      </c>
      <c r="L162" t="s">
        <v>483</v>
      </c>
      <c r="M162" t="s">
        <v>328</v>
      </c>
      <c r="N162" t="s">
        <v>484</v>
      </c>
      <c r="P162" t="s">
        <v>38</v>
      </c>
      <c r="R162" t="s">
        <v>22</v>
      </c>
      <c r="S162" s="9">
        <v>0</v>
      </c>
      <c r="T162" s="9">
        <v>0</v>
      </c>
      <c r="U162" s="9">
        <v>0</v>
      </c>
      <c r="V162" s="9">
        <v>0</v>
      </c>
      <c r="W162">
        <v>10084</v>
      </c>
      <c r="X162" s="6">
        <v>4</v>
      </c>
      <c r="Y162" s="6">
        <v>53</v>
      </c>
      <c r="Z162" s="6">
        <v>66</v>
      </c>
      <c r="AA162" s="6">
        <v>119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10"/>
      <c r="AI162" t="s">
        <v>1058</v>
      </c>
      <c r="AJ162" s="11" t="str">
        <f t="shared" si="7"/>
        <v>LINK</v>
      </c>
    </row>
    <row r="163" spans="2:36" x14ac:dyDescent="0.25">
      <c r="C163" t="s">
        <v>294</v>
      </c>
      <c r="D163" t="s">
        <v>295</v>
      </c>
      <c r="E163" t="s">
        <v>16</v>
      </c>
      <c r="F163" t="s">
        <v>17</v>
      </c>
      <c r="G163" t="s">
        <v>18</v>
      </c>
      <c r="I163">
        <v>31.94497002</v>
      </c>
      <c r="J163">
        <v>-83.541385329999898</v>
      </c>
      <c r="K163" t="s">
        <v>296</v>
      </c>
      <c r="L163" t="s">
        <v>297</v>
      </c>
      <c r="M163" t="s">
        <v>120</v>
      </c>
      <c r="N163" t="s">
        <v>298</v>
      </c>
      <c r="P163" t="s">
        <v>38</v>
      </c>
      <c r="Q163" t="s">
        <v>50</v>
      </c>
      <c r="R163" t="s">
        <v>22</v>
      </c>
      <c r="S163" s="9">
        <v>10378.629999999999</v>
      </c>
      <c r="T163" s="9">
        <v>8657.7800000000007</v>
      </c>
      <c r="U163" s="9">
        <v>1595.54</v>
      </c>
      <c r="V163" s="9">
        <v>2778.08</v>
      </c>
      <c r="W163">
        <v>7279</v>
      </c>
      <c r="X163" s="6">
        <v>9</v>
      </c>
      <c r="Y163" s="6">
        <v>61</v>
      </c>
      <c r="Z163" s="6">
        <v>29</v>
      </c>
      <c r="AA163" s="6">
        <v>90</v>
      </c>
      <c r="AB163" s="6">
        <v>6008</v>
      </c>
      <c r="AC163" s="6">
        <v>4594</v>
      </c>
      <c r="AD163" s="6">
        <v>1450</v>
      </c>
      <c r="AE163" s="6">
        <v>10602</v>
      </c>
      <c r="AF163" s="6">
        <v>0</v>
      </c>
      <c r="AG163" s="6">
        <v>10602</v>
      </c>
      <c r="AH163" s="10"/>
      <c r="AI163" t="s">
        <v>1099</v>
      </c>
      <c r="AJ163" s="11" t="str">
        <f t="shared" si="7"/>
        <v>LINK</v>
      </c>
    </row>
    <row r="164" spans="2:36" x14ac:dyDescent="0.25">
      <c r="C164" t="s">
        <v>869</v>
      </c>
      <c r="D164" t="s">
        <v>870</v>
      </c>
      <c r="E164" t="s">
        <v>16</v>
      </c>
      <c r="F164" t="s">
        <v>17</v>
      </c>
      <c r="G164" t="s">
        <v>18</v>
      </c>
      <c r="H164" t="s">
        <v>25</v>
      </c>
      <c r="I164">
        <v>35.020795929999899</v>
      </c>
      <c r="J164">
        <v>-94.659924540000006</v>
      </c>
      <c r="K164" t="s">
        <v>871</v>
      </c>
      <c r="L164" t="s">
        <v>868</v>
      </c>
      <c r="M164" t="s">
        <v>838</v>
      </c>
      <c r="N164" t="s">
        <v>872</v>
      </c>
      <c r="P164" t="s">
        <v>38</v>
      </c>
      <c r="Q164" t="s">
        <v>839</v>
      </c>
      <c r="R164" t="s">
        <v>22</v>
      </c>
      <c r="S164" s="9">
        <v>40113.61</v>
      </c>
      <c r="T164" s="9">
        <v>21950.23</v>
      </c>
      <c r="U164" s="9">
        <v>6809.08</v>
      </c>
      <c r="V164" s="9">
        <v>9062.5</v>
      </c>
      <c r="W164">
        <v>10867</v>
      </c>
      <c r="X164" s="6">
        <v>1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10"/>
      <c r="AI164" t="s">
        <v>1171</v>
      </c>
      <c r="AJ164" s="11" t="str">
        <f t="shared" si="7"/>
        <v>LINK</v>
      </c>
    </row>
    <row r="165" spans="2:36" x14ac:dyDescent="0.25">
      <c r="C165" t="s">
        <v>873</v>
      </c>
      <c r="D165" t="s">
        <v>874</v>
      </c>
      <c r="E165" t="s">
        <v>16</v>
      </c>
      <c r="F165" t="s">
        <v>17</v>
      </c>
      <c r="G165" t="s">
        <v>18</v>
      </c>
      <c r="H165" t="s">
        <v>206</v>
      </c>
      <c r="I165">
        <v>35.0521843699999</v>
      </c>
      <c r="J165">
        <v>-94.620262949999898</v>
      </c>
      <c r="K165" t="s">
        <v>875</v>
      </c>
      <c r="L165" t="s">
        <v>868</v>
      </c>
      <c r="M165" t="s">
        <v>838</v>
      </c>
      <c r="N165" t="s">
        <v>876</v>
      </c>
      <c r="O165">
        <v>102</v>
      </c>
      <c r="P165" t="s">
        <v>20</v>
      </c>
      <c r="Q165" t="s">
        <v>858</v>
      </c>
      <c r="R165" t="s">
        <v>22</v>
      </c>
      <c r="S165" s="9">
        <v>23539.200000000001</v>
      </c>
      <c r="T165" s="9">
        <v>47918.83</v>
      </c>
      <c r="U165" s="9">
        <v>28535.59</v>
      </c>
      <c r="V165" s="9">
        <v>18881.189999999999</v>
      </c>
      <c r="W165">
        <v>7329</v>
      </c>
      <c r="X165" s="6">
        <v>37</v>
      </c>
      <c r="Y165" s="6">
        <v>406</v>
      </c>
      <c r="Z165" s="6">
        <v>926</v>
      </c>
      <c r="AA165" s="6">
        <v>1332</v>
      </c>
      <c r="AB165" s="6">
        <v>16741.099999999999</v>
      </c>
      <c r="AC165" s="6">
        <v>9203.0300000000007</v>
      </c>
      <c r="AD165" s="6">
        <v>38514.39</v>
      </c>
      <c r="AE165" s="6">
        <v>25944.13</v>
      </c>
      <c r="AF165" s="6">
        <v>0</v>
      </c>
      <c r="AG165" s="6">
        <v>25944.13</v>
      </c>
      <c r="AH165" s="10">
        <v>42881</v>
      </c>
      <c r="AI165" t="s">
        <v>1044</v>
      </c>
      <c r="AJ165" s="11" t="str">
        <f t="shared" si="7"/>
        <v>LINK</v>
      </c>
    </row>
    <row r="166" spans="2:36" x14ac:dyDescent="0.25">
      <c r="C166" t="s">
        <v>815</v>
      </c>
      <c r="D166" t="s">
        <v>816</v>
      </c>
      <c r="E166" t="s">
        <v>16</v>
      </c>
      <c r="F166" t="s">
        <v>17</v>
      </c>
      <c r="G166" t="s">
        <v>18</v>
      </c>
      <c r="I166">
        <v>39.865950759999897</v>
      </c>
      <c r="J166">
        <v>-80.799010460000005</v>
      </c>
      <c r="K166" t="s">
        <v>817</v>
      </c>
      <c r="L166" t="s">
        <v>818</v>
      </c>
      <c r="M166" t="s">
        <v>675</v>
      </c>
      <c r="N166" t="s">
        <v>819</v>
      </c>
      <c r="O166">
        <v>334</v>
      </c>
      <c r="P166" t="s">
        <v>20</v>
      </c>
      <c r="Q166" t="s">
        <v>676</v>
      </c>
      <c r="R166" t="s">
        <v>37</v>
      </c>
      <c r="S166" s="9">
        <v>5767.1</v>
      </c>
      <c r="T166" s="9">
        <v>18599.12</v>
      </c>
      <c r="U166" s="9">
        <v>4185.8599999999997</v>
      </c>
      <c r="V166" s="9">
        <v>7502.71</v>
      </c>
      <c r="W166">
        <v>3534</v>
      </c>
      <c r="X166" s="6">
        <v>18</v>
      </c>
      <c r="Y166" s="6">
        <v>120</v>
      </c>
      <c r="Z166" s="6">
        <v>514</v>
      </c>
      <c r="AA166" s="6">
        <v>634</v>
      </c>
      <c r="AB166" s="6">
        <v>0</v>
      </c>
      <c r="AC166" s="6">
        <v>3822.26</v>
      </c>
      <c r="AD166" s="6">
        <v>370</v>
      </c>
      <c r="AE166" s="6">
        <v>3822.26</v>
      </c>
      <c r="AF166" s="6">
        <v>0</v>
      </c>
      <c r="AG166" s="6">
        <v>3822.26</v>
      </c>
      <c r="AH166" s="10"/>
      <c r="AI166" t="s">
        <v>1166</v>
      </c>
      <c r="AJ166" s="11" t="str">
        <f t="shared" si="7"/>
        <v>LINK</v>
      </c>
    </row>
    <row r="167" spans="2:36" x14ac:dyDescent="0.25">
      <c r="C167" t="s">
        <v>877</v>
      </c>
      <c r="D167" t="s">
        <v>878</v>
      </c>
      <c r="E167" t="s">
        <v>16</v>
      </c>
      <c r="F167" t="s">
        <v>17</v>
      </c>
      <c r="G167" t="s">
        <v>18</v>
      </c>
      <c r="I167">
        <v>35.011336839999899</v>
      </c>
      <c r="J167">
        <v>-97.363658860000001</v>
      </c>
      <c r="K167" t="s">
        <v>879</v>
      </c>
      <c r="L167" t="s">
        <v>880</v>
      </c>
      <c r="M167" t="s">
        <v>838</v>
      </c>
      <c r="N167" t="s">
        <v>881</v>
      </c>
      <c r="O167">
        <v>112</v>
      </c>
      <c r="P167" t="s">
        <v>20</v>
      </c>
      <c r="Q167" t="s">
        <v>840</v>
      </c>
      <c r="R167" t="s">
        <v>22</v>
      </c>
      <c r="S167" s="9">
        <v>17074.93</v>
      </c>
      <c r="T167" s="9">
        <v>114159.93</v>
      </c>
      <c r="U167" s="9">
        <v>22014.75</v>
      </c>
      <c r="V167" s="9">
        <v>15631.82</v>
      </c>
      <c r="W167">
        <v>6650</v>
      </c>
      <c r="X167" s="6">
        <v>55</v>
      </c>
      <c r="Y167" s="6">
        <v>258</v>
      </c>
      <c r="Z167" s="6">
        <v>560</v>
      </c>
      <c r="AA167" s="6">
        <v>818</v>
      </c>
      <c r="AB167" s="6">
        <v>21914</v>
      </c>
      <c r="AC167" s="6">
        <v>8341.11</v>
      </c>
      <c r="AD167" s="6">
        <v>7289.5</v>
      </c>
      <c r="AE167" s="6">
        <v>30255.11</v>
      </c>
      <c r="AF167" s="6">
        <v>0</v>
      </c>
      <c r="AG167" s="6">
        <v>30255.11</v>
      </c>
      <c r="AH167" s="10">
        <v>42881</v>
      </c>
      <c r="AI167" t="s">
        <v>1045</v>
      </c>
      <c r="AJ167" s="11" t="str">
        <f t="shared" si="7"/>
        <v>LINK</v>
      </c>
    </row>
    <row r="168" spans="2:36" x14ac:dyDescent="0.25">
      <c r="C168" t="s">
        <v>820</v>
      </c>
      <c r="D168" t="s">
        <v>821</v>
      </c>
      <c r="E168" t="s">
        <v>16</v>
      </c>
      <c r="F168" t="s">
        <v>17</v>
      </c>
      <c r="G168" t="s">
        <v>18</v>
      </c>
      <c r="I168">
        <v>39.970518050000003</v>
      </c>
      <c r="J168">
        <v>-81.298609630000001</v>
      </c>
      <c r="K168" t="s">
        <v>822</v>
      </c>
      <c r="L168" t="s">
        <v>823</v>
      </c>
      <c r="M168" t="s">
        <v>675</v>
      </c>
      <c r="N168" t="s">
        <v>824</v>
      </c>
      <c r="O168">
        <v>288</v>
      </c>
      <c r="P168" t="s">
        <v>20</v>
      </c>
      <c r="Q168" t="s">
        <v>676</v>
      </c>
      <c r="R168" t="s">
        <v>37</v>
      </c>
      <c r="S168" s="9">
        <v>12207.58</v>
      </c>
      <c r="T168" s="9">
        <v>15777.12</v>
      </c>
      <c r="U168" s="9">
        <v>4719.2299999999996</v>
      </c>
      <c r="V168" s="9">
        <v>6015.99</v>
      </c>
      <c r="W168">
        <v>2741</v>
      </c>
      <c r="X168" s="6">
        <v>18</v>
      </c>
      <c r="Y168" s="6">
        <v>258</v>
      </c>
      <c r="Z168" s="6">
        <v>96</v>
      </c>
      <c r="AA168" s="6">
        <v>354</v>
      </c>
      <c r="AB168" s="6">
        <v>900</v>
      </c>
      <c r="AC168" s="6">
        <v>1625</v>
      </c>
      <c r="AD168" s="6">
        <v>420</v>
      </c>
      <c r="AE168" s="6">
        <v>2525</v>
      </c>
      <c r="AF168" s="6">
        <v>0</v>
      </c>
      <c r="AG168" s="6">
        <v>2525</v>
      </c>
      <c r="AH168" s="10"/>
      <c r="AI168" t="s">
        <v>1167</v>
      </c>
      <c r="AJ168" s="11" t="str">
        <f t="shared" si="7"/>
        <v>LINK</v>
      </c>
    </row>
    <row r="169" spans="2:36" x14ac:dyDescent="0.25">
      <c r="B169" s="5" t="s">
        <v>3405</v>
      </c>
      <c r="C169" t="s">
        <v>3106</v>
      </c>
      <c r="E169" t="s">
        <v>16</v>
      </c>
      <c r="F169" t="s">
        <v>17</v>
      </c>
      <c r="G169" t="s">
        <v>18</v>
      </c>
      <c r="I169">
        <v>41.239257170000002</v>
      </c>
      <c r="J169">
        <v>-81.655757600000001</v>
      </c>
      <c r="K169" t="s">
        <v>825</v>
      </c>
      <c r="L169" t="s">
        <v>826</v>
      </c>
      <c r="M169" t="s">
        <v>675</v>
      </c>
      <c r="N169" t="s">
        <v>827</v>
      </c>
      <c r="O169">
        <v>2707</v>
      </c>
      <c r="P169" t="s">
        <v>20</v>
      </c>
      <c r="Q169" t="s">
        <v>676</v>
      </c>
      <c r="R169" t="s">
        <v>37</v>
      </c>
      <c r="S169" s="9">
        <v>0</v>
      </c>
      <c r="T169" s="9">
        <v>0</v>
      </c>
      <c r="U169" s="9">
        <v>0</v>
      </c>
      <c r="V169" s="9">
        <v>0</v>
      </c>
      <c r="W169">
        <v>20000</v>
      </c>
      <c r="X169" s="6">
        <v>27</v>
      </c>
      <c r="Y169" s="6">
        <v>212</v>
      </c>
      <c r="Z169" s="6">
        <v>423</v>
      </c>
      <c r="AA169" s="6">
        <v>635</v>
      </c>
      <c r="AB169" s="6">
        <v>5793.04</v>
      </c>
      <c r="AC169" s="6">
        <v>84385.62</v>
      </c>
      <c r="AD169" s="6">
        <v>7660.89</v>
      </c>
      <c r="AE169" s="6">
        <v>90178.66</v>
      </c>
      <c r="AF169" s="6">
        <v>0</v>
      </c>
      <c r="AG169" s="6">
        <v>90178.66</v>
      </c>
      <c r="AH169" s="10"/>
      <c r="AI169" t="s">
        <v>1168</v>
      </c>
      <c r="AJ169" s="11" t="s">
        <v>1168</v>
      </c>
    </row>
    <row r="170" spans="2:36" s="5" customFormat="1" x14ac:dyDescent="0.25">
      <c r="B170" s="5" t="s">
        <v>3405</v>
      </c>
      <c r="C170" s="5" t="s">
        <v>979</v>
      </c>
      <c r="D170" s="5" t="s">
        <v>980</v>
      </c>
      <c r="E170" s="5" t="s">
        <v>16</v>
      </c>
      <c r="F170" s="5" t="s">
        <v>17</v>
      </c>
      <c r="G170" s="5" t="s">
        <v>18</v>
      </c>
      <c r="I170" s="5">
        <v>30.85154</v>
      </c>
      <c r="J170" s="5">
        <v>-95.400120000000001</v>
      </c>
      <c r="K170" s="5" t="s">
        <v>981</v>
      </c>
      <c r="L170" s="5" t="s">
        <v>486</v>
      </c>
      <c r="M170" s="5" t="s">
        <v>905</v>
      </c>
      <c r="N170" s="5" t="s">
        <v>982</v>
      </c>
      <c r="P170" s="5" t="s">
        <v>38</v>
      </c>
      <c r="Q170" s="5" t="s">
        <v>916</v>
      </c>
      <c r="R170" s="5" t="s">
        <v>22</v>
      </c>
      <c r="S170" s="4">
        <v>4543.0600000000004</v>
      </c>
      <c r="T170" s="4">
        <v>17203.77</v>
      </c>
      <c r="U170" s="4">
        <v>1549.4</v>
      </c>
      <c r="V170" s="4">
        <v>6700.45</v>
      </c>
      <c r="W170" s="5">
        <v>42400</v>
      </c>
      <c r="X170" s="3">
        <v>10</v>
      </c>
      <c r="Y170" s="3">
        <v>231</v>
      </c>
      <c r="Z170" s="3">
        <v>5</v>
      </c>
      <c r="AA170" s="3">
        <v>236</v>
      </c>
      <c r="AB170" s="3">
        <v>0</v>
      </c>
      <c r="AC170" s="3">
        <v>924</v>
      </c>
      <c r="AD170" s="3">
        <v>0</v>
      </c>
      <c r="AE170" s="3">
        <v>924</v>
      </c>
      <c r="AF170" s="3">
        <v>0</v>
      </c>
      <c r="AG170" s="3">
        <v>924</v>
      </c>
      <c r="AH170" s="2"/>
      <c r="AI170" s="5" t="s">
        <v>1052</v>
      </c>
      <c r="AJ170" s="1" t="str">
        <f t="shared" ref="AJ170:AJ189" si="8">HYPERLINK(AI170,"LINK")</f>
        <v>LINK</v>
      </c>
    </row>
    <row r="171" spans="2:36" x14ac:dyDescent="0.25">
      <c r="C171" t="s">
        <v>670</v>
      </c>
      <c r="D171" t="s">
        <v>671</v>
      </c>
      <c r="E171" t="s">
        <v>16</v>
      </c>
      <c r="F171" t="s">
        <v>17</v>
      </c>
      <c r="G171" t="s">
        <v>18</v>
      </c>
      <c r="I171">
        <v>35.572010749999897</v>
      </c>
      <c r="J171">
        <v>-80.417841600000003</v>
      </c>
      <c r="K171" t="s">
        <v>672</v>
      </c>
      <c r="L171" t="s">
        <v>673</v>
      </c>
      <c r="M171" t="s">
        <v>651</v>
      </c>
      <c r="N171" t="s">
        <v>674</v>
      </c>
      <c r="O171">
        <v>3753</v>
      </c>
      <c r="P171" t="s">
        <v>20</v>
      </c>
      <c r="Q171" t="s">
        <v>653</v>
      </c>
      <c r="R171" t="s">
        <v>22</v>
      </c>
      <c r="S171" s="9">
        <v>10695</v>
      </c>
      <c r="T171" s="9">
        <v>14791.31</v>
      </c>
      <c r="U171" s="9">
        <v>3272.51</v>
      </c>
      <c r="V171" s="9">
        <v>5205.1000000000004</v>
      </c>
      <c r="W171">
        <v>4860</v>
      </c>
      <c r="X171" s="6">
        <v>30</v>
      </c>
      <c r="Y171" s="6">
        <v>269</v>
      </c>
      <c r="Z171" s="6">
        <v>309</v>
      </c>
      <c r="AA171" s="6">
        <v>578</v>
      </c>
      <c r="AB171" s="6">
        <v>11339.9</v>
      </c>
      <c r="AC171" s="6">
        <v>2110.98</v>
      </c>
      <c r="AD171" s="6">
        <v>18868.919999999998</v>
      </c>
      <c r="AE171" s="6">
        <v>13450.88</v>
      </c>
      <c r="AF171" s="6">
        <v>0</v>
      </c>
      <c r="AG171" s="6">
        <v>13450.88</v>
      </c>
      <c r="AH171" s="10"/>
      <c r="AI171" t="s">
        <v>1028</v>
      </c>
      <c r="AJ171" s="11" t="str">
        <f t="shared" si="8"/>
        <v>LINK</v>
      </c>
    </row>
    <row r="172" spans="2:36" x14ac:dyDescent="0.25">
      <c r="B172" s="5" t="s">
        <v>3405</v>
      </c>
      <c r="C172" t="s">
        <v>983</v>
      </c>
      <c r="D172" t="s">
        <v>984</v>
      </c>
      <c r="E172" t="s">
        <v>16</v>
      </c>
      <c r="F172" t="s">
        <v>17</v>
      </c>
      <c r="G172" t="s">
        <v>18</v>
      </c>
      <c r="H172" t="s">
        <v>206</v>
      </c>
      <c r="I172">
        <v>33.591359410000003</v>
      </c>
      <c r="J172">
        <v>-99.260072769999894</v>
      </c>
      <c r="K172" t="s">
        <v>985</v>
      </c>
      <c r="L172" t="s">
        <v>487</v>
      </c>
      <c r="M172" t="s">
        <v>905</v>
      </c>
      <c r="N172" t="s">
        <v>986</v>
      </c>
      <c r="O172">
        <v>36</v>
      </c>
      <c r="P172" t="s">
        <v>20</v>
      </c>
      <c r="Q172" t="s">
        <v>840</v>
      </c>
      <c r="R172" t="s">
        <v>37</v>
      </c>
      <c r="S172" s="9">
        <v>111480.26</v>
      </c>
      <c r="T172" s="9">
        <v>164773.62</v>
      </c>
      <c r="U172" s="9">
        <v>32901.230000000003</v>
      </c>
      <c r="V172" s="9">
        <v>43914.86</v>
      </c>
      <c r="W172">
        <v>16690</v>
      </c>
      <c r="X172" s="6">
        <v>54</v>
      </c>
      <c r="Y172" s="6">
        <v>283</v>
      </c>
      <c r="Z172" s="6">
        <v>667</v>
      </c>
      <c r="AA172" s="6">
        <v>950</v>
      </c>
      <c r="AB172" s="6">
        <v>7595</v>
      </c>
      <c r="AC172" s="6">
        <v>25151.77</v>
      </c>
      <c r="AD172" s="6">
        <v>9368.14</v>
      </c>
      <c r="AE172" s="6">
        <v>32746.77</v>
      </c>
      <c r="AF172" s="6">
        <v>45.58</v>
      </c>
      <c r="AG172" s="6">
        <v>32792.35</v>
      </c>
      <c r="AH172" s="10">
        <v>39855</v>
      </c>
      <c r="AI172" t="s">
        <v>1184</v>
      </c>
      <c r="AJ172" s="11" t="str">
        <f t="shared" si="8"/>
        <v>LINK</v>
      </c>
    </row>
    <row r="173" spans="2:36" x14ac:dyDescent="0.25">
      <c r="C173" t="s">
        <v>626</v>
      </c>
      <c r="D173" t="s">
        <v>627</v>
      </c>
      <c r="E173" t="s">
        <v>16</v>
      </c>
      <c r="F173" t="s">
        <v>17</v>
      </c>
      <c r="G173" t="s">
        <v>18</v>
      </c>
      <c r="I173">
        <v>37.990264840000002</v>
      </c>
      <c r="J173">
        <v>-85.715790709999894</v>
      </c>
      <c r="K173" t="s">
        <v>628</v>
      </c>
      <c r="L173" t="s">
        <v>629</v>
      </c>
      <c r="M173" t="s">
        <v>517</v>
      </c>
      <c r="N173" t="s">
        <v>630</v>
      </c>
      <c r="O173">
        <v>86</v>
      </c>
      <c r="P173" t="s">
        <v>20</v>
      </c>
      <c r="Q173" t="s">
        <v>519</v>
      </c>
      <c r="R173" t="s">
        <v>37</v>
      </c>
      <c r="S173" s="9">
        <v>15353.16</v>
      </c>
      <c r="T173" s="9">
        <v>41877.040000000001</v>
      </c>
      <c r="U173" s="9">
        <v>2885.32</v>
      </c>
      <c r="V173" s="9">
        <v>10985.93</v>
      </c>
      <c r="W173">
        <v>8339</v>
      </c>
      <c r="X173" s="6">
        <v>44</v>
      </c>
      <c r="Y173" s="6">
        <v>272</v>
      </c>
      <c r="Z173" s="6">
        <v>561</v>
      </c>
      <c r="AA173" s="6">
        <v>833</v>
      </c>
      <c r="AB173" s="6">
        <v>15650.75</v>
      </c>
      <c r="AC173" s="6">
        <v>41803.1</v>
      </c>
      <c r="AD173" s="6">
        <v>13279.4</v>
      </c>
      <c r="AE173" s="6">
        <v>57453.85</v>
      </c>
      <c r="AF173" s="6">
        <v>0</v>
      </c>
      <c r="AG173" s="6">
        <v>57453.85</v>
      </c>
      <c r="AH173" s="10">
        <v>42881</v>
      </c>
      <c r="AI173" t="s">
        <v>1143</v>
      </c>
      <c r="AJ173" s="11" t="str">
        <f t="shared" si="8"/>
        <v>LINK</v>
      </c>
    </row>
    <row r="174" spans="2:36" x14ac:dyDescent="0.25">
      <c r="C174" t="s">
        <v>66</v>
      </c>
      <c r="D174" t="s">
        <v>67</v>
      </c>
      <c r="E174" t="s">
        <v>16</v>
      </c>
      <c r="F174" t="s">
        <v>17</v>
      </c>
      <c r="G174" t="s">
        <v>18</v>
      </c>
      <c r="H174" t="s">
        <v>25</v>
      </c>
      <c r="I174">
        <v>34.306508639999898</v>
      </c>
      <c r="J174">
        <v>-92.398274000000001</v>
      </c>
      <c r="K174" t="s">
        <v>68</v>
      </c>
      <c r="L174" t="s">
        <v>69</v>
      </c>
      <c r="M174" t="s">
        <v>35</v>
      </c>
      <c r="N174" t="s">
        <v>70</v>
      </c>
      <c r="O174">
        <v>126</v>
      </c>
      <c r="P174" t="s">
        <v>20</v>
      </c>
      <c r="Q174" t="s">
        <v>36</v>
      </c>
      <c r="R174" t="s">
        <v>37</v>
      </c>
      <c r="S174" s="9">
        <v>49844.94</v>
      </c>
      <c r="T174" s="9">
        <v>72348</v>
      </c>
      <c r="U174" s="9">
        <v>9248.7099999999991</v>
      </c>
      <c r="V174" s="9">
        <v>14226.76</v>
      </c>
      <c r="W174">
        <v>5925</v>
      </c>
      <c r="X174" s="6">
        <v>33</v>
      </c>
      <c r="Y174" s="6">
        <v>137</v>
      </c>
      <c r="Z174" s="6">
        <v>2422</v>
      </c>
      <c r="AA174" s="6">
        <v>2559</v>
      </c>
      <c r="AB174" s="6">
        <v>19561.400000000001</v>
      </c>
      <c r="AC174" s="6">
        <v>17477.13</v>
      </c>
      <c r="AD174" s="6">
        <v>40695.949999999997</v>
      </c>
      <c r="AE174" s="6">
        <v>37038.53</v>
      </c>
      <c r="AF174" s="6">
        <v>995</v>
      </c>
      <c r="AG174" s="6">
        <v>38033.53</v>
      </c>
      <c r="AH174" s="10">
        <v>41883</v>
      </c>
      <c r="AI174" t="s">
        <v>1065</v>
      </c>
      <c r="AJ174" s="11" t="str">
        <f t="shared" si="8"/>
        <v>LINK</v>
      </c>
    </row>
    <row r="175" spans="2:36" x14ac:dyDescent="0.25">
      <c r="C175" t="s">
        <v>631</v>
      </c>
      <c r="D175" t="s">
        <v>632</v>
      </c>
      <c r="E175" t="s">
        <v>16</v>
      </c>
      <c r="F175" t="s">
        <v>17</v>
      </c>
      <c r="G175" t="s">
        <v>18</v>
      </c>
      <c r="I175">
        <v>37.525163669999898</v>
      </c>
      <c r="J175">
        <v>-85.895260140000005</v>
      </c>
      <c r="K175" t="s">
        <v>633</v>
      </c>
      <c r="L175" t="s">
        <v>634</v>
      </c>
      <c r="M175" t="s">
        <v>517</v>
      </c>
      <c r="N175" t="s">
        <v>635</v>
      </c>
      <c r="O175">
        <v>226</v>
      </c>
      <c r="P175" t="s">
        <v>20</v>
      </c>
      <c r="Q175" t="s">
        <v>519</v>
      </c>
      <c r="R175" t="s">
        <v>22</v>
      </c>
      <c r="S175" s="9">
        <v>14021.54</v>
      </c>
      <c r="T175" s="9">
        <v>25273.18</v>
      </c>
      <c r="U175" s="9">
        <v>2042.12</v>
      </c>
      <c r="V175" s="9">
        <v>7480.13</v>
      </c>
      <c r="W175">
        <v>3277</v>
      </c>
      <c r="X175" s="6">
        <v>22</v>
      </c>
      <c r="Y175" s="6">
        <v>136</v>
      </c>
      <c r="Z175" s="6">
        <v>0</v>
      </c>
      <c r="AA175" s="6">
        <v>136</v>
      </c>
      <c r="AB175" s="6">
        <v>2455</v>
      </c>
      <c r="AC175" s="6">
        <v>6969.8</v>
      </c>
      <c r="AD175" s="6">
        <v>1768</v>
      </c>
      <c r="AE175" s="6">
        <v>9424.7999999999993</v>
      </c>
      <c r="AF175" s="6">
        <v>0</v>
      </c>
      <c r="AG175" s="6">
        <v>9424.7999999999993</v>
      </c>
      <c r="AH175" s="10"/>
      <c r="AI175" t="s">
        <v>1025</v>
      </c>
      <c r="AJ175" s="11" t="str">
        <f t="shared" si="8"/>
        <v>LINK</v>
      </c>
    </row>
    <row r="176" spans="2:36" x14ac:dyDescent="0.25">
      <c r="C176" t="s">
        <v>882</v>
      </c>
      <c r="D176" t="s">
        <v>883</v>
      </c>
      <c r="E176" t="s">
        <v>16</v>
      </c>
      <c r="F176" t="s">
        <v>17</v>
      </c>
      <c r="G176" t="s">
        <v>18</v>
      </c>
      <c r="H176" t="s">
        <v>34</v>
      </c>
      <c r="I176">
        <v>35.812838540000001</v>
      </c>
      <c r="J176">
        <v>-94.627894800000007</v>
      </c>
      <c r="K176" t="s">
        <v>884</v>
      </c>
      <c r="L176" t="s">
        <v>885</v>
      </c>
      <c r="M176" t="s">
        <v>838</v>
      </c>
      <c r="N176" t="s">
        <v>886</v>
      </c>
      <c r="O176">
        <v>243</v>
      </c>
      <c r="P176" t="s">
        <v>20</v>
      </c>
      <c r="Q176" t="s">
        <v>858</v>
      </c>
      <c r="R176" t="s">
        <v>22</v>
      </c>
      <c r="S176" s="9">
        <v>32375.72</v>
      </c>
      <c r="T176" s="9">
        <v>21177.58</v>
      </c>
      <c r="U176" s="9">
        <v>12795.69</v>
      </c>
      <c r="V176" s="9">
        <v>12549.07</v>
      </c>
      <c r="W176">
        <v>3037</v>
      </c>
      <c r="X176" s="6">
        <v>28</v>
      </c>
      <c r="Y176" s="6">
        <v>292</v>
      </c>
      <c r="Z176" s="6">
        <v>175</v>
      </c>
      <c r="AA176" s="6">
        <v>467</v>
      </c>
      <c r="AB176" s="6">
        <v>18643.400000000001</v>
      </c>
      <c r="AC176" s="6">
        <v>18501.11</v>
      </c>
      <c r="AD176" s="6">
        <v>22592</v>
      </c>
      <c r="AE176" s="6">
        <v>37144.51</v>
      </c>
      <c r="AF176" s="6">
        <v>995</v>
      </c>
      <c r="AG176" s="6">
        <v>38139.51</v>
      </c>
      <c r="AH176" s="10">
        <v>42881</v>
      </c>
      <c r="AI176" t="s">
        <v>1046</v>
      </c>
      <c r="AJ176" s="11" t="str">
        <f t="shared" si="8"/>
        <v>LINK</v>
      </c>
    </row>
    <row r="177" spans="2:36" s="5" customFormat="1" x14ac:dyDescent="0.25">
      <c r="B177" s="5" t="s">
        <v>3405</v>
      </c>
      <c r="C177" s="5" t="s">
        <v>992</v>
      </c>
      <c r="D177" s="5" t="s">
        <v>993</v>
      </c>
      <c r="E177" s="5" t="s">
        <v>16</v>
      </c>
      <c r="F177" s="5" t="s">
        <v>17</v>
      </c>
      <c r="G177" s="5" t="s">
        <v>18</v>
      </c>
      <c r="I177" s="5">
        <v>29.636252240000001</v>
      </c>
      <c r="J177" s="5">
        <v>-95.598181319999895</v>
      </c>
      <c r="K177" s="5" t="s">
        <v>994</v>
      </c>
      <c r="L177" s="5" t="s">
        <v>990</v>
      </c>
      <c r="M177" s="5" t="s">
        <v>905</v>
      </c>
      <c r="N177" s="5" t="s">
        <v>995</v>
      </c>
      <c r="O177" s="5">
        <v>26</v>
      </c>
      <c r="P177" s="5" t="s">
        <v>20</v>
      </c>
      <c r="Q177" s="5" t="s">
        <v>921</v>
      </c>
      <c r="R177" s="5" t="s">
        <v>22</v>
      </c>
      <c r="S177" s="4">
        <v>26919.01</v>
      </c>
      <c r="T177" s="4">
        <v>110332.84</v>
      </c>
      <c r="U177" s="4">
        <v>10148.719999999999</v>
      </c>
      <c r="V177" s="4">
        <v>33553.730000000003</v>
      </c>
      <c r="W177" s="5">
        <v>20815</v>
      </c>
      <c r="X177" s="3">
        <v>159</v>
      </c>
      <c r="Y177" s="3">
        <v>393</v>
      </c>
      <c r="Z177" s="3">
        <v>228</v>
      </c>
      <c r="AA177" s="3">
        <v>621</v>
      </c>
      <c r="AB177" s="3">
        <v>60980.73</v>
      </c>
      <c r="AC177" s="3">
        <v>142333.73000000001</v>
      </c>
      <c r="AD177" s="3">
        <v>30063.88</v>
      </c>
      <c r="AE177" s="3">
        <v>203314.46</v>
      </c>
      <c r="AF177" s="3">
        <v>3824.02</v>
      </c>
      <c r="AG177" s="3">
        <v>207138.48</v>
      </c>
      <c r="AH177" s="2"/>
      <c r="AI177" s="5" t="s">
        <v>1053</v>
      </c>
      <c r="AJ177" s="1" t="str">
        <f t="shared" si="8"/>
        <v>LINK</v>
      </c>
    </row>
    <row r="178" spans="2:36" x14ac:dyDescent="0.25">
      <c r="B178" s="5" t="s">
        <v>3405</v>
      </c>
      <c r="C178" t="s">
        <v>987</v>
      </c>
      <c r="D178" t="s">
        <v>988</v>
      </c>
      <c r="E178" t="s">
        <v>16</v>
      </c>
      <c r="F178" t="s">
        <v>17</v>
      </c>
      <c r="G178" t="s">
        <v>18</v>
      </c>
      <c r="I178">
        <v>29.586081669999899</v>
      </c>
      <c r="J178">
        <v>-95.62071487</v>
      </c>
      <c r="K178" t="s">
        <v>989</v>
      </c>
      <c r="L178" t="s">
        <v>990</v>
      </c>
      <c r="M178" t="s">
        <v>905</v>
      </c>
      <c r="N178" t="s">
        <v>991</v>
      </c>
      <c r="O178">
        <v>2946</v>
      </c>
      <c r="P178" t="s">
        <v>20</v>
      </c>
      <c r="Q178" t="s">
        <v>921</v>
      </c>
      <c r="R178" t="s">
        <v>22</v>
      </c>
      <c r="S178" s="9">
        <v>27441.88</v>
      </c>
      <c r="T178" s="9">
        <v>52597.95</v>
      </c>
      <c r="U178" s="9">
        <v>6637.73</v>
      </c>
      <c r="V178" s="9">
        <v>13311.14</v>
      </c>
      <c r="W178">
        <v>20000</v>
      </c>
      <c r="X178" s="6">
        <v>64</v>
      </c>
      <c r="Y178" s="6">
        <v>718</v>
      </c>
      <c r="Z178" s="6">
        <v>368</v>
      </c>
      <c r="AA178" s="6">
        <v>1086</v>
      </c>
      <c r="AB178" s="6">
        <v>10990.23</v>
      </c>
      <c r="AC178" s="6">
        <v>14205.04</v>
      </c>
      <c r="AD178" s="6">
        <v>21875.66</v>
      </c>
      <c r="AE178" s="6">
        <v>25195.27</v>
      </c>
      <c r="AF178" s="6">
        <v>0</v>
      </c>
      <c r="AG178" s="6">
        <v>25195.27</v>
      </c>
      <c r="AH178" s="10"/>
      <c r="AI178" t="s">
        <v>1185</v>
      </c>
      <c r="AJ178" s="11" t="str">
        <f t="shared" si="8"/>
        <v>LINK</v>
      </c>
    </row>
    <row r="179" spans="2:36" x14ac:dyDescent="0.25">
      <c r="C179" t="s">
        <v>299</v>
      </c>
      <c r="D179" t="s">
        <v>300</v>
      </c>
      <c r="E179" t="s">
        <v>16</v>
      </c>
      <c r="F179" t="s">
        <v>17</v>
      </c>
      <c r="G179" t="s">
        <v>18</v>
      </c>
      <c r="H179" t="s">
        <v>25</v>
      </c>
      <c r="I179">
        <v>34.481520289999899</v>
      </c>
      <c r="J179">
        <v>-85.348709940000006</v>
      </c>
      <c r="K179" t="s">
        <v>301</v>
      </c>
      <c r="L179" t="s">
        <v>302</v>
      </c>
      <c r="M179" t="s">
        <v>120</v>
      </c>
      <c r="N179" t="s">
        <v>303</v>
      </c>
      <c r="O179">
        <v>2379</v>
      </c>
      <c r="P179" t="s">
        <v>20</v>
      </c>
      <c r="Q179" t="s">
        <v>121</v>
      </c>
      <c r="R179" t="s">
        <v>22</v>
      </c>
      <c r="S179" s="9">
        <v>39710.04</v>
      </c>
      <c r="T179" s="9">
        <v>58579.76</v>
      </c>
      <c r="U179" s="9">
        <v>2780.92</v>
      </c>
      <c r="V179" s="9">
        <v>20236.86</v>
      </c>
      <c r="W179">
        <v>6846</v>
      </c>
      <c r="X179" s="6">
        <v>33</v>
      </c>
      <c r="Y179" s="6">
        <v>292</v>
      </c>
      <c r="Z179" s="6">
        <v>818</v>
      </c>
      <c r="AA179" s="6">
        <v>1110</v>
      </c>
      <c r="AB179" s="6">
        <v>8164.54</v>
      </c>
      <c r="AC179" s="6">
        <v>8285.15</v>
      </c>
      <c r="AD179" s="6">
        <v>2371.64</v>
      </c>
      <c r="AE179" s="6">
        <v>16449.689999999999</v>
      </c>
      <c r="AF179" s="6">
        <v>0</v>
      </c>
      <c r="AG179" s="6">
        <v>16449.689999999999</v>
      </c>
      <c r="AH179" s="10">
        <v>41883</v>
      </c>
      <c r="AI179" t="s">
        <v>1100</v>
      </c>
      <c r="AJ179" s="11" t="str">
        <f t="shared" si="8"/>
        <v>LINK</v>
      </c>
    </row>
    <row r="180" spans="2:36" x14ac:dyDescent="0.25">
      <c r="B180" s="5" t="s">
        <v>3405</v>
      </c>
      <c r="C180" t="s">
        <v>996</v>
      </c>
      <c r="D180" t="s">
        <v>997</v>
      </c>
      <c r="E180" t="s">
        <v>16</v>
      </c>
      <c r="F180" t="s">
        <v>17</v>
      </c>
      <c r="G180" t="s">
        <v>18</v>
      </c>
      <c r="I180">
        <v>29.03860427</v>
      </c>
      <c r="J180">
        <v>-95.699573689999895</v>
      </c>
      <c r="K180" t="s">
        <v>998</v>
      </c>
      <c r="L180" t="s">
        <v>999</v>
      </c>
      <c r="M180" t="s">
        <v>905</v>
      </c>
      <c r="N180" t="s">
        <v>1000</v>
      </c>
      <c r="O180">
        <v>3225</v>
      </c>
      <c r="P180" t="s">
        <v>20</v>
      </c>
      <c r="Q180" t="s">
        <v>921</v>
      </c>
      <c r="R180" t="s">
        <v>22</v>
      </c>
      <c r="S180" s="9">
        <v>26297.8</v>
      </c>
      <c r="T180" s="9">
        <v>24504.66</v>
      </c>
      <c r="U180" s="9">
        <v>24898.86</v>
      </c>
      <c r="V180" s="9">
        <v>11673.25</v>
      </c>
      <c r="W180">
        <v>12000</v>
      </c>
      <c r="X180" s="6">
        <v>29</v>
      </c>
      <c r="Y180" s="6">
        <v>371</v>
      </c>
      <c r="Z180" s="6">
        <v>528</v>
      </c>
      <c r="AA180" s="6">
        <v>899</v>
      </c>
      <c r="AB180" s="6">
        <v>4759</v>
      </c>
      <c r="AC180" s="6">
        <v>4056.82</v>
      </c>
      <c r="AD180" s="6">
        <v>0</v>
      </c>
      <c r="AE180" s="6">
        <v>8815.82</v>
      </c>
      <c r="AF180" s="6">
        <v>0</v>
      </c>
      <c r="AG180" s="6">
        <v>8815.82</v>
      </c>
      <c r="AH180" s="10">
        <v>42881</v>
      </c>
      <c r="AI180" t="s">
        <v>1186</v>
      </c>
      <c r="AJ180" s="11" t="str">
        <f t="shared" si="8"/>
        <v>LINK</v>
      </c>
    </row>
    <row r="181" spans="2:36" x14ac:dyDescent="0.25">
      <c r="C181" t="s">
        <v>304</v>
      </c>
      <c r="D181" t="s">
        <v>305</v>
      </c>
      <c r="E181" t="s">
        <v>16</v>
      </c>
      <c r="F181" t="s">
        <v>17</v>
      </c>
      <c r="G181" t="s">
        <v>18</v>
      </c>
      <c r="I181">
        <v>32.751756829999898</v>
      </c>
      <c r="J181">
        <v>-81.633224089999899</v>
      </c>
      <c r="K181" t="s">
        <v>306</v>
      </c>
      <c r="L181" t="s">
        <v>307</v>
      </c>
      <c r="M181" t="s">
        <v>120</v>
      </c>
      <c r="N181" t="s">
        <v>308</v>
      </c>
      <c r="O181">
        <v>78</v>
      </c>
      <c r="P181" t="s">
        <v>20</v>
      </c>
      <c r="Q181" t="s">
        <v>50</v>
      </c>
      <c r="R181" t="s">
        <v>22</v>
      </c>
      <c r="S181" s="9">
        <v>8282.85</v>
      </c>
      <c r="T181" s="9">
        <v>13845.24</v>
      </c>
      <c r="U181" s="9">
        <v>1372.51</v>
      </c>
      <c r="V181" s="9">
        <v>4647.12</v>
      </c>
      <c r="W181">
        <v>9166</v>
      </c>
      <c r="X181" s="6">
        <v>12</v>
      </c>
      <c r="Y181" s="6">
        <v>392</v>
      </c>
      <c r="Z181" s="6">
        <v>307</v>
      </c>
      <c r="AA181" s="6">
        <v>699</v>
      </c>
      <c r="AB181" s="6">
        <v>0</v>
      </c>
      <c r="AC181" s="6">
        <v>25757.17</v>
      </c>
      <c r="AD181" s="6">
        <v>0</v>
      </c>
      <c r="AE181" s="6">
        <v>25757.17</v>
      </c>
      <c r="AF181" s="6">
        <v>0</v>
      </c>
      <c r="AG181" s="6">
        <v>25757.17</v>
      </c>
      <c r="AH181" s="10"/>
      <c r="AI181" t="s">
        <v>1101</v>
      </c>
      <c r="AJ181" s="11" t="str">
        <f t="shared" si="8"/>
        <v>LINK</v>
      </c>
    </row>
    <row r="182" spans="2:36" x14ac:dyDescent="0.25">
      <c r="C182" t="s">
        <v>887</v>
      </c>
      <c r="D182" t="s">
        <v>888</v>
      </c>
      <c r="E182" t="s">
        <v>16</v>
      </c>
      <c r="F182" t="s">
        <v>17</v>
      </c>
      <c r="G182" t="s">
        <v>18</v>
      </c>
      <c r="I182">
        <v>35.258431950000002</v>
      </c>
      <c r="J182">
        <v>-96.935909069999894</v>
      </c>
      <c r="K182" t="s">
        <v>889</v>
      </c>
      <c r="L182" t="s">
        <v>890</v>
      </c>
      <c r="M182" t="s">
        <v>838</v>
      </c>
      <c r="N182" t="s">
        <v>891</v>
      </c>
      <c r="O182">
        <v>229</v>
      </c>
      <c r="P182" t="s">
        <v>20</v>
      </c>
      <c r="Q182" t="s">
        <v>840</v>
      </c>
      <c r="R182" t="s">
        <v>22</v>
      </c>
      <c r="S182" s="9">
        <v>31702.720000000001</v>
      </c>
      <c r="T182" s="9">
        <v>43364.76</v>
      </c>
      <c r="U182" s="9">
        <v>7739.39</v>
      </c>
      <c r="V182" s="9">
        <v>12202.22</v>
      </c>
      <c r="W182">
        <v>3234</v>
      </c>
      <c r="X182" s="6">
        <v>33</v>
      </c>
      <c r="Y182" s="6">
        <v>287</v>
      </c>
      <c r="Z182" s="6">
        <v>305</v>
      </c>
      <c r="AA182" s="6">
        <v>592</v>
      </c>
      <c r="AB182" s="6">
        <v>5559</v>
      </c>
      <c r="AC182" s="6">
        <v>1119.76</v>
      </c>
      <c r="AD182" s="6">
        <v>900</v>
      </c>
      <c r="AE182" s="6">
        <v>6678.76</v>
      </c>
      <c r="AF182" s="6">
        <v>0</v>
      </c>
      <c r="AG182" s="6">
        <v>6678.76</v>
      </c>
      <c r="AH182" s="10">
        <v>42339</v>
      </c>
      <c r="AI182" t="s">
        <v>1047</v>
      </c>
      <c r="AJ182" s="11" t="str">
        <f t="shared" si="8"/>
        <v>LINK</v>
      </c>
    </row>
    <row r="183" spans="2:36" x14ac:dyDescent="0.25">
      <c r="C183" t="s">
        <v>310</v>
      </c>
      <c r="D183" t="s">
        <v>311</v>
      </c>
      <c r="E183" t="s">
        <v>16</v>
      </c>
      <c r="F183" t="s">
        <v>17</v>
      </c>
      <c r="G183" t="s">
        <v>18</v>
      </c>
      <c r="I183">
        <v>32.8869667499999</v>
      </c>
      <c r="J183">
        <v>-84.3254854999999</v>
      </c>
      <c r="K183" t="s">
        <v>312</v>
      </c>
      <c r="L183" t="s">
        <v>309</v>
      </c>
      <c r="M183" t="s">
        <v>120</v>
      </c>
      <c r="N183" t="s">
        <v>313</v>
      </c>
      <c r="O183">
        <v>69</v>
      </c>
      <c r="P183" t="s">
        <v>20</v>
      </c>
      <c r="Q183" t="s">
        <v>50</v>
      </c>
      <c r="R183" t="s">
        <v>22</v>
      </c>
      <c r="S183" s="9">
        <v>33315.49</v>
      </c>
      <c r="T183" s="9">
        <v>61325.89</v>
      </c>
      <c r="U183" s="9">
        <v>3995</v>
      </c>
      <c r="V183" s="9">
        <v>11635.46</v>
      </c>
      <c r="W183">
        <v>9790</v>
      </c>
      <c r="X183" s="6">
        <v>53</v>
      </c>
      <c r="Y183" s="6">
        <v>462</v>
      </c>
      <c r="Z183" s="6">
        <v>703</v>
      </c>
      <c r="AA183" s="6">
        <v>1165</v>
      </c>
      <c r="AB183" s="6">
        <v>17436.3</v>
      </c>
      <c r="AC183" s="6">
        <v>17995.759999999998</v>
      </c>
      <c r="AD183" s="6">
        <v>69194.92</v>
      </c>
      <c r="AE183" s="6">
        <v>35432.06</v>
      </c>
      <c r="AF183" s="6">
        <v>0</v>
      </c>
      <c r="AG183" s="6">
        <v>35432.06</v>
      </c>
      <c r="AH183" s="10">
        <v>42881</v>
      </c>
      <c r="AI183" t="s">
        <v>1102</v>
      </c>
      <c r="AJ183" s="11" t="str">
        <f t="shared" si="8"/>
        <v>LINK</v>
      </c>
    </row>
    <row r="184" spans="2:36" x14ac:dyDescent="0.25">
      <c r="C184" t="s">
        <v>314</v>
      </c>
      <c r="D184" t="s">
        <v>315</v>
      </c>
      <c r="E184" t="s">
        <v>16</v>
      </c>
      <c r="F184" t="s">
        <v>17</v>
      </c>
      <c r="G184" t="s">
        <v>18</v>
      </c>
      <c r="H184" t="s">
        <v>25</v>
      </c>
      <c r="I184">
        <v>32.933437269999899</v>
      </c>
      <c r="J184">
        <v>-84.333401789999897</v>
      </c>
      <c r="K184" t="s">
        <v>316</v>
      </c>
      <c r="L184" t="s">
        <v>309</v>
      </c>
      <c r="M184" t="s">
        <v>120</v>
      </c>
      <c r="N184" t="s">
        <v>317</v>
      </c>
      <c r="O184">
        <v>3975</v>
      </c>
      <c r="P184" t="s">
        <v>20</v>
      </c>
      <c r="Q184" t="s">
        <v>50</v>
      </c>
      <c r="R184" t="s">
        <v>22</v>
      </c>
      <c r="S184" s="9">
        <v>24133.4</v>
      </c>
      <c r="T184" s="9">
        <v>22322.78</v>
      </c>
      <c r="U184" s="9">
        <v>4344.55</v>
      </c>
      <c r="V184" s="9">
        <v>8223.14</v>
      </c>
      <c r="W184">
        <v>3960</v>
      </c>
      <c r="X184" s="6">
        <v>15</v>
      </c>
      <c r="Y184" s="6">
        <v>110</v>
      </c>
      <c r="Z184" s="6">
        <v>243</v>
      </c>
      <c r="AA184" s="6">
        <v>353</v>
      </c>
      <c r="AB184" s="6">
        <v>1450</v>
      </c>
      <c r="AC184" s="6">
        <v>7185.58</v>
      </c>
      <c r="AD184" s="6">
        <v>1020</v>
      </c>
      <c r="AE184" s="6">
        <v>8635.58</v>
      </c>
      <c r="AF184" s="6">
        <v>0</v>
      </c>
      <c r="AG184" s="6">
        <v>8635.58</v>
      </c>
      <c r="AH184" s="10"/>
      <c r="AI184" t="s">
        <v>1103</v>
      </c>
      <c r="AJ184" s="11" t="str">
        <f t="shared" si="8"/>
        <v>LINK</v>
      </c>
    </row>
    <row r="185" spans="2:36" x14ac:dyDescent="0.25">
      <c r="C185" t="s">
        <v>488</v>
      </c>
      <c r="D185" t="s">
        <v>489</v>
      </c>
      <c r="E185" t="s">
        <v>16</v>
      </c>
      <c r="F185" t="s">
        <v>17</v>
      </c>
      <c r="G185" t="s">
        <v>18</v>
      </c>
      <c r="I185">
        <v>41.770516610000001</v>
      </c>
      <c r="J185">
        <v>-91.126664180000006</v>
      </c>
      <c r="K185" t="s">
        <v>490</v>
      </c>
      <c r="L185" t="s">
        <v>491</v>
      </c>
      <c r="M185" t="s">
        <v>328</v>
      </c>
      <c r="N185" t="s">
        <v>492</v>
      </c>
      <c r="O185">
        <v>210</v>
      </c>
      <c r="P185" t="s">
        <v>20</v>
      </c>
      <c r="Q185" t="s">
        <v>329</v>
      </c>
      <c r="R185" t="s">
        <v>22</v>
      </c>
      <c r="S185" s="9">
        <v>15134.73</v>
      </c>
      <c r="T185" s="9">
        <v>36723.68</v>
      </c>
      <c r="U185" s="9">
        <v>2941.66</v>
      </c>
      <c r="V185" s="9">
        <v>15491.23</v>
      </c>
      <c r="W185">
        <v>4065</v>
      </c>
      <c r="X185" s="6">
        <v>25</v>
      </c>
      <c r="Y185" s="6">
        <v>432</v>
      </c>
      <c r="Z185" s="6">
        <v>120</v>
      </c>
      <c r="AA185" s="6">
        <v>552</v>
      </c>
      <c r="AB185" s="6">
        <v>0</v>
      </c>
      <c r="AC185" s="6">
        <v>6998.33</v>
      </c>
      <c r="AD185" s="6">
        <v>3055</v>
      </c>
      <c r="AE185" s="6">
        <v>6998.33</v>
      </c>
      <c r="AF185" s="6">
        <v>0</v>
      </c>
      <c r="AG185" s="6">
        <v>6998.33</v>
      </c>
      <c r="AH185" s="10">
        <v>39035</v>
      </c>
      <c r="AI185" t="s">
        <v>1021</v>
      </c>
      <c r="AJ185" s="11" t="str">
        <f t="shared" si="8"/>
        <v>LINK</v>
      </c>
    </row>
    <row r="186" spans="2:36" x14ac:dyDescent="0.25">
      <c r="B186" s="5" t="s">
        <v>3405</v>
      </c>
      <c r="C186" t="s">
        <v>494</v>
      </c>
      <c r="D186" t="s">
        <v>495</v>
      </c>
      <c r="E186" t="s">
        <v>16</v>
      </c>
      <c r="F186" t="s">
        <v>17</v>
      </c>
      <c r="G186" t="s">
        <v>18</v>
      </c>
      <c r="I186">
        <v>41.98152657</v>
      </c>
      <c r="J186">
        <v>-92.581265619999897</v>
      </c>
      <c r="K186" t="s">
        <v>496</v>
      </c>
      <c r="L186" t="s">
        <v>493</v>
      </c>
      <c r="M186" t="s">
        <v>328</v>
      </c>
      <c r="N186" t="s">
        <v>497</v>
      </c>
      <c r="O186">
        <v>43</v>
      </c>
      <c r="P186" t="s">
        <v>20</v>
      </c>
      <c r="Q186" t="s">
        <v>329</v>
      </c>
      <c r="R186" t="s">
        <v>22</v>
      </c>
      <c r="S186" s="9">
        <v>48301.87</v>
      </c>
      <c r="T186" s="9">
        <v>40500.03</v>
      </c>
      <c r="U186" s="9">
        <v>7029.58</v>
      </c>
      <c r="V186" s="9">
        <v>13546.64</v>
      </c>
      <c r="W186">
        <v>13998</v>
      </c>
      <c r="X186" s="6">
        <v>23</v>
      </c>
      <c r="Y186" s="6">
        <v>211</v>
      </c>
      <c r="Z186" s="6">
        <v>434</v>
      </c>
      <c r="AA186" s="6">
        <v>645</v>
      </c>
      <c r="AB186" s="6">
        <v>1471.7</v>
      </c>
      <c r="AC186" s="6">
        <v>11634.8</v>
      </c>
      <c r="AD186" s="6">
        <v>20688.400000000001</v>
      </c>
      <c r="AE186" s="6">
        <v>13106.5</v>
      </c>
      <c r="AF186" s="6">
        <v>21</v>
      </c>
      <c r="AG186" s="6">
        <v>13127.5</v>
      </c>
      <c r="AH186" s="10"/>
      <c r="AI186" t="s">
        <v>1022</v>
      </c>
      <c r="AJ186" s="11" t="str">
        <f t="shared" si="8"/>
        <v>LINK</v>
      </c>
    </row>
    <row r="187" spans="2:36" x14ac:dyDescent="0.25">
      <c r="C187" t="s">
        <v>498</v>
      </c>
      <c r="D187" t="s">
        <v>499</v>
      </c>
      <c r="E187" t="s">
        <v>16</v>
      </c>
      <c r="F187" t="s">
        <v>17</v>
      </c>
      <c r="G187" t="s">
        <v>18</v>
      </c>
      <c r="I187">
        <v>42.191437280000002</v>
      </c>
      <c r="J187">
        <v>-92.467051440000006</v>
      </c>
      <c r="K187" t="s">
        <v>500</v>
      </c>
      <c r="L187" t="s">
        <v>501</v>
      </c>
      <c r="M187" t="s">
        <v>328</v>
      </c>
      <c r="N187" t="s">
        <v>502</v>
      </c>
      <c r="O187">
        <v>186</v>
      </c>
      <c r="P187" t="s">
        <v>20</v>
      </c>
      <c r="Q187" t="s">
        <v>329</v>
      </c>
      <c r="R187" t="s">
        <v>22</v>
      </c>
      <c r="S187" s="9">
        <v>12793.75</v>
      </c>
      <c r="T187" s="9">
        <v>11780.87</v>
      </c>
      <c r="U187" s="9">
        <v>1037.3800000000001</v>
      </c>
      <c r="V187" s="9">
        <v>4490.13</v>
      </c>
      <c r="W187">
        <v>4032</v>
      </c>
      <c r="X187" s="6">
        <v>10</v>
      </c>
      <c r="Y187" s="6">
        <v>140</v>
      </c>
      <c r="Z187" s="6">
        <v>266</v>
      </c>
      <c r="AA187" s="6">
        <v>406</v>
      </c>
      <c r="AB187" s="6">
        <v>0</v>
      </c>
      <c r="AC187" s="6">
        <v>1935.1</v>
      </c>
      <c r="AD187" s="6">
        <v>8165.5</v>
      </c>
      <c r="AE187" s="6">
        <v>1935.1</v>
      </c>
      <c r="AF187" s="6">
        <v>0</v>
      </c>
      <c r="AG187" s="6">
        <v>1935.1</v>
      </c>
      <c r="AH187" s="10"/>
      <c r="AI187" t="s">
        <v>1120</v>
      </c>
      <c r="AJ187" s="11" t="str">
        <f t="shared" si="8"/>
        <v>LINK</v>
      </c>
    </row>
    <row r="188" spans="2:36" x14ac:dyDescent="0.25">
      <c r="C188" t="s">
        <v>318</v>
      </c>
      <c r="D188" t="s">
        <v>319</v>
      </c>
      <c r="E188" t="s">
        <v>16</v>
      </c>
      <c r="F188" t="s">
        <v>17</v>
      </c>
      <c r="G188" t="s">
        <v>18</v>
      </c>
      <c r="I188">
        <v>34.54083387</v>
      </c>
      <c r="J188">
        <v>-85.313137620000006</v>
      </c>
      <c r="K188" t="s">
        <v>320</v>
      </c>
      <c r="L188" t="s">
        <v>321</v>
      </c>
      <c r="M188" t="s">
        <v>120</v>
      </c>
      <c r="N188" t="s">
        <v>322</v>
      </c>
      <c r="O188">
        <v>254</v>
      </c>
      <c r="P188" t="s">
        <v>20</v>
      </c>
      <c r="Q188" t="s">
        <v>121</v>
      </c>
      <c r="R188" t="s">
        <v>22</v>
      </c>
      <c r="S188" s="9">
        <v>8715.06</v>
      </c>
      <c r="T188" s="9">
        <v>23055.71</v>
      </c>
      <c r="U188" s="9">
        <v>438.92</v>
      </c>
      <c r="V188" s="9">
        <v>6880.05</v>
      </c>
      <c r="W188">
        <v>2964</v>
      </c>
      <c r="X188" s="6">
        <v>21</v>
      </c>
      <c r="Y188" s="6">
        <v>96</v>
      </c>
      <c r="Z188" s="6">
        <v>301</v>
      </c>
      <c r="AA188" s="6">
        <v>397</v>
      </c>
      <c r="AB188" s="6">
        <v>492</v>
      </c>
      <c r="AC188" s="6">
        <v>5732.9</v>
      </c>
      <c r="AD188" s="6">
        <v>5442.46</v>
      </c>
      <c r="AE188" s="6">
        <v>6224.9</v>
      </c>
      <c r="AF188" s="6">
        <v>0</v>
      </c>
      <c r="AG188" s="6">
        <v>6224.9</v>
      </c>
      <c r="AH188" s="10"/>
      <c r="AI188" t="s">
        <v>1104</v>
      </c>
      <c r="AJ188" s="11" t="str">
        <f t="shared" si="8"/>
        <v>LINK</v>
      </c>
    </row>
    <row r="189" spans="2:36" s="5" customFormat="1" x14ac:dyDescent="0.25">
      <c r="B189" s="5" t="s">
        <v>3405</v>
      </c>
      <c r="C189" s="5" t="s">
        <v>892</v>
      </c>
      <c r="D189" s="5" t="s">
        <v>893</v>
      </c>
      <c r="E189" s="5" t="s">
        <v>16</v>
      </c>
      <c r="F189" s="5" t="s">
        <v>17</v>
      </c>
      <c r="G189" s="5" t="s">
        <v>18</v>
      </c>
      <c r="I189" s="5">
        <v>36.057571789999898</v>
      </c>
      <c r="J189" s="5">
        <v>-95.869010619999898</v>
      </c>
      <c r="K189" s="5" t="s">
        <v>894</v>
      </c>
      <c r="L189" s="5" t="s">
        <v>895</v>
      </c>
      <c r="M189" s="5" t="s">
        <v>838</v>
      </c>
      <c r="N189" s="5" t="s">
        <v>896</v>
      </c>
      <c r="O189" s="5">
        <v>2730</v>
      </c>
      <c r="P189" s="5" t="s">
        <v>20</v>
      </c>
      <c r="Q189" s="5" t="s">
        <v>840</v>
      </c>
      <c r="R189" s="5" t="s">
        <v>22</v>
      </c>
      <c r="S189" s="4">
        <v>62023.19</v>
      </c>
      <c r="T189" s="4">
        <v>183555.22</v>
      </c>
      <c r="U189" s="4">
        <v>26118.34</v>
      </c>
      <c r="V189" s="4">
        <v>57091.68</v>
      </c>
      <c r="W189" s="5">
        <v>13599</v>
      </c>
      <c r="X189" s="3">
        <v>226</v>
      </c>
      <c r="Y189" s="3">
        <v>708</v>
      </c>
      <c r="Z189" s="3">
        <v>415</v>
      </c>
      <c r="AA189" s="3">
        <v>1123</v>
      </c>
      <c r="AB189" s="3">
        <v>83353.69</v>
      </c>
      <c r="AC189" s="3">
        <v>95058.36</v>
      </c>
      <c r="AD189" s="3">
        <v>68553.960000000006</v>
      </c>
      <c r="AE189" s="3">
        <v>178412.05</v>
      </c>
      <c r="AF189" s="3">
        <v>0</v>
      </c>
      <c r="AG189" s="3">
        <v>178412.05</v>
      </c>
      <c r="AH189" s="2"/>
      <c r="AI189" s="5" t="s">
        <v>1173</v>
      </c>
      <c r="AJ189" s="1" t="str">
        <f t="shared" si="8"/>
        <v>LINK</v>
      </c>
    </row>
    <row r="190" spans="2:36" x14ac:dyDescent="0.25">
      <c r="B190" s="5" t="s">
        <v>3405</v>
      </c>
      <c r="C190" t="s">
        <v>3403</v>
      </c>
      <c r="E190" t="s">
        <v>16</v>
      </c>
      <c r="F190" t="s">
        <v>17</v>
      </c>
      <c r="G190" t="s">
        <v>18</v>
      </c>
      <c r="I190">
        <v>41.3112491199999</v>
      </c>
      <c r="J190">
        <v>-81.442344449999894</v>
      </c>
      <c r="K190" t="s">
        <v>828</v>
      </c>
      <c r="L190" t="s">
        <v>829</v>
      </c>
      <c r="M190" t="s">
        <v>675</v>
      </c>
      <c r="N190" t="s">
        <v>830</v>
      </c>
      <c r="O190">
        <v>2712</v>
      </c>
      <c r="P190" t="s">
        <v>20</v>
      </c>
      <c r="Q190" t="s">
        <v>676</v>
      </c>
      <c r="R190" t="s">
        <v>37</v>
      </c>
      <c r="S190" s="9">
        <v>0</v>
      </c>
      <c r="T190" s="9">
        <v>0</v>
      </c>
      <c r="U190" s="9">
        <v>0</v>
      </c>
      <c r="V190" s="9">
        <v>0</v>
      </c>
      <c r="W190">
        <v>20000</v>
      </c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10"/>
      <c r="AI190" t="s">
        <v>1168</v>
      </c>
      <c r="AJ190" s="11" t="s">
        <v>1168</v>
      </c>
    </row>
    <row r="191" spans="2:36" x14ac:dyDescent="0.25">
      <c r="C191" t="s">
        <v>3291</v>
      </c>
      <c r="E191" t="s">
        <v>96</v>
      </c>
      <c r="F191" t="s">
        <v>17</v>
      </c>
      <c r="G191" t="s">
        <v>18</v>
      </c>
      <c r="I191">
        <v>41.31113087</v>
      </c>
      <c r="J191">
        <v>-81.442323430000002</v>
      </c>
      <c r="K191" t="s">
        <v>831</v>
      </c>
      <c r="L191" t="s">
        <v>829</v>
      </c>
      <c r="M191" t="s">
        <v>675</v>
      </c>
      <c r="N191" t="s">
        <v>832</v>
      </c>
      <c r="P191" t="s">
        <v>38</v>
      </c>
      <c r="Q191" t="s">
        <v>676</v>
      </c>
      <c r="R191" t="s">
        <v>37</v>
      </c>
      <c r="S191" s="9">
        <v>0</v>
      </c>
      <c r="T191" s="9">
        <v>0</v>
      </c>
      <c r="U191" s="9">
        <v>0</v>
      </c>
      <c r="V191" s="9">
        <v>0</v>
      </c>
      <c r="W191">
        <v>20000</v>
      </c>
      <c r="X191" s="6">
        <v>99</v>
      </c>
      <c r="Y191" s="6">
        <v>668</v>
      </c>
      <c r="Z191" s="6">
        <v>301</v>
      </c>
      <c r="AA191" s="6">
        <v>969</v>
      </c>
      <c r="AB191" s="6">
        <v>7810.5</v>
      </c>
      <c r="AC191" s="6">
        <v>46854.57</v>
      </c>
      <c r="AD191" s="6">
        <v>19946.240000000002</v>
      </c>
      <c r="AE191" s="6">
        <v>54665.07</v>
      </c>
      <c r="AF191" s="6">
        <v>0</v>
      </c>
      <c r="AG191" s="6">
        <v>54665.07</v>
      </c>
      <c r="AH191" s="10"/>
      <c r="AI191" t="s">
        <v>1168</v>
      </c>
      <c r="AJ191" s="11" t="s">
        <v>1168</v>
      </c>
    </row>
    <row r="192" spans="2:36" x14ac:dyDescent="0.25">
      <c r="C192" t="s">
        <v>636</v>
      </c>
      <c r="D192" t="s">
        <v>637</v>
      </c>
      <c r="E192" t="s">
        <v>16</v>
      </c>
      <c r="F192" t="s">
        <v>17</v>
      </c>
      <c r="G192" t="s">
        <v>18</v>
      </c>
      <c r="I192">
        <v>38.594107999999899</v>
      </c>
      <c r="J192">
        <v>-83.321195000000003</v>
      </c>
      <c r="K192" t="s">
        <v>638</v>
      </c>
      <c r="L192" t="s">
        <v>639</v>
      </c>
      <c r="M192" t="s">
        <v>517</v>
      </c>
      <c r="N192" t="s">
        <v>640</v>
      </c>
      <c r="P192" t="s">
        <v>38</v>
      </c>
      <c r="Q192" t="s">
        <v>519</v>
      </c>
      <c r="R192" t="s">
        <v>37</v>
      </c>
      <c r="S192" s="9">
        <v>16084.22</v>
      </c>
      <c r="T192" s="9">
        <v>56252.47</v>
      </c>
      <c r="U192" s="9">
        <v>24210.34</v>
      </c>
      <c r="V192" s="9">
        <v>20405.830000000002</v>
      </c>
      <c r="W192">
        <v>2839</v>
      </c>
      <c r="X192" s="6">
        <v>44</v>
      </c>
      <c r="Y192" s="6">
        <v>213</v>
      </c>
      <c r="Z192" s="6">
        <v>210</v>
      </c>
      <c r="AA192" s="6">
        <v>423</v>
      </c>
      <c r="AB192" s="6">
        <v>1077.5</v>
      </c>
      <c r="AC192" s="6">
        <v>3420.9</v>
      </c>
      <c r="AD192" s="6">
        <v>74197.36</v>
      </c>
      <c r="AE192" s="6">
        <v>4498.3999999999996</v>
      </c>
      <c r="AF192" s="6">
        <v>0</v>
      </c>
      <c r="AG192" s="6">
        <v>4498.3999999999996</v>
      </c>
      <c r="AH192" s="10"/>
      <c r="AI192" t="s">
        <v>1144</v>
      </c>
      <c r="AJ192" s="11" t="str">
        <f t="shared" ref="AJ192:AJ201" si="9">HYPERLINK(AI192,"LINK")</f>
        <v>LINK</v>
      </c>
    </row>
    <row r="193" spans="2:36" x14ac:dyDescent="0.25">
      <c r="B193" s="5" t="s">
        <v>3405</v>
      </c>
      <c r="C193" t="s">
        <v>3300</v>
      </c>
      <c r="E193" t="s">
        <v>16</v>
      </c>
      <c r="F193" t="s">
        <v>17</v>
      </c>
      <c r="G193" t="s">
        <v>18</v>
      </c>
      <c r="I193">
        <v>35.49846823</v>
      </c>
      <c r="J193">
        <v>-94.971458600000005</v>
      </c>
      <c r="K193" t="s">
        <v>898</v>
      </c>
      <c r="L193" t="s">
        <v>897</v>
      </c>
      <c r="M193" t="s">
        <v>838</v>
      </c>
      <c r="N193" t="s">
        <v>899</v>
      </c>
      <c r="P193" t="s">
        <v>38</v>
      </c>
      <c r="Q193" t="s">
        <v>858</v>
      </c>
      <c r="R193" t="s">
        <v>22</v>
      </c>
      <c r="S193" s="9">
        <v>0</v>
      </c>
      <c r="T193" s="9">
        <v>0</v>
      </c>
      <c r="U193" s="9">
        <v>0</v>
      </c>
      <c r="V193" s="9">
        <v>0</v>
      </c>
      <c r="W193">
        <v>12000</v>
      </c>
      <c r="X193" s="6">
        <v>13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760</v>
      </c>
      <c r="AG193" s="6">
        <v>760</v>
      </c>
      <c r="AH193" s="10">
        <v>36503</v>
      </c>
      <c r="AI193" t="s">
        <v>1172</v>
      </c>
      <c r="AJ193" s="11" t="str">
        <f t="shared" si="9"/>
        <v>LINK</v>
      </c>
    </row>
    <row r="194" spans="2:36" x14ac:dyDescent="0.25">
      <c r="C194" t="s">
        <v>71</v>
      </c>
      <c r="E194" t="s">
        <v>16</v>
      </c>
      <c r="F194" t="s">
        <v>17</v>
      </c>
      <c r="G194" t="s">
        <v>18</v>
      </c>
      <c r="I194">
        <v>35.0831462599999</v>
      </c>
      <c r="J194">
        <v>-92.211345769999895</v>
      </c>
      <c r="K194" t="s">
        <v>73</v>
      </c>
      <c r="L194" t="s">
        <v>72</v>
      </c>
      <c r="M194" t="s">
        <v>35</v>
      </c>
      <c r="N194" t="s">
        <v>74</v>
      </c>
      <c r="O194">
        <v>486</v>
      </c>
      <c r="P194" t="s">
        <v>20</v>
      </c>
      <c r="Q194" t="s">
        <v>36</v>
      </c>
      <c r="R194" t="s">
        <v>37</v>
      </c>
      <c r="S194" s="9">
        <v>0</v>
      </c>
      <c r="T194" s="9">
        <v>0</v>
      </c>
      <c r="U194" s="9">
        <v>0</v>
      </c>
      <c r="V194" s="9">
        <v>0</v>
      </c>
      <c r="W194">
        <v>10685</v>
      </c>
      <c r="X194" s="6">
        <v>2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10"/>
      <c r="AI194" t="s">
        <v>1064</v>
      </c>
      <c r="AJ194" s="11" t="str">
        <f t="shared" si="9"/>
        <v>LINK</v>
      </c>
    </row>
    <row r="195" spans="2:36" x14ac:dyDescent="0.25">
      <c r="C195" t="s">
        <v>900</v>
      </c>
      <c r="D195" t="s">
        <v>901</v>
      </c>
      <c r="E195" t="s">
        <v>16</v>
      </c>
      <c r="F195" t="s">
        <v>17</v>
      </c>
      <c r="G195" t="s">
        <v>18</v>
      </c>
      <c r="I195">
        <v>35.958976999999898</v>
      </c>
      <c r="J195">
        <v>-95.367576999999898</v>
      </c>
      <c r="K195" t="s">
        <v>902</v>
      </c>
      <c r="L195" t="s">
        <v>903</v>
      </c>
      <c r="M195" t="s">
        <v>838</v>
      </c>
      <c r="N195" t="s">
        <v>904</v>
      </c>
      <c r="O195">
        <v>220</v>
      </c>
      <c r="P195" t="s">
        <v>20</v>
      </c>
      <c r="Q195" t="s">
        <v>840</v>
      </c>
      <c r="R195" t="s">
        <v>22</v>
      </c>
      <c r="S195" s="9">
        <v>37015.050000000003</v>
      </c>
      <c r="T195" s="9">
        <v>31636.6</v>
      </c>
      <c r="U195" s="9">
        <v>5677.22</v>
      </c>
      <c r="V195" s="9">
        <v>11447.65</v>
      </c>
      <c r="W195">
        <v>3400</v>
      </c>
      <c r="X195" s="6">
        <v>38</v>
      </c>
      <c r="Y195" s="6">
        <v>402</v>
      </c>
      <c r="Z195" s="6">
        <v>1076</v>
      </c>
      <c r="AA195" s="6">
        <v>1478</v>
      </c>
      <c r="AB195" s="6">
        <v>28004.73</v>
      </c>
      <c r="AC195" s="6">
        <v>19193.900000000001</v>
      </c>
      <c r="AD195" s="6">
        <v>34841.4</v>
      </c>
      <c r="AE195" s="6">
        <v>47198.63</v>
      </c>
      <c r="AF195" s="6">
        <v>0</v>
      </c>
      <c r="AG195" s="6">
        <v>47198.63</v>
      </c>
      <c r="AH195" s="10"/>
      <c r="AI195" t="s">
        <v>1048</v>
      </c>
      <c r="AJ195" s="11" t="str">
        <f t="shared" si="9"/>
        <v>LINK</v>
      </c>
    </row>
    <row r="196" spans="2:36" x14ac:dyDescent="0.25">
      <c r="C196" t="s">
        <v>503</v>
      </c>
      <c r="D196" t="s">
        <v>504</v>
      </c>
      <c r="E196" t="s">
        <v>16</v>
      </c>
      <c r="F196" t="s">
        <v>17</v>
      </c>
      <c r="G196" t="s">
        <v>18</v>
      </c>
      <c r="I196">
        <v>41.300116529999897</v>
      </c>
      <c r="J196">
        <v>-91.689680589999895</v>
      </c>
      <c r="K196" t="s">
        <v>505</v>
      </c>
      <c r="L196" t="s">
        <v>506</v>
      </c>
      <c r="M196" t="s">
        <v>328</v>
      </c>
      <c r="N196" t="s">
        <v>507</v>
      </c>
      <c r="O196">
        <v>223</v>
      </c>
      <c r="P196" t="s">
        <v>20</v>
      </c>
      <c r="Q196" t="s">
        <v>329</v>
      </c>
      <c r="R196" t="s">
        <v>22</v>
      </c>
      <c r="S196" s="9">
        <v>6843.78</v>
      </c>
      <c r="T196" s="9">
        <v>31550.09</v>
      </c>
      <c r="U196" s="9">
        <v>6162.89</v>
      </c>
      <c r="V196" s="9">
        <v>8836.11</v>
      </c>
      <c r="W196">
        <v>3300</v>
      </c>
      <c r="X196" s="6">
        <v>33</v>
      </c>
      <c r="Y196" s="6">
        <v>300</v>
      </c>
      <c r="Z196" s="6">
        <v>518</v>
      </c>
      <c r="AA196" s="6">
        <v>818</v>
      </c>
      <c r="AB196" s="6">
        <v>1250</v>
      </c>
      <c r="AC196" s="6">
        <v>7208</v>
      </c>
      <c r="AD196" s="6">
        <v>0</v>
      </c>
      <c r="AE196" s="6">
        <v>8458</v>
      </c>
      <c r="AF196" s="6">
        <v>21</v>
      </c>
      <c r="AG196" s="6">
        <v>8479</v>
      </c>
      <c r="AH196" s="10"/>
      <c r="AI196" t="s">
        <v>1121</v>
      </c>
      <c r="AJ196" s="11" t="str">
        <f t="shared" si="9"/>
        <v>LINK</v>
      </c>
    </row>
    <row r="197" spans="2:36" x14ac:dyDescent="0.25">
      <c r="C197" t="s">
        <v>75</v>
      </c>
      <c r="D197" t="s">
        <v>76</v>
      </c>
      <c r="E197" t="s">
        <v>16</v>
      </c>
      <c r="F197" t="s">
        <v>17</v>
      </c>
      <c r="G197" t="s">
        <v>18</v>
      </c>
      <c r="I197">
        <v>35.923682569999897</v>
      </c>
      <c r="J197">
        <v>-94.189336589999897</v>
      </c>
      <c r="K197" t="s">
        <v>77</v>
      </c>
      <c r="L197" t="s">
        <v>78</v>
      </c>
      <c r="M197" t="s">
        <v>35</v>
      </c>
      <c r="N197" t="s">
        <v>79</v>
      </c>
      <c r="O197">
        <v>239</v>
      </c>
      <c r="P197" t="s">
        <v>20</v>
      </c>
      <c r="Q197" t="s">
        <v>36</v>
      </c>
      <c r="R197" t="s">
        <v>22</v>
      </c>
      <c r="S197" s="9">
        <v>6960.03</v>
      </c>
      <c r="T197" s="9">
        <v>17524.09</v>
      </c>
      <c r="U197" s="9">
        <v>2766.04</v>
      </c>
      <c r="V197" s="9">
        <v>6520.41</v>
      </c>
      <c r="W197">
        <v>3111</v>
      </c>
      <c r="X197" s="6">
        <v>19</v>
      </c>
      <c r="Y197" s="6">
        <v>84</v>
      </c>
      <c r="Z197" s="6">
        <v>266</v>
      </c>
      <c r="AA197" s="6">
        <v>350</v>
      </c>
      <c r="AB197" s="6">
        <v>1910</v>
      </c>
      <c r="AC197" s="6">
        <v>2350</v>
      </c>
      <c r="AD197" s="6">
        <v>18836</v>
      </c>
      <c r="AE197" s="6">
        <v>4260</v>
      </c>
      <c r="AF197" s="6">
        <v>0</v>
      </c>
      <c r="AG197" s="6">
        <v>4260</v>
      </c>
      <c r="AH197" s="10">
        <v>42881</v>
      </c>
      <c r="AI197" t="s">
        <v>1066</v>
      </c>
      <c r="AJ197" s="11" t="str">
        <f t="shared" si="9"/>
        <v>LINK</v>
      </c>
    </row>
    <row r="198" spans="2:36" x14ac:dyDescent="0.25">
      <c r="C198" t="s">
        <v>508</v>
      </c>
      <c r="D198" t="s">
        <v>509</v>
      </c>
      <c r="E198" t="s">
        <v>16</v>
      </c>
      <c r="F198" t="s">
        <v>17</v>
      </c>
      <c r="G198" t="s">
        <v>18</v>
      </c>
      <c r="I198">
        <v>41.660446450000002</v>
      </c>
      <c r="J198">
        <v>-92.008259980000005</v>
      </c>
      <c r="K198" t="s">
        <v>510</v>
      </c>
      <c r="L198" t="s">
        <v>511</v>
      </c>
      <c r="M198" t="s">
        <v>328</v>
      </c>
      <c r="N198" t="s">
        <v>512</v>
      </c>
      <c r="O198">
        <v>244</v>
      </c>
      <c r="P198" t="s">
        <v>20</v>
      </c>
      <c r="Q198" t="s">
        <v>329</v>
      </c>
      <c r="R198" t="s">
        <v>22</v>
      </c>
      <c r="S198" s="9">
        <v>5545.31</v>
      </c>
      <c r="T198" s="9">
        <v>27221.59</v>
      </c>
      <c r="U198" s="9">
        <v>569.45000000000005</v>
      </c>
      <c r="V198" s="9">
        <v>7305.07</v>
      </c>
      <c r="W198">
        <v>3023</v>
      </c>
      <c r="X198" s="6">
        <v>28</v>
      </c>
      <c r="Y198" s="6">
        <v>209</v>
      </c>
      <c r="Z198" s="6">
        <v>249</v>
      </c>
      <c r="AA198" s="6">
        <v>458</v>
      </c>
      <c r="AB198" s="6">
        <v>1325</v>
      </c>
      <c r="AC198" s="6">
        <v>4137.1000000000004</v>
      </c>
      <c r="AD198" s="6">
        <v>10027.4</v>
      </c>
      <c r="AE198" s="6">
        <v>5462.1</v>
      </c>
      <c r="AF198" s="6">
        <v>21</v>
      </c>
      <c r="AG198" s="6">
        <v>5483.1</v>
      </c>
      <c r="AH198" s="10"/>
      <c r="AI198" t="s">
        <v>1023</v>
      </c>
      <c r="AJ198" s="11" t="str">
        <f t="shared" si="9"/>
        <v>LINK</v>
      </c>
    </row>
    <row r="199" spans="2:36" x14ac:dyDescent="0.25">
      <c r="B199" t="s">
        <v>3406</v>
      </c>
      <c r="C199" t="s">
        <v>323</v>
      </c>
      <c r="D199" t="s">
        <v>324</v>
      </c>
      <c r="E199" t="s">
        <v>16</v>
      </c>
      <c r="F199" t="s">
        <v>17</v>
      </c>
      <c r="G199" t="s">
        <v>18</v>
      </c>
      <c r="I199">
        <v>33.99464785</v>
      </c>
      <c r="J199">
        <v>-83.721187850000007</v>
      </c>
      <c r="K199" t="s">
        <v>325</v>
      </c>
      <c r="L199" t="s">
        <v>326</v>
      </c>
      <c r="M199" t="s">
        <v>120</v>
      </c>
      <c r="N199" t="s">
        <v>327</v>
      </c>
      <c r="O199">
        <v>92</v>
      </c>
      <c r="P199" t="s">
        <v>20</v>
      </c>
      <c r="Q199" t="s">
        <v>121</v>
      </c>
      <c r="R199" t="s">
        <v>22</v>
      </c>
      <c r="S199" s="9">
        <v>39493.07</v>
      </c>
      <c r="T199" s="9">
        <v>149148.35</v>
      </c>
      <c r="U199" s="9">
        <v>3438.86</v>
      </c>
      <c r="V199" s="9">
        <v>45265.02</v>
      </c>
      <c r="W199">
        <v>7771</v>
      </c>
      <c r="X199" s="6">
        <v>119</v>
      </c>
      <c r="Y199" s="6">
        <v>509</v>
      </c>
      <c r="Z199" s="6">
        <v>2027</v>
      </c>
      <c r="AA199" s="6">
        <v>2536</v>
      </c>
      <c r="AB199" s="6">
        <v>107959.85</v>
      </c>
      <c r="AC199" s="6">
        <v>57589.49</v>
      </c>
      <c r="AD199" s="6">
        <v>150609.51999999999</v>
      </c>
      <c r="AE199" s="6">
        <v>165549.34</v>
      </c>
      <c r="AF199" s="6">
        <v>0</v>
      </c>
      <c r="AG199" s="6">
        <v>165549.34</v>
      </c>
      <c r="AH199" s="10"/>
      <c r="AI199" t="s">
        <v>1105</v>
      </c>
      <c r="AJ199" s="11" t="str">
        <f t="shared" si="9"/>
        <v>LINK</v>
      </c>
    </row>
    <row r="200" spans="2:36" s="5" customFormat="1" x14ac:dyDescent="0.25">
      <c r="B200" s="5" t="s">
        <v>3405</v>
      </c>
      <c r="C200" s="5" t="s">
        <v>833</v>
      </c>
      <c r="D200" s="5" t="s">
        <v>834</v>
      </c>
      <c r="E200" s="5" t="s">
        <v>16</v>
      </c>
      <c r="F200" s="5" t="s">
        <v>17</v>
      </c>
      <c r="G200" s="5" t="s">
        <v>18</v>
      </c>
      <c r="I200" s="5">
        <v>41.86554916</v>
      </c>
      <c r="J200" s="5">
        <v>-80.783442190000002</v>
      </c>
      <c r="K200" s="5" t="s">
        <v>835</v>
      </c>
      <c r="L200" s="5" t="s">
        <v>836</v>
      </c>
      <c r="M200" s="5" t="s">
        <v>675</v>
      </c>
      <c r="N200" s="5" t="s">
        <v>837</v>
      </c>
      <c r="O200" s="5">
        <v>3549</v>
      </c>
      <c r="P200" s="5" t="s">
        <v>20</v>
      </c>
      <c r="Q200" s="5" t="s">
        <v>676</v>
      </c>
      <c r="R200" s="5" t="s">
        <v>22</v>
      </c>
      <c r="S200" s="4">
        <v>51649.4</v>
      </c>
      <c r="T200" s="4">
        <v>96181.38</v>
      </c>
      <c r="U200" s="4">
        <v>19265.16</v>
      </c>
      <c r="V200" s="4">
        <v>36680.53</v>
      </c>
      <c r="W200" s="5">
        <v>30000</v>
      </c>
      <c r="X200" s="3">
        <v>125</v>
      </c>
      <c r="Y200" s="3">
        <v>722</v>
      </c>
      <c r="Z200" s="3">
        <v>633</v>
      </c>
      <c r="AA200" s="3">
        <v>1355</v>
      </c>
      <c r="AB200" s="3">
        <v>3866</v>
      </c>
      <c r="AC200" s="3">
        <v>30884.12</v>
      </c>
      <c r="AD200" s="3">
        <v>10543.4</v>
      </c>
      <c r="AE200" s="3">
        <v>34750.120000000003</v>
      </c>
      <c r="AF200" s="3">
        <v>0</v>
      </c>
      <c r="AG200" s="3">
        <v>34750.120000000003</v>
      </c>
      <c r="AH200" s="2">
        <v>42984</v>
      </c>
      <c r="AI200" s="5" t="s">
        <v>1040</v>
      </c>
      <c r="AJ200" s="1" t="str">
        <f t="shared" si="9"/>
        <v>LINK</v>
      </c>
    </row>
    <row r="201" spans="2:36" x14ac:dyDescent="0.25">
      <c r="C201" t="s">
        <v>641</v>
      </c>
      <c r="D201" t="s">
        <v>642</v>
      </c>
      <c r="E201" t="s">
        <v>16</v>
      </c>
      <c r="F201" t="s">
        <v>17</v>
      </c>
      <c r="G201" t="s">
        <v>18</v>
      </c>
      <c r="I201">
        <v>38.0672</v>
      </c>
      <c r="J201">
        <v>-85.668750000000003</v>
      </c>
      <c r="K201" t="s">
        <v>643</v>
      </c>
      <c r="L201" t="s">
        <v>644</v>
      </c>
      <c r="M201" t="s">
        <v>517</v>
      </c>
      <c r="N201" t="s">
        <v>645</v>
      </c>
      <c r="P201" t="s">
        <v>38</v>
      </c>
      <c r="Q201" t="s">
        <v>646</v>
      </c>
      <c r="R201" t="s">
        <v>37</v>
      </c>
      <c r="S201" s="9">
        <v>15176.68</v>
      </c>
      <c r="T201" s="9">
        <v>49861.48</v>
      </c>
      <c r="U201" s="9">
        <v>8093.92</v>
      </c>
      <c r="V201" s="9">
        <v>13763.68</v>
      </c>
      <c r="W201">
        <v>6272</v>
      </c>
      <c r="X201" s="6">
        <v>54</v>
      </c>
      <c r="Y201" s="6">
        <v>327</v>
      </c>
      <c r="Z201" s="6">
        <v>1618</v>
      </c>
      <c r="AA201" s="6">
        <v>1945</v>
      </c>
      <c r="AB201" s="6">
        <v>6641.1</v>
      </c>
      <c r="AC201" s="6">
        <v>12331.22</v>
      </c>
      <c r="AD201" s="6">
        <v>1350</v>
      </c>
      <c r="AE201" s="6">
        <v>18972.32</v>
      </c>
      <c r="AF201" s="6">
        <v>0</v>
      </c>
      <c r="AG201" s="6">
        <v>18972.32</v>
      </c>
      <c r="AH201" s="10"/>
      <c r="AI201" t="s">
        <v>1145</v>
      </c>
      <c r="AJ201" s="11" t="str">
        <f t="shared" si="9"/>
        <v>LINK</v>
      </c>
    </row>
  </sheetData>
  <sortState xmlns:xlrd2="http://schemas.microsoft.com/office/spreadsheetml/2017/richdata2" ref="C2:AJ201">
    <sortCondition descending="1" ref="W2:W201"/>
  </sortState>
  <conditionalFormatting sqref="C2:C201">
    <cfRule type="duplicateValues" dxfId="1" priority="4"/>
  </conditionalFormatting>
  <hyperlinks>
    <hyperlink ref="AI111" r:id="rId1" display="https://www.google.com/maps/place/Kinetic+Fiber+Internet+-+Leeds,+AL/@33.5437994,-86.544579,122m/data=!3m1!1e3!4m12!1m5!3m4!2zMzPCsDMyJzM3LjUiTiA4NsKwMzInMzguOSJX!8m2!3d33.54375!4d-86.54415!3m5!1s0x889a4da4998c95e9:0x11c2307e37c41fd5!8m2!3d33.5436989!4d-86.5443555!16s%2Fg%2F1s04fts47?entry=ttu&amp;amp;g_ep=EgoyMDI2MDIyMi4wIKXMDSoASAFQAw%3D%3D&quot;&gt;Google Maps&lt;/a&gt;" xr:uid="{00000000-0004-0000-0000-000000000000}"/>
    <hyperlink ref="AJ111" r:id="rId2" display="https://www.google.com/maps/place/Kinetic+Fiber+Internet+-+Leeds,+AL/@33.5437994,-86.544579,122m/data=!3m1!1e3!4m12!1m5!3m4!2zMzPCsDMyJzM3LjUiTiA4NsKwMzInMzguOSJX!8m2!3d33.54375!4d-86.54415!3m5!1s0x889a4da4998c95e9:0x11c2307e37c41fd5!8m2!3d33.5436989!4d-86.5443555!16s%2Fg%2F1s04fts47?entry=ttu&amp;amp;g_ep=EgoyMDI2MDIyMi4wIKXMDSoASAFQAw%3D%3D&quot;&gt;Google Maps&lt;/a&gt;" xr:uid="{00000000-0004-0000-0000-000001000000}"/>
    <hyperlink ref="AJ56" r:id="rId3" display="https://www.google.com/maps/place/104+W+6th+Ave,+Crossett,+AR+71635/@33.1285045,-91.9626419,114m/data=!3m1!1e3!4m12!1m5!3m4!2zMzPCsDA3JzQyLjYiTiA5McKwNTcnNDQuNCJX!8m2!3d33.1285!4d-91.96232!3m5!1s0x862dd7165e613c93:0x9d6fd601f14e7437!8m2!3d33.1284789!4d-91.9623317!16s%2Fg%2F11c1hc9zn8?entry=ttu&amp;amp;g_ep=EgoyMDI1MTExNy4wIKXMDSoASAFQAw%3D%3D&quot;&gt;Google Maps&lt;/a&gt;" xr:uid="{00000000-0004-0000-0000-000002000000}"/>
    <hyperlink ref="AJ59" r:id="rId4" display="https://www.google.com/maps/place/11+Dallas+311,+Arkadelphia,+AR+71923/@34.0381252,-92.887999,225m/data=!3m2!1e3!4b1!4m6!3m5!1s0x8632e92e3ea991cb:0xb86be4a0c450aca2!8m2!3d34.0381241!4d-92.8873553!16s%2Fg%2F11dzn71cvv?entry=ttu&amp;amp;g_ep=EgoyMDI1MTExNy4wIKXMDSoASAFQAw%3D%3D&quot;&gt;Google Maps&lt;/a&gt;" xr:uid="{00000000-0004-0000-0000-000003000000}"/>
    <hyperlink ref="AJ121" r:id="rId5" display="https://www.google.com/maps/place/153+NW+Crawford+St,+Mayo,+FL+32066/@30.0542213,-83.1769053,235m/data=!3m2!1e3!4b1!4m6!3m5!1s0x88eecbed82a913b9:0x979775c6de9bea5c!8m2!3d30.0542201!4d-83.1762616!16s%2Fg%2F11d_vtw9rc?entry=ttu&amp;amp;g_ep=EgoyMDI2MDEyOC4wIKXMDSoASAFQAw%3D%3D&quot;&gt;Google Maps&lt;/a&gt;" xr:uid="{00000000-0004-0000-0000-000004000000}"/>
    <hyperlink ref="AJ126" r:id="rId6" display="https://www.google.com/maps/place/3375+GA-11,+Monroe,+GA+30656/@33.8905049,-83.7205933,226m/data=!3m2!1e3!4b1!4m6!3m5!1s0x88f5db77d56dfa87:0x273261ea0cd03aa7!8m2!3d33.8905038!4d-83.7199496!16s%2Fg%2F11bw4cc7y6?entry=ttu&amp;amp;g_ep=EgoyMDI1MTAyMi4wIKXMDSoASAFQAw%3D%3D&quot;&gt;Google Maps&lt;/a&gt;" xr:uid="{00000000-0004-0000-0000-000005000000}"/>
    <hyperlink ref="AJ16" r:id="rId7" display="https://www.google.com/maps/place/8425+Bainbridge+Rd,+Chagrin+Falls,+OH+44023/@41.385724,-81.3409919,102m/data=!3m1!1e3!4m12!1m5!3m4!2zNDHCsDIzJzA4LjYiTiA4McKwMjAnMjYuNCJX!8m2!3d41.38572!4d-81.34067!3m5!1s0x88311a7811e73ce9:0x8ae504c98819a4a0!8m2!3d41.3857038!4d-81.3406819!16s%2Fg%2F11b8v5dgqb?entry=ttu&amp;amp;g_ep=EgoyMDI1MTAwNy4wIKXMDSoASAFQAw%3D%3D&quot;&gt;Google Maps&lt;/a&gt;" xr:uid="{00000000-0004-0000-0000-000006000000}"/>
    <hyperlink ref="AJ169" r:id="rId8" display="https://www.google.com/maps/place/130+Howell+Dr,+Elizabethtown,+KY+42701/@37.7137354,-85.8271202,860m/data=!3m2!1e3!4b1!4m6!3m5!1s0x8868ef14cb372ebf:0xa1909efe4828c1f5!8m2!3d37.7137312!4d-85.8245453!16s%2Fg%2F11bw4nx7h4?entry=ttu&amp;amp;g_ep=EgoyMDI2MDIwNC4wIKXMDSoASAFQAw%3D%3D&quot;&gt;Google Maps&lt;/a&gt;" xr:uid="{00000000-0004-0000-0000-000007000000}"/>
    <hyperlink ref="AJ190" r:id="rId9" display="https://www.google.com/maps/place/130+Howell+Dr,+Elizabethtown,+KY+42701/@37.7137354,-85.8271202,860m/data=!3m2!1e3!4b1!4m6!3m5!1s0x8868ef14cb372ebf:0xa1909efe4828c1f5!8m2!3d37.7137312!4d-85.8245453!16s%2Fg%2F11bw4nx7h4?entry=ttu&amp;amp;g_ep=EgoyMDI2MDIwNC4wIKXMDSoASAFQAw%3D%3D&quot;&gt;Google Maps&lt;/a&gt;" xr:uid="{00000000-0004-0000-0000-000008000000}"/>
    <hyperlink ref="AJ191" r:id="rId10" display="https://www.google.com/maps/place/130+Howell+Dr,+Elizabethtown,+KY+42701/@37.7137354,-85.8271202,860m/data=!3m2!1e3!4b1!4m6!3m5!1s0x8868ef14cb372ebf:0xa1909efe4828c1f5!8m2!3d37.7137312!4d-85.8245453!16s%2Fg%2F11bw4nx7h4?entry=ttu&amp;amp;g_ep=EgoyMDI2MDIwNC4wIKXMDSoASAFQAw%3D%3D&quot;&gt;Google Maps&lt;/a&gt;" xr:uid="{00000000-0004-0000-0000-000009000000}"/>
    <hyperlink ref="AJ43" r:id="rId11" display="https://www.google.com/maps/place/130+Howell+Dr,+Elizabethtown,+KY+42701/@37.7137354,-85.8271202,860m/data=!3m2!1e3!4b1!4m6!3m5!1s0x8868ef14cb372ebf:0xa1909efe4828c1f5!8m2!3d37.7137312!4d-85.8245453!16s%2Fg%2F11bw4nx7h4?entry=ttu&amp;amp;g_ep=EgoyMDI2MDIwNC4wIKXMDSoASAFQAw%3D%3D&quot;&gt;Google Maps&lt;/a&gt;" xr:uid="{00000000-0004-0000-0000-00000A000000}"/>
  </hyperlinks>
  <pageMargins left="0.7" right="0.7" top="0.75" bottom="0.75" header="0.3" footer="0.3"/>
  <headerFooter>
    <oddFooter>&amp;L_x000D_&amp;1#&amp;"Aptos"&amp;8&amp;K000000 Sensitivity: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CBB67-4F81-4C3A-A046-4189F46CCF1D}">
  <sheetPr filterMode="1"/>
  <dimension ref="A1:AP55"/>
  <sheetViews>
    <sheetView topLeftCell="U1" workbookViewId="0">
      <selection activeCell="AM28" sqref="AM28"/>
    </sheetView>
  </sheetViews>
  <sheetFormatPr defaultRowHeight="15" outlineLevelCol="1" x14ac:dyDescent="0.25"/>
  <cols>
    <col min="11" max="11" width="46.85546875" customWidth="1"/>
    <col min="13" max="19" width="9.140625" customWidth="1" outlineLevel="1"/>
    <col min="20" max="20" width="41.28515625" customWidth="1" outlineLevel="1"/>
    <col min="21" max="22" width="9.140625" customWidth="1" outlineLevel="1"/>
    <col min="23" max="23" width="9.140625" style="13" customWidth="1" outlineLevel="1"/>
    <col min="24" max="35" width="9.140625" customWidth="1" outlineLevel="1"/>
  </cols>
  <sheetData>
    <row r="1" spans="1:42" x14ac:dyDescent="0.25">
      <c r="A1" t="s">
        <v>3409</v>
      </c>
    </row>
    <row r="2" spans="1:42" x14ac:dyDescent="0.25">
      <c r="B2" t="s">
        <v>3410</v>
      </c>
      <c r="C2">
        <v>250</v>
      </c>
    </row>
    <row r="3" spans="1:42" x14ac:dyDescent="0.25">
      <c r="B3" t="s">
        <v>3685</v>
      </c>
      <c r="C3" s="28">
        <v>0.75</v>
      </c>
    </row>
    <row r="6" spans="1:42" x14ac:dyDescent="0.25">
      <c r="A6" s="7" t="s">
        <v>3407</v>
      </c>
      <c r="B6" s="7" t="s">
        <v>3404</v>
      </c>
      <c r="C6" s="7" t="s">
        <v>0</v>
      </c>
      <c r="D6" s="7" t="s">
        <v>1</v>
      </c>
      <c r="E6" s="7" t="s">
        <v>2</v>
      </c>
      <c r="F6" s="7" t="s">
        <v>3</v>
      </c>
      <c r="G6" s="7" t="s">
        <v>4</v>
      </c>
      <c r="H6" s="7" t="s">
        <v>5</v>
      </c>
      <c r="I6" s="7" t="s">
        <v>6</v>
      </c>
      <c r="J6" s="7" t="s">
        <v>7</v>
      </c>
      <c r="K6" s="7" t="s">
        <v>8</v>
      </c>
      <c r="L6" s="7" t="s">
        <v>9</v>
      </c>
      <c r="M6" s="7" t="s">
        <v>10</v>
      </c>
      <c r="N6" s="7" t="s">
        <v>11</v>
      </c>
      <c r="O6" s="7" t="s">
        <v>12</v>
      </c>
      <c r="P6" s="7" t="s">
        <v>13</v>
      </c>
      <c r="Q6" s="7" t="s">
        <v>14</v>
      </c>
      <c r="R6" s="7" t="s">
        <v>15</v>
      </c>
      <c r="S6" s="8" t="s">
        <v>1001</v>
      </c>
      <c r="T6" s="8" t="s">
        <v>1002</v>
      </c>
      <c r="U6" s="8" t="s">
        <v>1054</v>
      </c>
      <c r="V6" s="8" t="s">
        <v>1055</v>
      </c>
      <c r="W6" s="14" t="s">
        <v>1187</v>
      </c>
      <c r="X6" s="7" t="s">
        <v>1188</v>
      </c>
      <c r="Y6" s="7" t="s">
        <v>1189</v>
      </c>
      <c r="Z6" s="7" t="s">
        <v>1190</v>
      </c>
      <c r="AA6" s="7" t="s">
        <v>1191</v>
      </c>
      <c r="AB6" s="7" t="s">
        <v>1192</v>
      </c>
      <c r="AC6" s="7" t="s">
        <v>1193</v>
      </c>
      <c r="AD6" s="7" t="s">
        <v>1194</v>
      </c>
      <c r="AE6" s="7" t="s">
        <v>1195</v>
      </c>
      <c r="AF6" s="7" t="s">
        <v>1196</v>
      </c>
      <c r="AG6" s="7" t="s">
        <v>1197</v>
      </c>
      <c r="AH6" s="7" t="s">
        <v>1204</v>
      </c>
      <c r="AI6" s="8" t="s">
        <v>1003</v>
      </c>
      <c r="AJ6" s="7" t="s">
        <v>3411</v>
      </c>
      <c r="AK6" s="7" t="s">
        <v>3412</v>
      </c>
      <c r="AL6" s="7" t="s">
        <v>3438</v>
      </c>
      <c r="AM6" s="7" t="s">
        <v>3439</v>
      </c>
      <c r="AN6" s="7" t="s">
        <v>3687</v>
      </c>
      <c r="AO6" s="7" t="s">
        <v>3686</v>
      </c>
      <c r="AP6" s="7" t="s">
        <v>3689</v>
      </c>
    </row>
    <row r="7" spans="1:42" x14ac:dyDescent="0.25">
      <c r="A7" s="5" t="s">
        <v>3408</v>
      </c>
      <c r="B7" t="s">
        <v>3405</v>
      </c>
      <c r="C7" s="5" t="s">
        <v>521</v>
      </c>
      <c r="D7" s="5" t="s">
        <v>522</v>
      </c>
      <c r="E7" s="5" t="s">
        <v>16</v>
      </c>
      <c r="F7" s="5" t="s">
        <v>17</v>
      </c>
      <c r="G7" s="5" t="s">
        <v>18</v>
      </c>
      <c r="H7" s="5"/>
      <c r="I7" s="5">
        <v>38.4758</v>
      </c>
      <c r="J7" s="5">
        <v>-82.64385</v>
      </c>
      <c r="K7" s="5" t="s">
        <v>523</v>
      </c>
      <c r="L7" s="5" t="s">
        <v>520</v>
      </c>
      <c r="M7" s="5" t="s">
        <v>517</v>
      </c>
      <c r="N7" s="5" t="s">
        <v>524</v>
      </c>
      <c r="O7" s="5">
        <v>3469</v>
      </c>
      <c r="P7" s="5" t="s">
        <v>20</v>
      </c>
      <c r="Q7" s="5" t="s">
        <v>519</v>
      </c>
      <c r="R7" s="5" t="s">
        <v>37</v>
      </c>
      <c r="S7" s="4">
        <v>80399.73</v>
      </c>
      <c r="T7" s="4">
        <v>247287.21</v>
      </c>
      <c r="U7" s="4">
        <v>15495.96</v>
      </c>
      <c r="V7" s="4">
        <v>97031.63</v>
      </c>
      <c r="W7" s="5">
        <v>34184</v>
      </c>
      <c r="X7" s="3">
        <v>232</v>
      </c>
      <c r="Y7" s="3">
        <v>223</v>
      </c>
      <c r="Z7" s="3">
        <v>1165</v>
      </c>
      <c r="AA7" s="3">
        <v>1388</v>
      </c>
      <c r="AB7" s="3">
        <v>23231.37</v>
      </c>
      <c r="AC7" s="3">
        <v>120711.48</v>
      </c>
      <c r="AD7" s="3">
        <v>101921.69</v>
      </c>
      <c r="AE7" s="3">
        <v>143942.85</v>
      </c>
      <c r="AF7" s="3">
        <v>0</v>
      </c>
      <c r="AG7" s="3">
        <v>143942.85</v>
      </c>
      <c r="AH7" s="2">
        <v>42881</v>
      </c>
      <c r="AI7" s="5" t="s">
        <v>1123</v>
      </c>
      <c r="AJ7">
        <f>W7*$C$3*$C$2/10^6</f>
        <v>6.4095000000000004</v>
      </c>
      <c r="AK7" t="s">
        <v>3408</v>
      </c>
      <c r="AL7" t="s">
        <v>3437</v>
      </c>
      <c r="AM7" t="s">
        <v>3419</v>
      </c>
      <c r="AP7" t="str">
        <f>INDEX('Mireye Site Screen'!BU:BU, MATCH('Top 50'!$I7, 'Mireye Site Screen'!$C:$C, 0))</f>
        <v>REVIEW (5-15 MW band)</v>
      </c>
    </row>
    <row r="8" spans="1:42" hidden="1" x14ac:dyDescent="0.25">
      <c r="B8" t="s">
        <v>3405</v>
      </c>
      <c r="C8" t="s">
        <v>525</v>
      </c>
      <c r="D8" t="s">
        <v>526</v>
      </c>
      <c r="E8" t="s">
        <v>16</v>
      </c>
      <c r="F8" t="s">
        <v>17</v>
      </c>
      <c r="G8" t="s">
        <v>18</v>
      </c>
      <c r="I8">
        <v>38.409649969999897</v>
      </c>
      <c r="J8">
        <v>-82.713032350000006</v>
      </c>
      <c r="K8" t="s">
        <v>527</v>
      </c>
      <c r="L8" t="s">
        <v>520</v>
      </c>
      <c r="M8" t="s">
        <v>517</v>
      </c>
      <c r="N8" t="s">
        <v>528</v>
      </c>
      <c r="P8" t="s">
        <v>38</v>
      </c>
      <c r="Q8" t="s">
        <v>519</v>
      </c>
      <c r="R8" t="s">
        <v>37</v>
      </c>
      <c r="S8" s="9">
        <v>56902.92</v>
      </c>
      <c r="T8" s="9">
        <v>87147.61</v>
      </c>
      <c r="U8" s="9">
        <v>18735.57</v>
      </c>
      <c r="V8" s="9">
        <v>34174.83</v>
      </c>
      <c r="W8">
        <v>12209</v>
      </c>
      <c r="X8" s="6">
        <v>76</v>
      </c>
      <c r="Y8" s="6">
        <v>281</v>
      </c>
      <c r="Z8" s="6">
        <v>1025</v>
      </c>
      <c r="AA8" s="6">
        <v>1306</v>
      </c>
      <c r="AB8" s="6">
        <v>16039.46</v>
      </c>
      <c r="AC8" s="6">
        <v>39822.17</v>
      </c>
      <c r="AD8" s="6">
        <v>92545.24</v>
      </c>
      <c r="AE8" s="6">
        <v>55861.63</v>
      </c>
      <c r="AF8" s="6">
        <v>0</v>
      </c>
      <c r="AG8" s="6">
        <v>55861.63</v>
      </c>
      <c r="AH8" s="10"/>
      <c r="AI8" t="s">
        <v>1124</v>
      </c>
      <c r="AJ8">
        <f t="shared" ref="AJ8:AJ55" si="0">W8*$C$3*$C$2/10^6</f>
        <v>2.2891875000000002</v>
      </c>
      <c r="AM8" t="s">
        <v>3416</v>
      </c>
    </row>
    <row r="9" spans="1:42" hidden="1" x14ac:dyDescent="0.25">
      <c r="B9" t="s">
        <v>3405</v>
      </c>
      <c r="C9" t="s">
        <v>682</v>
      </c>
      <c r="D9" t="s">
        <v>683</v>
      </c>
      <c r="E9" t="s">
        <v>16</v>
      </c>
      <c r="F9" t="s">
        <v>17</v>
      </c>
      <c r="G9" t="s">
        <v>18</v>
      </c>
      <c r="I9">
        <v>41.385698949999899</v>
      </c>
      <c r="J9">
        <v>-81.340629230000005</v>
      </c>
      <c r="K9" t="s">
        <v>684</v>
      </c>
      <c r="L9" t="s">
        <v>685</v>
      </c>
      <c r="M9" t="s">
        <v>675</v>
      </c>
      <c r="N9" t="s">
        <v>686</v>
      </c>
      <c r="O9">
        <v>2020</v>
      </c>
      <c r="P9" t="s">
        <v>20</v>
      </c>
      <c r="Q9" t="s">
        <v>676</v>
      </c>
      <c r="R9" t="s">
        <v>37</v>
      </c>
      <c r="S9" s="9">
        <v>31055.14</v>
      </c>
      <c r="T9" s="9">
        <v>57971.48</v>
      </c>
      <c r="U9" s="9">
        <v>12785.38</v>
      </c>
      <c r="V9" s="9">
        <v>19898.04</v>
      </c>
      <c r="W9">
        <v>14355</v>
      </c>
      <c r="X9" s="6">
        <v>64</v>
      </c>
      <c r="Y9" s="6">
        <v>285</v>
      </c>
      <c r="Z9" s="6">
        <v>474</v>
      </c>
      <c r="AA9" s="6">
        <v>759</v>
      </c>
      <c r="AB9" s="6">
        <v>1021</v>
      </c>
      <c r="AC9" s="6">
        <v>7569.59</v>
      </c>
      <c r="AD9" s="6">
        <v>18040.8</v>
      </c>
      <c r="AE9" s="6">
        <v>8590.59</v>
      </c>
      <c r="AF9" s="6">
        <v>0</v>
      </c>
      <c r="AG9" s="6">
        <v>8590.59</v>
      </c>
      <c r="AH9" s="10"/>
      <c r="AI9" t="s">
        <v>1149</v>
      </c>
      <c r="AJ9">
        <f t="shared" si="0"/>
        <v>2.6915624999999999</v>
      </c>
      <c r="AM9" t="s">
        <v>3417</v>
      </c>
    </row>
    <row r="10" spans="1:42" x14ac:dyDescent="0.25">
      <c r="A10" s="5" t="s">
        <v>3408</v>
      </c>
      <c r="B10" t="s">
        <v>3405</v>
      </c>
      <c r="C10" s="5" t="s">
        <v>128</v>
      </c>
      <c r="D10" s="5" t="s">
        <v>129</v>
      </c>
      <c r="E10" s="5" t="s">
        <v>16</v>
      </c>
      <c r="F10" s="5" t="s">
        <v>17</v>
      </c>
      <c r="G10" s="5" t="s">
        <v>18</v>
      </c>
      <c r="H10" s="5"/>
      <c r="I10" s="5">
        <v>34.497208469999897</v>
      </c>
      <c r="J10" s="5">
        <v>-83.549977670000004</v>
      </c>
      <c r="K10" s="5" t="s">
        <v>130</v>
      </c>
      <c r="L10" s="5" t="s">
        <v>131</v>
      </c>
      <c r="M10" s="5" t="s">
        <v>120</v>
      </c>
      <c r="N10" s="5" t="s">
        <v>132</v>
      </c>
      <c r="O10" s="5">
        <v>3405</v>
      </c>
      <c r="P10" s="5" t="s">
        <v>20</v>
      </c>
      <c r="Q10" s="5" t="s">
        <v>127</v>
      </c>
      <c r="R10" s="5" t="s">
        <v>22</v>
      </c>
      <c r="S10" s="4">
        <v>0</v>
      </c>
      <c r="T10" s="4">
        <v>131239.21</v>
      </c>
      <c r="U10" s="4">
        <v>0</v>
      </c>
      <c r="V10" s="4">
        <v>35861.89</v>
      </c>
      <c r="W10" s="15">
        <v>55823</v>
      </c>
      <c r="X10" s="3">
        <v>11</v>
      </c>
      <c r="Y10" s="3">
        <v>541</v>
      </c>
      <c r="Z10" s="3">
        <v>0</v>
      </c>
      <c r="AA10" s="3">
        <v>541</v>
      </c>
      <c r="AB10" s="3">
        <v>0</v>
      </c>
      <c r="AC10" s="3">
        <v>0</v>
      </c>
      <c r="AD10" s="3">
        <v>1299</v>
      </c>
      <c r="AE10" s="3">
        <v>0</v>
      </c>
      <c r="AF10" s="3">
        <v>0</v>
      </c>
      <c r="AG10" s="3">
        <v>0</v>
      </c>
      <c r="AH10" s="2">
        <v>31383</v>
      </c>
      <c r="AI10" s="5" t="s">
        <v>1074</v>
      </c>
      <c r="AJ10">
        <f t="shared" si="0"/>
        <v>10.4668125</v>
      </c>
      <c r="AK10" t="s">
        <v>3408</v>
      </c>
      <c r="AL10" t="s">
        <v>3413</v>
      </c>
      <c r="AM10" t="s">
        <v>3420</v>
      </c>
      <c r="AN10">
        <v>1</v>
      </c>
      <c r="AO10" t="str">
        <f>INDEX('Mireye Site Screen'!BU:BU, MATCH('Top 50'!$AN10, 'Mireye Site Screen'!$A:$A, 0))</f>
        <v>GO</v>
      </c>
      <c r="AP10" t="str">
        <f>INDEX('Mireye Site Screen'!BV:BV, MATCH('Top 50'!$AN10, 'Mireye Site Screen'!$A:$A, 0))</f>
        <v>Pursue first - open Georgia Power capacity inquiry now</v>
      </c>
    </row>
    <row r="11" spans="1:42" hidden="1" x14ac:dyDescent="0.25">
      <c r="B11" t="s">
        <v>3406</v>
      </c>
      <c r="C11" t="s">
        <v>535</v>
      </c>
      <c r="D11" t="s">
        <v>536</v>
      </c>
      <c r="E11" t="s">
        <v>16</v>
      </c>
      <c r="F11" t="s">
        <v>17</v>
      </c>
      <c r="G11" t="s">
        <v>18</v>
      </c>
      <c r="H11" t="s">
        <v>34</v>
      </c>
      <c r="I11">
        <v>37.573343530000002</v>
      </c>
      <c r="J11">
        <v>-84.2857390799999</v>
      </c>
      <c r="K11" t="s">
        <v>537</v>
      </c>
      <c r="L11" t="s">
        <v>534</v>
      </c>
      <c r="M11" t="s">
        <v>517</v>
      </c>
      <c r="N11" t="s">
        <v>538</v>
      </c>
      <c r="O11">
        <v>227</v>
      </c>
      <c r="P11" t="s">
        <v>20</v>
      </c>
      <c r="Q11" t="s">
        <v>519</v>
      </c>
      <c r="R11" t="s">
        <v>37</v>
      </c>
      <c r="S11" s="9">
        <v>17800.04</v>
      </c>
      <c r="T11" s="9">
        <v>51712.55</v>
      </c>
      <c r="U11" s="9">
        <v>4044.87</v>
      </c>
      <c r="V11" s="9">
        <v>16119.02</v>
      </c>
      <c r="W11">
        <v>3242</v>
      </c>
      <c r="X11" s="6">
        <v>90</v>
      </c>
      <c r="Y11" s="6">
        <v>166</v>
      </c>
      <c r="Z11" s="6">
        <v>846</v>
      </c>
      <c r="AA11" s="6">
        <v>1012</v>
      </c>
      <c r="AB11" s="6">
        <v>15989.08</v>
      </c>
      <c r="AC11" s="6">
        <v>57335.17</v>
      </c>
      <c r="AD11" s="6">
        <v>59842.41</v>
      </c>
      <c r="AE11" s="6">
        <v>73324.25</v>
      </c>
      <c r="AF11" s="6">
        <v>0</v>
      </c>
      <c r="AG11" s="6">
        <v>73324.25</v>
      </c>
      <c r="AH11" s="10">
        <v>42881</v>
      </c>
      <c r="AI11" t="s">
        <v>1127</v>
      </c>
      <c r="AJ11">
        <f t="shared" si="0"/>
        <v>0.60787500000000005</v>
      </c>
      <c r="AM11" t="s">
        <v>3418</v>
      </c>
    </row>
    <row r="12" spans="1:42" hidden="1" x14ac:dyDescent="0.25">
      <c r="B12" t="s">
        <v>3405</v>
      </c>
      <c r="C12" t="s">
        <v>841</v>
      </c>
      <c r="D12" t="s">
        <v>842</v>
      </c>
      <c r="E12" t="s">
        <v>16</v>
      </c>
      <c r="F12" t="s">
        <v>17</v>
      </c>
      <c r="G12" t="s">
        <v>18</v>
      </c>
      <c r="H12" t="s">
        <v>34</v>
      </c>
      <c r="I12">
        <v>36.052613700000002</v>
      </c>
      <c r="J12">
        <v>-95.791825959999898</v>
      </c>
      <c r="K12" t="s">
        <v>843</v>
      </c>
      <c r="L12" t="s">
        <v>844</v>
      </c>
      <c r="M12" t="s">
        <v>838</v>
      </c>
      <c r="N12" t="s">
        <v>845</v>
      </c>
      <c r="O12">
        <v>34</v>
      </c>
      <c r="P12" t="s">
        <v>20</v>
      </c>
      <c r="Q12" t="s">
        <v>840</v>
      </c>
      <c r="R12" t="s">
        <v>22</v>
      </c>
      <c r="S12" s="9">
        <v>42692.94</v>
      </c>
      <c r="T12" s="9">
        <v>104993.98</v>
      </c>
      <c r="U12" s="9">
        <v>18556.599999999999</v>
      </c>
      <c r="V12" s="9">
        <v>34474.51</v>
      </c>
      <c r="W12">
        <v>17085</v>
      </c>
      <c r="X12" s="6">
        <v>150</v>
      </c>
      <c r="Y12" s="6">
        <v>526</v>
      </c>
      <c r="Z12" s="6">
        <v>1508</v>
      </c>
      <c r="AA12" s="6">
        <v>2034</v>
      </c>
      <c r="AB12" s="6">
        <v>14122.6</v>
      </c>
      <c r="AC12" s="6">
        <v>13377.91</v>
      </c>
      <c r="AD12" s="6">
        <v>45891.26</v>
      </c>
      <c r="AE12" s="6">
        <v>27500.51</v>
      </c>
      <c r="AF12" s="6">
        <v>1011.97</v>
      </c>
      <c r="AG12" s="6">
        <v>28512.48</v>
      </c>
      <c r="AH12" s="10"/>
      <c r="AI12" t="s">
        <v>1041</v>
      </c>
      <c r="AJ12">
        <f t="shared" si="0"/>
        <v>3.2034375000000002</v>
      </c>
    </row>
    <row r="13" spans="1:42" hidden="1" x14ac:dyDescent="0.25">
      <c r="B13" t="s">
        <v>3405</v>
      </c>
      <c r="C13" t="s">
        <v>846</v>
      </c>
      <c r="D13" t="s">
        <v>847</v>
      </c>
      <c r="E13" t="s">
        <v>16</v>
      </c>
      <c r="F13" t="s">
        <v>17</v>
      </c>
      <c r="G13" t="s">
        <v>18</v>
      </c>
      <c r="H13" t="s">
        <v>34</v>
      </c>
      <c r="I13">
        <v>35.99867768</v>
      </c>
      <c r="J13">
        <v>-95.796852079999894</v>
      </c>
      <c r="K13" t="s">
        <v>848</v>
      </c>
      <c r="L13" t="s">
        <v>844</v>
      </c>
      <c r="M13" t="s">
        <v>838</v>
      </c>
      <c r="N13" t="s">
        <v>849</v>
      </c>
      <c r="O13">
        <v>41</v>
      </c>
      <c r="P13" t="s">
        <v>20</v>
      </c>
      <c r="Q13" t="s">
        <v>840</v>
      </c>
      <c r="R13" t="s">
        <v>22</v>
      </c>
      <c r="S13" s="9">
        <v>91043.67</v>
      </c>
      <c r="T13" s="9">
        <v>89430.399999999994</v>
      </c>
      <c r="U13" s="9">
        <v>26395.93</v>
      </c>
      <c r="V13" s="9">
        <v>28858.43</v>
      </c>
      <c r="W13">
        <v>14330</v>
      </c>
      <c r="X13" s="6">
        <v>109</v>
      </c>
      <c r="Y13" s="6">
        <v>532</v>
      </c>
      <c r="Z13" s="6">
        <v>362</v>
      </c>
      <c r="AA13" s="6">
        <v>894</v>
      </c>
      <c r="AB13" s="6">
        <v>12002.37</v>
      </c>
      <c r="AC13" s="6">
        <v>3547.06</v>
      </c>
      <c r="AD13" s="6">
        <v>39317.230000000003</v>
      </c>
      <c r="AE13" s="6">
        <v>15549.43</v>
      </c>
      <c r="AF13" s="6">
        <v>0</v>
      </c>
      <c r="AG13" s="6">
        <v>15549.43</v>
      </c>
      <c r="AH13" s="10"/>
      <c r="AI13" t="s">
        <v>1169</v>
      </c>
      <c r="AJ13">
        <f t="shared" si="0"/>
        <v>2.6868750000000001</v>
      </c>
    </row>
    <row r="14" spans="1:42" hidden="1" x14ac:dyDescent="0.25">
      <c r="B14" t="s">
        <v>3406</v>
      </c>
      <c r="C14" t="s">
        <v>850</v>
      </c>
      <c r="D14" t="s">
        <v>851</v>
      </c>
      <c r="E14" t="s">
        <v>16</v>
      </c>
      <c r="F14" t="s">
        <v>17</v>
      </c>
      <c r="G14" t="s">
        <v>18</v>
      </c>
      <c r="H14" t="s">
        <v>34</v>
      </c>
      <c r="I14">
        <v>36.089602409999898</v>
      </c>
      <c r="J14">
        <v>-95.790558200000007</v>
      </c>
      <c r="K14" t="s">
        <v>852</v>
      </c>
      <c r="L14" t="s">
        <v>844</v>
      </c>
      <c r="M14" t="s">
        <v>838</v>
      </c>
      <c r="N14" t="s">
        <v>853</v>
      </c>
      <c r="O14">
        <v>178</v>
      </c>
      <c r="P14" t="s">
        <v>20</v>
      </c>
      <c r="Q14" t="s">
        <v>840</v>
      </c>
      <c r="R14" t="s">
        <v>22</v>
      </c>
      <c r="S14" s="9">
        <v>38650.160000000003</v>
      </c>
      <c r="T14" s="9">
        <v>47222.1</v>
      </c>
      <c r="U14" s="9">
        <v>2055.36</v>
      </c>
      <c r="V14" s="9">
        <v>21691.279999999999</v>
      </c>
      <c r="W14">
        <v>4300</v>
      </c>
      <c r="X14" s="6">
        <v>106</v>
      </c>
      <c r="Y14" s="6">
        <v>396</v>
      </c>
      <c r="Z14" s="6">
        <v>404</v>
      </c>
      <c r="AA14" s="6">
        <v>800</v>
      </c>
      <c r="AB14" s="6">
        <v>13778.5</v>
      </c>
      <c r="AC14" s="6">
        <v>35254.89</v>
      </c>
      <c r="AD14" s="6">
        <v>35210.86</v>
      </c>
      <c r="AE14" s="6">
        <v>49033.39</v>
      </c>
      <c r="AF14" s="6">
        <v>0</v>
      </c>
      <c r="AG14" s="6">
        <v>49033.39</v>
      </c>
      <c r="AH14" s="10"/>
      <c r="AI14" t="s">
        <v>1042</v>
      </c>
      <c r="AJ14">
        <f t="shared" si="0"/>
        <v>0.80625000000000002</v>
      </c>
    </row>
    <row r="15" spans="1:42" hidden="1" x14ac:dyDescent="0.25">
      <c r="B15" t="s">
        <v>3405</v>
      </c>
      <c r="C15" t="s">
        <v>1510</v>
      </c>
      <c r="E15" t="s">
        <v>16</v>
      </c>
      <c r="F15" t="s">
        <v>17</v>
      </c>
      <c r="G15" t="s">
        <v>18</v>
      </c>
      <c r="H15" t="s">
        <v>206</v>
      </c>
      <c r="I15">
        <v>33.177220409999897</v>
      </c>
      <c r="J15">
        <v>-102.274424499999</v>
      </c>
      <c r="K15" t="s">
        <v>913</v>
      </c>
      <c r="L15" t="s">
        <v>914</v>
      </c>
      <c r="M15" t="s">
        <v>905</v>
      </c>
      <c r="N15" t="s">
        <v>915</v>
      </c>
      <c r="O15">
        <v>2835</v>
      </c>
      <c r="P15" t="s">
        <v>20</v>
      </c>
      <c r="R15" t="s">
        <v>22</v>
      </c>
      <c r="S15" s="9">
        <v>0</v>
      </c>
      <c r="T15" s="9">
        <v>0</v>
      </c>
      <c r="U15" s="9">
        <v>0</v>
      </c>
      <c r="V15" s="9">
        <v>0</v>
      </c>
      <c r="W15">
        <v>12000</v>
      </c>
      <c r="X15" s="6">
        <v>93</v>
      </c>
      <c r="Y15" s="6">
        <v>291</v>
      </c>
      <c r="Z15" s="6">
        <v>714</v>
      </c>
      <c r="AA15" s="6">
        <v>1005</v>
      </c>
      <c r="AB15" s="6">
        <v>11734.8</v>
      </c>
      <c r="AC15" s="6">
        <v>39179.17</v>
      </c>
      <c r="AD15" s="6">
        <v>114449.47</v>
      </c>
      <c r="AE15" s="6">
        <v>50913.97</v>
      </c>
      <c r="AF15" s="6">
        <v>0</v>
      </c>
      <c r="AG15" s="6">
        <v>50913.97</v>
      </c>
      <c r="AH15" s="10">
        <v>42339</v>
      </c>
      <c r="AI15" t="s">
        <v>1172</v>
      </c>
      <c r="AJ15">
        <f t="shared" si="0"/>
        <v>2.25</v>
      </c>
    </row>
    <row r="16" spans="1:42" hidden="1" x14ac:dyDescent="0.25">
      <c r="B16" t="s">
        <v>3406</v>
      </c>
      <c r="C16" t="s">
        <v>557</v>
      </c>
      <c r="D16" t="s">
        <v>558</v>
      </c>
      <c r="E16" t="s">
        <v>16</v>
      </c>
      <c r="F16" t="s">
        <v>17</v>
      </c>
      <c r="G16" t="s">
        <v>18</v>
      </c>
      <c r="I16">
        <v>37.342599</v>
      </c>
      <c r="J16">
        <v>-85.343915999999894</v>
      </c>
      <c r="K16" t="s">
        <v>559</v>
      </c>
      <c r="L16" t="s">
        <v>556</v>
      </c>
      <c r="M16" t="s">
        <v>517</v>
      </c>
      <c r="N16" t="s">
        <v>560</v>
      </c>
      <c r="P16" t="s">
        <v>38</v>
      </c>
      <c r="Q16" t="s">
        <v>519</v>
      </c>
      <c r="R16" t="s">
        <v>22</v>
      </c>
      <c r="S16" s="9">
        <v>22230.25</v>
      </c>
      <c r="T16" s="9">
        <v>58783.53</v>
      </c>
      <c r="U16" s="9">
        <v>8095.15</v>
      </c>
      <c r="V16" s="9">
        <v>21965.42</v>
      </c>
      <c r="W16">
        <v>8877</v>
      </c>
      <c r="X16" s="6">
        <v>85</v>
      </c>
      <c r="Y16" s="6">
        <v>471</v>
      </c>
      <c r="Z16" s="6">
        <v>2243</v>
      </c>
      <c r="AA16" s="6">
        <v>2714</v>
      </c>
      <c r="AB16" s="6">
        <v>12345.65</v>
      </c>
      <c r="AC16" s="6">
        <v>70247.22</v>
      </c>
      <c r="AD16" s="6">
        <v>23338.55</v>
      </c>
      <c r="AE16" s="6">
        <v>82592.87</v>
      </c>
      <c r="AF16" s="6">
        <v>0</v>
      </c>
      <c r="AG16" s="6">
        <v>82592.87</v>
      </c>
      <c r="AH16" s="10">
        <v>42881</v>
      </c>
      <c r="AI16" t="s">
        <v>1129</v>
      </c>
      <c r="AJ16">
        <f t="shared" si="0"/>
        <v>1.6644375</v>
      </c>
    </row>
    <row r="17" spans="1:42" hidden="1" x14ac:dyDescent="0.25">
      <c r="B17" t="s">
        <v>3406</v>
      </c>
      <c r="C17" t="s">
        <v>151</v>
      </c>
      <c r="D17" t="s">
        <v>152</v>
      </c>
      <c r="E17" t="s">
        <v>16</v>
      </c>
      <c r="F17" t="s">
        <v>17</v>
      </c>
      <c r="G17" t="s">
        <v>18</v>
      </c>
      <c r="I17">
        <v>34.23610953</v>
      </c>
      <c r="J17">
        <v>-84.490654989999896</v>
      </c>
      <c r="K17" t="s">
        <v>153</v>
      </c>
      <c r="L17" t="s">
        <v>150</v>
      </c>
      <c r="M17" t="s">
        <v>120</v>
      </c>
      <c r="N17" t="s">
        <v>154</v>
      </c>
      <c r="O17">
        <v>106</v>
      </c>
      <c r="P17" t="s">
        <v>20</v>
      </c>
      <c r="Q17" t="s">
        <v>121</v>
      </c>
      <c r="R17" t="s">
        <v>37</v>
      </c>
      <c r="S17" s="9">
        <v>30559.41</v>
      </c>
      <c r="T17" s="9">
        <v>126734.91</v>
      </c>
      <c r="U17" s="9">
        <v>11829.91</v>
      </c>
      <c r="V17" s="9">
        <v>41202.68</v>
      </c>
      <c r="W17">
        <v>7075</v>
      </c>
      <c r="X17" s="6">
        <v>81</v>
      </c>
      <c r="Y17" s="6">
        <v>602</v>
      </c>
      <c r="Z17" s="6">
        <v>368</v>
      </c>
      <c r="AA17" s="6">
        <v>970</v>
      </c>
      <c r="AB17" s="6">
        <v>30521.33</v>
      </c>
      <c r="AC17" s="6">
        <v>44090.74</v>
      </c>
      <c r="AD17" s="6">
        <v>38562.74</v>
      </c>
      <c r="AE17" s="6">
        <v>74612.070000000007</v>
      </c>
      <c r="AF17" s="6">
        <v>0</v>
      </c>
      <c r="AG17" s="6">
        <v>74612.070000000007</v>
      </c>
      <c r="AH17" s="10">
        <v>43137</v>
      </c>
      <c r="AI17" t="s">
        <v>1078</v>
      </c>
      <c r="AJ17">
        <f t="shared" si="0"/>
        <v>1.3265625000000001</v>
      </c>
    </row>
    <row r="18" spans="1:42" hidden="1" x14ac:dyDescent="0.25">
      <c r="B18" t="s">
        <v>3405</v>
      </c>
      <c r="C18" t="s">
        <v>698</v>
      </c>
      <c r="D18" t="s">
        <v>699</v>
      </c>
      <c r="E18" t="s">
        <v>16</v>
      </c>
      <c r="F18" t="s">
        <v>17</v>
      </c>
      <c r="G18" t="s">
        <v>18</v>
      </c>
      <c r="I18">
        <v>41.581284539999899</v>
      </c>
      <c r="J18">
        <v>-81.202132849999899</v>
      </c>
      <c r="K18" t="s">
        <v>700</v>
      </c>
      <c r="L18" t="s">
        <v>701</v>
      </c>
      <c r="M18" t="s">
        <v>675</v>
      </c>
      <c r="N18" t="s">
        <v>702</v>
      </c>
      <c r="O18">
        <v>2659</v>
      </c>
      <c r="P18" t="s">
        <v>20</v>
      </c>
      <c r="Q18" t="s">
        <v>676</v>
      </c>
      <c r="R18" t="s">
        <v>37</v>
      </c>
      <c r="S18" s="9">
        <v>82937.03</v>
      </c>
      <c r="T18" s="9">
        <v>102360.37</v>
      </c>
      <c r="U18" s="9">
        <v>30699.82</v>
      </c>
      <c r="V18" s="9">
        <v>32185.13</v>
      </c>
      <c r="W18">
        <v>12446</v>
      </c>
      <c r="X18" s="6">
        <v>100</v>
      </c>
      <c r="Y18" s="6">
        <v>647</v>
      </c>
      <c r="Z18" s="6">
        <v>575</v>
      </c>
      <c r="AA18" s="6">
        <v>1222</v>
      </c>
      <c r="AB18" s="6">
        <v>4888.3999999999996</v>
      </c>
      <c r="AC18" s="6">
        <v>90111.32</v>
      </c>
      <c r="AD18" s="6">
        <v>14874.4</v>
      </c>
      <c r="AE18" s="6">
        <v>94999.72</v>
      </c>
      <c r="AF18" s="6">
        <v>0</v>
      </c>
      <c r="AG18" s="6">
        <v>94999.72</v>
      </c>
      <c r="AH18" s="10"/>
      <c r="AI18" t="s">
        <v>1030</v>
      </c>
      <c r="AJ18">
        <f t="shared" si="0"/>
        <v>2.3336250000000001</v>
      </c>
    </row>
    <row r="19" spans="1:42" hidden="1" x14ac:dyDescent="0.25">
      <c r="B19" t="s">
        <v>3405</v>
      </c>
      <c r="C19" t="s">
        <v>859</v>
      </c>
      <c r="E19" t="s">
        <v>16</v>
      </c>
      <c r="F19" t="s">
        <v>17</v>
      </c>
      <c r="G19" t="s">
        <v>18</v>
      </c>
      <c r="I19">
        <v>35.47096122</v>
      </c>
      <c r="J19">
        <v>-95.523630620000006</v>
      </c>
      <c r="K19" t="s">
        <v>861</v>
      </c>
      <c r="L19" t="s">
        <v>860</v>
      </c>
      <c r="M19" t="s">
        <v>838</v>
      </c>
      <c r="N19" t="s">
        <v>862</v>
      </c>
      <c r="O19">
        <v>302</v>
      </c>
      <c r="P19" t="s">
        <v>20</v>
      </c>
      <c r="Q19" t="s">
        <v>840</v>
      </c>
      <c r="R19" t="s">
        <v>22</v>
      </c>
      <c r="S19" s="9">
        <v>0</v>
      </c>
      <c r="T19" s="9">
        <v>0</v>
      </c>
      <c r="U19" s="9">
        <v>0</v>
      </c>
      <c r="V19" s="9">
        <v>0</v>
      </c>
      <c r="W19">
        <v>20000</v>
      </c>
      <c r="X19" s="6">
        <v>21</v>
      </c>
      <c r="Y19" s="6">
        <v>290</v>
      </c>
      <c r="Z19" s="6">
        <v>499</v>
      </c>
      <c r="AA19" s="6">
        <v>789</v>
      </c>
      <c r="AB19" s="6">
        <v>3684</v>
      </c>
      <c r="AC19" s="6">
        <v>3256.33</v>
      </c>
      <c r="AD19" s="6">
        <v>1292</v>
      </c>
      <c r="AE19" s="6">
        <v>6940.33</v>
      </c>
      <c r="AF19" s="6">
        <v>0</v>
      </c>
      <c r="AG19" s="6">
        <v>6940.33</v>
      </c>
      <c r="AH19" s="10">
        <v>42339</v>
      </c>
      <c r="AI19" t="s">
        <v>1168</v>
      </c>
      <c r="AJ19">
        <f t="shared" si="0"/>
        <v>3.75</v>
      </c>
    </row>
    <row r="20" spans="1:42" hidden="1" x14ac:dyDescent="0.25">
      <c r="B20" t="s">
        <v>3405</v>
      </c>
      <c r="C20" t="s">
        <v>660</v>
      </c>
      <c r="D20" t="s">
        <v>661</v>
      </c>
      <c r="E20" t="s">
        <v>16</v>
      </c>
      <c r="F20" t="s">
        <v>17</v>
      </c>
      <c r="G20" t="s">
        <v>18</v>
      </c>
      <c r="I20">
        <v>35.556922030000003</v>
      </c>
      <c r="J20">
        <v>-80.595882290000006</v>
      </c>
      <c r="K20" t="s">
        <v>662</v>
      </c>
      <c r="L20" t="s">
        <v>663</v>
      </c>
      <c r="M20" t="s">
        <v>651</v>
      </c>
      <c r="N20" t="s">
        <v>664</v>
      </c>
      <c r="O20">
        <v>2511</v>
      </c>
      <c r="P20" t="s">
        <v>20</v>
      </c>
      <c r="Q20" t="s">
        <v>659</v>
      </c>
      <c r="R20" t="s">
        <v>22</v>
      </c>
      <c r="S20" s="9">
        <v>16498.61</v>
      </c>
      <c r="T20" s="9">
        <v>24010.91</v>
      </c>
      <c r="U20" s="9">
        <v>17096.62</v>
      </c>
      <c r="V20" s="9">
        <v>7610.97</v>
      </c>
      <c r="W20">
        <v>12000</v>
      </c>
      <c r="X20" s="6">
        <v>38</v>
      </c>
      <c r="Y20" s="6">
        <v>184</v>
      </c>
      <c r="Z20" s="6">
        <v>1898</v>
      </c>
      <c r="AA20" s="6">
        <v>2082</v>
      </c>
      <c r="AB20" s="6">
        <v>6142</v>
      </c>
      <c r="AC20" s="6">
        <v>3830.7</v>
      </c>
      <c r="AD20" s="6">
        <v>85095.52</v>
      </c>
      <c r="AE20" s="6">
        <v>9972.7000000000007</v>
      </c>
      <c r="AF20" s="6">
        <v>0</v>
      </c>
      <c r="AG20" s="6">
        <v>9972.7000000000007</v>
      </c>
      <c r="AH20" s="10">
        <v>41883</v>
      </c>
      <c r="AI20" t="s">
        <v>1147</v>
      </c>
      <c r="AJ20">
        <f t="shared" si="0"/>
        <v>2.25</v>
      </c>
    </row>
    <row r="21" spans="1:42" hidden="1" x14ac:dyDescent="0.25">
      <c r="B21" t="s">
        <v>3406</v>
      </c>
      <c r="C21" t="s">
        <v>170</v>
      </c>
      <c r="D21" t="s">
        <v>171</v>
      </c>
      <c r="E21" t="s">
        <v>16</v>
      </c>
      <c r="F21" t="s">
        <v>17</v>
      </c>
      <c r="G21" t="s">
        <v>18</v>
      </c>
      <c r="I21">
        <v>34.597026620000001</v>
      </c>
      <c r="J21">
        <v>-83.766127159999897</v>
      </c>
      <c r="K21" t="s">
        <v>172</v>
      </c>
      <c r="L21" t="s">
        <v>173</v>
      </c>
      <c r="M21" t="s">
        <v>120</v>
      </c>
      <c r="N21" t="s">
        <v>174</v>
      </c>
      <c r="O21">
        <v>200</v>
      </c>
      <c r="P21" t="s">
        <v>20</v>
      </c>
      <c r="Q21" t="s">
        <v>127</v>
      </c>
      <c r="R21" t="s">
        <v>37</v>
      </c>
      <c r="S21" s="9">
        <v>11195.13</v>
      </c>
      <c r="T21" s="9">
        <v>113494.35</v>
      </c>
      <c r="U21" s="9">
        <v>5552.62</v>
      </c>
      <c r="V21" s="9">
        <v>37854.629999999997</v>
      </c>
      <c r="W21">
        <v>3688</v>
      </c>
      <c r="X21" s="6">
        <v>124</v>
      </c>
      <c r="Y21" s="6">
        <v>1025</v>
      </c>
      <c r="Z21" s="6">
        <v>257</v>
      </c>
      <c r="AA21" s="6">
        <v>1282</v>
      </c>
      <c r="AB21" s="6">
        <v>10847.39</v>
      </c>
      <c r="AC21" s="6">
        <v>71876.55</v>
      </c>
      <c r="AD21" s="6">
        <v>64725.86</v>
      </c>
      <c r="AE21" s="6">
        <v>82723.94</v>
      </c>
      <c r="AF21" s="6">
        <v>0</v>
      </c>
      <c r="AG21" s="6">
        <v>82723.94</v>
      </c>
      <c r="AH21" s="10">
        <v>42881</v>
      </c>
      <c r="AI21" t="s">
        <v>1080</v>
      </c>
      <c r="AJ21">
        <f t="shared" si="0"/>
        <v>0.6915</v>
      </c>
    </row>
    <row r="22" spans="1:42" hidden="1" x14ac:dyDescent="0.25">
      <c r="A22" s="5" t="s">
        <v>3408</v>
      </c>
      <c r="B22" t="s">
        <v>3406</v>
      </c>
      <c r="C22" s="5" t="s">
        <v>175</v>
      </c>
      <c r="D22" s="5" t="s">
        <v>176</v>
      </c>
      <c r="E22" s="5" t="s">
        <v>16</v>
      </c>
      <c r="F22" s="5" t="s">
        <v>17</v>
      </c>
      <c r="G22" s="5" t="s">
        <v>18</v>
      </c>
      <c r="H22" s="5"/>
      <c r="I22" s="5">
        <v>34.203976419999897</v>
      </c>
      <c r="J22" s="5">
        <v>-83.459471219999898</v>
      </c>
      <c r="K22" s="5" t="s">
        <v>177</v>
      </c>
      <c r="L22" s="5" t="s">
        <v>178</v>
      </c>
      <c r="M22" s="5" t="s">
        <v>120</v>
      </c>
      <c r="N22" s="5" t="s">
        <v>179</v>
      </c>
      <c r="O22" s="5">
        <v>76</v>
      </c>
      <c r="P22" s="5" t="s">
        <v>20</v>
      </c>
      <c r="Q22" s="5" t="s">
        <v>144</v>
      </c>
      <c r="R22" s="5" t="s">
        <v>37</v>
      </c>
      <c r="S22" s="4">
        <v>52795.68</v>
      </c>
      <c r="T22" s="4">
        <v>300789.84999999998</v>
      </c>
      <c r="U22" s="4">
        <v>21756.39</v>
      </c>
      <c r="V22" s="4">
        <v>113603.09</v>
      </c>
      <c r="W22" s="5">
        <v>9417</v>
      </c>
      <c r="X22" s="3">
        <v>128</v>
      </c>
      <c r="Y22" s="3">
        <v>815</v>
      </c>
      <c r="Z22" s="3">
        <v>465</v>
      </c>
      <c r="AA22" s="3">
        <v>1280</v>
      </c>
      <c r="AB22" s="3">
        <v>192014.29</v>
      </c>
      <c r="AC22" s="3">
        <v>208054.34</v>
      </c>
      <c r="AD22" s="3">
        <v>263492.71000000002</v>
      </c>
      <c r="AE22" s="3">
        <v>400068.63</v>
      </c>
      <c r="AF22" s="3">
        <v>0</v>
      </c>
      <c r="AG22" s="3">
        <v>400068.63</v>
      </c>
      <c r="AH22" s="2">
        <v>42881</v>
      </c>
      <c r="AI22" s="5" t="s">
        <v>1081</v>
      </c>
      <c r="AJ22">
        <f t="shared" si="0"/>
        <v>1.7656875000000001</v>
      </c>
    </row>
    <row r="23" spans="1:42" hidden="1" x14ac:dyDescent="0.25">
      <c r="A23" s="5" t="s">
        <v>3408</v>
      </c>
      <c r="B23" t="s">
        <v>3405</v>
      </c>
      <c r="C23" s="5" t="s">
        <v>712</v>
      </c>
      <c r="D23" s="5" t="s">
        <v>713</v>
      </c>
      <c r="E23" s="5" t="s">
        <v>16</v>
      </c>
      <c r="F23" s="5" t="s">
        <v>17</v>
      </c>
      <c r="G23" s="5" t="s">
        <v>18</v>
      </c>
      <c r="H23" s="5"/>
      <c r="I23" s="5">
        <v>41.36574092</v>
      </c>
      <c r="J23" s="5">
        <v>-82.109992779999899</v>
      </c>
      <c r="K23" s="5" t="s">
        <v>714</v>
      </c>
      <c r="L23" s="5" t="s">
        <v>715</v>
      </c>
      <c r="M23" s="5" t="s">
        <v>675</v>
      </c>
      <c r="N23" s="5" t="s">
        <v>716</v>
      </c>
      <c r="O23" s="5">
        <v>2674</v>
      </c>
      <c r="P23" s="5" t="s">
        <v>20</v>
      </c>
      <c r="Q23" s="5" t="s">
        <v>697</v>
      </c>
      <c r="R23" s="5" t="s">
        <v>37</v>
      </c>
      <c r="S23" s="4">
        <v>94411.73</v>
      </c>
      <c r="T23" s="4">
        <v>341674.15</v>
      </c>
      <c r="U23" s="4">
        <v>37852.57</v>
      </c>
      <c r="V23" s="4">
        <v>100578.63</v>
      </c>
      <c r="W23" s="5">
        <v>73218</v>
      </c>
      <c r="X23" s="3">
        <v>159</v>
      </c>
      <c r="Y23" s="3">
        <v>1304</v>
      </c>
      <c r="Z23" s="3">
        <v>1087</v>
      </c>
      <c r="AA23" s="3">
        <v>2391</v>
      </c>
      <c r="AB23" s="3">
        <v>2448.5300000000002</v>
      </c>
      <c r="AC23" s="3">
        <v>61314.71</v>
      </c>
      <c r="AD23" s="3">
        <v>48268.88</v>
      </c>
      <c r="AE23" s="3">
        <v>63763.24</v>
      </c>
      <c r="AF23" s="3">
        <v>0</v>
      </c>
      <c r="AG23" s="3">
        <v>63763.24</v>
      </c>
      <c r="AH23" s="2">
        <v>42881</v>
      </c>
      <c r="AI23" s="5" t="s">
        <v>1153</v>
      </c>
      <c r="AJ23">
        <f t="shared" si="0"/>
        <v>13.728375</v>
      </c>
      <c r="AK23" t="s">
        <v>3408</v>
      </c>
      <c r="AL23" t="s">
        <v>3414</v>
      </c>
      <c r="AM23" t="s">
        <v>3421</v>
      </c>
      <c r="AP23" t="e">
        <f>INDEX('Mireye Site Screen'!BU:BU, MATCH('Top 50'!$I23, 'Mireye Site Screen'!$C:$C, 0))</f>
        <v>#N/A</v>
      </c>
    </row>
    <row r="24" spans="1:42" hidden="1" x14ac:dyDescent="0.25">
      <c r="A24" s="5" t="s">
        <v>3408</v>
      </c>
      <c r="B24" t="s">
        <v>3405</v>
      </c>
      <c r="C24" s="5" t="s">
        <v>207</v>
      </c>
      <c r="D24" s="5" t="s">
        <v>208</v>
      </c>
      <c r="E24" s="5" t="s">
        <v>16</v>
      </c>
      <c r="F24" s="5" t="s">
        <v>17</v>
      </c>
      <c r="G24" s="5" t="s">
        <v>18</v>
      </c>
      <c r="H24" s="5"/>
      <c r="I24" s="5">
        <v>31.715143520000002</v>
      </c>
      <c r="J24" s="5">
        <v>-83.253794409999898</v>
      </c>
      <c r="K24" s="5" t="s">
        <v>209</v>
      </c>
      <c r="L24" s="5" t="s">
        <v>210</v>
      </c>
      <c r="M24" s="5" t="s">
        <v>120</v>
      </c>
      <c r="N24" s="5" t="s">
        <v>211</v>
      </c>
      <c r="O24" s="5">
        <v>35</v>
      </c>
      <c r="P24" s="5" t="s">
        <v>20</v>
      </c>
      <c r="Q24" s="5" t="s">
        <v>121</v>
      </c>
      <c r="R24" s="5" t="s">
        <v>22</v>
      </c>
      <c r="S24" s="4">
        <v>46961.1</v>
      </c>
      <c r="T24" s="4">
        <v>316512.78999999998</v>
      </c>
      <c r="U24" s="4">
        <v>15698.45</v>
      </c>
      <c r="V24" s="4">
        <v>74237.679999999993</v>
      </c>
      <c r="W24" s="5">
        <v>16821</v>
      </c>
      <c r="X24" s="3">
        <v>92</v>
      </c>
      <c r="Y24" s="3">
        <v>442</v>
      </c>
      <c r="Z24" s="3">
        <v>1527</v>
      </c>
      <c r="AA24" s="3">
        <v>1969</v>
      </c>
      <c r="AB24" s="3">
        <v>242075.11</v>
      </c>
      <c r="AC24" s="3">
        <v>312077.57</v>
      </c>
      <c r="AD24" s="3">
        <v>173549.1</v>
      </c>
      <c r="AE24" s="3">
        <v>554152.68000000005</v>
      </c>
      <c r="AF24" s="3">
        <v>0</v>
      </c>
      <c r="AG24" s="3">
        <v>554152.68000000005</v>
      </c>
      <c r="AH24" s="2">
        <v>42767</v>
      </c>
      <c r="AI24" s="5" t="s">
        <v>1007</v>
      </c>
      <c r="AJ24">
        <f t="shared" si="0"/>
        <v>3.1539375000000001</v>
      </c>
    </row>
    <row r="25" spans="1:42" hidden="1" x14ac:dyDescent="0.25">
      <c r="B25" t="s">
        <v>3405</v>
      </c>
      <c r="C25" t="s">
        <v>725</v>
      </c>
      <c r="D25" t="s">
        <v>726</v>
      </c>
      <c r="E25" t="s">
        <v>16</v>
      </c>
      <c r="F25" t="s">
        <v>17</v>
      </c>
      <c r="G25" t="s">
        <v>18</v>
      </c>
      <c r="I25">
        <v>41.805316920000003</v>
      </c>
      <c r="J25">
        <v>-80.945671630000007</v>
      </c>
      <c r="K25" t="s">
        <v>727</v>
      </c>
      <c r="L25" t="s">
        <v>728</v>
      </c>
      <c r="M25" t="s">
        <v>675</v>
      </c>
      <c r="N25" t="s">
        <v>729</v>
      </c>
      <c r="O25">
        <v>51</v>
      </c>
      <c r="P25" t="s">
        <v>20</v>
      </c>
      <c r="Q25" t="s">
        <v>676</v>
      </c>
      <c r="R25" t="s">
        <v>37</v>
      </c>
      <c r="S25" s="9">
        <v>43683.77</v>
      </c>
      <c r="T25" s="9">
        <v>37088.83</v>
      </c>
      <c r="U25" s="9">
        <v>14547.93</v>
      </c>
      <c r="V25" s="9">
        <v>13944.09</v>
      </c>
      <c r="W25">
        <v>12477</v>
      </c>
      <c r="X25" s="6">
        <v>25</v>
      </c>
      <c r="Y25" s="6">
        <v>326</v>
      </c>
      <c r="Z25" s="6">
        <v>797</v>
      </c>
      <c r="AA25" s="6">
        <v>1123</v>
      </c>
      <c r="AB25" s="6">
        <v>3910</v>
      </c>
      <c r="AC25" s="6">
        <v>4547.8599999999997</v>
      </c>
      <c r="AD25" s="6">
        <v>9739.4</v>
      </c>
      <c r="AE25" s="6">
        <v>8457.86</v>
      </c>
      <c r="AF25" s="6">
        <v>0</v>
      </c>
      <c r="AG25" s="6">
        <v>8457.86</v>
      </c>
      <c r="AH25" s="10"/>
      <c r="AI25" t="s">
        <v>1156</v>
      </c>
      <c r="AJ25">
        <f t="shared" si="0"/>
        <v>2.3394374999999998</v>
      </c>
    </row>
    <row r="26" spans="1:42" hidden="1" x14ac:dyDescent="0.25">
      <c r="B26" t="s">
        <v>3405</v>
      </c>
      <c r="C26" t="s">
        <v>57</v>
      </c>
      <c r="D26" t="s">
        <v>58</v>
      </c>
      <c r="E26" t="s">
        <v>16</v>
      </c>
      <c r="F26" t="s">
        <v>17</v>
      </c>
      <c r="G26" t="s">
        <v>18</v>
      </c>
      <c r="I26">
        <v>35.232662769999898</v>
      </c>
      <c r="J26">
        <v>-92.388350840000001</v>
      </c>
      <c r="K26" t="s">
        <v>59</v>
      </c>
      <c r="L26" t="s">
        <v>56</v>
      </c>
      <c r="M26" t="s">
        <v>35</v>
      </c>
      <c r="N26" t="s">
        <v>60</v>
      </c>
      <c r="O26">
        <v>2298</v>
      </c>
      <c r="P26" t="s">
        <v>20</v>
      </c>
      <c r="Q26" t="s">
        <v>36</v>
      </c>
      <c r="R26" t="s">
        <v>37</v>
      </c>
      <c r="S26" s="9">
        <v>57457.22</v>
      </c>
      <c r="T26" s="9">
        <v>86295.67</v>
      </c>
      <c r="U26" s="9">
        <v>23436.5</v>
      </c>
      <c r="V26" s="9">
        <v>19649.560000000001</v>
      </c>
      <c r="W26">
        <v>20000</v>
      </c>
      <c r="X26" s="6">
        <v>64</v>
      </c>
      <c r="Y26" s="6">
        <v>331</v>
      </c>
      <c r="Z26" s="6">
        <v>324</v>
      </c>
      <c r="AA26" s="6">
        <v>655</v>
      </c>
      <c r="AB26" s="6">
        <v>8811.7999999999993</v>
      </c>
      <c r="AC26" s="6">
        <v>20476.55</v>
      </c>
      <c r="AD26" s="6">
        <v>63414.33</v>
      </c>
      <c r="AE26" s="6">
        <v>29288.35</v>
      </c>
      <c r="AF26" s="6">
        <v>0</v>
      </c>
      <c r="AG26" s="6">
        <v>29288.35</v>
      </c>
      <c r="AH26" s="10">
        <v>42881</v>
      </c>
      <c r="AI26" t="s">
        <v>1062</v>
      </c>
      <c r="AJ26">
        <f t="shared" si="0"/>
        <v>3.75</v>
      </c>
    </row>
    <row r="27" spans="1:42" hidden="1" x14ac:dyDescent="0.25">
      <c r="A27" s="5" t="s">
        <v>3408</v>
      </c>
      <c r="B27" t="s">
        <v>3405</v>
      </c>
      <c r="C27" s="5" t="s">
        <v>406</v>
      </c>
      <c r="D27" s="5" t="s">
        <v>407</v>
      </c>
      <c r="E27" s="5" t="s">
        <v>16</v>
      </c>
      <c r="F27" s="5" t="s">
        <v>17</v>
      </c>
      <c r="G27" s="5" t="s">
        <v>18</v>
      </c>
      <c r="H27" s="5"/>
      <c r="I27" s="5">
        <v>41.745169820000001</v>
      </c>
      <c r="J27" s="5">
        <v>-92.725415130000002</v>
      </c>
      <c r="K27" s="5" t="s">
        <v>408</v>
      </c>
      <c r="L27" s="5" t="s">
        <v>409</v>
      </c>
      <c r="M27" s="5" t="s">
        <v>328</v>
      </c>
      <c r="N27" s="5" t="s">
        <v>410</v>
      </c>
      <c r="O27" s="5">
        <v>37</v>
      </c>
      <c r="P27" s="5" t="s">
        <v>20</v>
      </c>
      <c r="Q27" s="5" t="s">
        <v>329</v>
      </c>
      <c r="R27" s="5" t="s">
        <v>22</v>
      </c>
      <c r="S27" s="4">
        <v>37252.22</v>
      </c>
      <c r="T27" s="4">
        <v>109942.31</v>
      </c>
      <c r="U27" s="4">
        <v>21509.57</v>
      </c>
      <c r="V27" s="4">
        <v>40362.959999999999</v>
      </c>
      <c r="W27" s="5">
        <v>15723</v>
      </c>
      <c r="X27" s="3">
        <v>84</v>
      </c>
      <c r="Y27" s="3">
        <v>648</v>
      </c>
      <c r="Z27" s="3">
        <v>595</v>
      </c>
      <c r="AA27" s="3">
        <v>1243</v>
      </c>
      <c r="AB27" s="3">
        <v>86783.49</v>
      </c>
      <c r="AC27" s="3">
        <v>175897.93</v>
      </c>
      <c r="AD27" s="3">
        <v>71294.070000000007</v>
      </c>
      <c r="AE27" s="3">
        <v>262681.42</v>
      </c>
      <c r="AF27" s="3">
        <v>21</v>
      </c>
      <c r="AG27" s="3">
        <v>262702.42</v>
      </c>
      <c r="AH27" s="2"/>
      <c r="AI27" s="5" t="s">
        <v>1112</v>
      </c>
      <c r="AJ27">
        <f t="shared" si="0"/>
        <v>2.9480624999999998</v>
      </c>
    </row>
    <row r="28" spans="1:42" x14ac:dyDescent="0.25">
      <c r="B28" t="s">
        <v>3405</v>
      </c>
      <c r="C28" t="s">
        <v>62</v>
      </c>
      <c r="E28" t="s">
        <v>16</v>
      </c>
      <c r="F28" t="s">
        <v>17</v>
      </c>
      <c r="G28" t="s">
        <v>18</v>
      </c>
      <c r="I28">
        <v>36.214283000000002</v>
      </c>
      <c r="J28">
        <v>-93.079052000000004</v>
      </c>
      <c r="K28" t="s">
        <v>63</v>
      </c>
      <c r="L28" t="s">
        <v>61</v>
      </c>
      <c r="M28" t="s">
        <v>35</v>
      </c>
      <c r="N28" t="s">
        <v>64</v>
      </c>
      <c r="O28">
        <v>1392</v>
      </c>
      <c r="P28" t="s">
        <v>20</v>
      </c>
      <c r="Q28" t="s">
        <v>36</v>
      </c>
      <c r="R28" t="s">
        <v>37</v>
      </c>
      <c r="S28" s="9">
        <v>149943.26999999999</v>
      </c>
      <c r="T28" s="9">
        <v>97350.18</v>
      </c>
      <c r="U28" s="9">
        <v>58606.83</v>
      </c>
      <c r="V28" s="9">
        <v>23685.58</v>
      </c>
      <c r="W28">
        <v>21579</v>
      </c>
      <c r="X28" s="6">
        <v>81</v>
      </c>
      <c r="Y28" s="6">
        <v>472</v>
      </c>
      <c r="Z28" s="6">
        <v>144</v>
      </c>
      <c r="AA28" s="6">
        <v>616</v>
      </c>
      <c r="AB28" s="6">
        <v>12764</v>
      </c>
      <c r="AC28" s="6">
        <v>53237.64</v>
      </c>
      <c r="AD28" s="6">
        <v>52403.81</v>
      </c>
      <c r="AE28" s="6">
        <v>66001.64</v>
      </c>
      <c r="AF28" s="6">
        <v>0</v>
      </c>
      <c r="AG28" s="6">
        <v>66001.64</v>
      </c>
      <c r="AH28" s="10">
        <v>41831</v>
      </c>
      <c r="AI28" t="s">
        <v>1063</v>
      </c>
      <c r="AJ28">
        <f t="shared" si="0"/>
        <v>4.0460624999999997</v>
      </c>
      <c r="AK28" t="s">
        <v>3408</v>
      </c>
      <c r="AL28" t="s">
        <v>3415</v>
      </c>
      <c r="AM28" t="s">
        <v>3423</v>
      </c>
      <c r="AN28">
        <v>2</v>
      </c>
      <c r="AO28" t="str">
        <f>INDEX('Mireye Site Screen'!BU:BU, MATCH('Top 50'!$AN28, 'Mireye Site Screen'!$A:$A, 0))</f>
        <v>GO (leaning)</v>
      </c>
      <c r="AP28" t="str">
        <f>INDEX('Mireye Site Screen'!BV:BV, MATCH('Top 50'!$AN28, 'Mireye Site Screen'!$A:$A, 0))</f>
        <v>Pursue #2 - geotech karst study for expansion footprint + Entergy capacity inquiry in parallel</v>
      </c>
    </row>
    <row r="29" spans="1:42" hidden="1" x14ac:dyDescent="0.25">
      <c r="A29" s="5" t="s">
        <v>3408</v>
      </c>
      <c r="B29" t="s">
        <v>3405</v>
      </c>
      <c r="C29" s="5" t="s">
        <v>586</v>
      </c>
      <c r="D29" s="5" t="s">
        <v>587</v>
      </c>
      <c r="E29" s="5" t="s">
        <v>16</v>
      </c>
      <c r="F29" s="5" t="s">
        <v>17</v>
      </c>
      <c r="G29" s="5" t="s">
        <v>18</v>
      </c>
      <c r="H29" s="5"/>
      <c r="I29" s="5">
        <v>37.249865020000001</v>
      </c>
      <c r="J29" s="5">
        <v>-83.193920239999898</v>
      </c>
      <c r="K29" s="5" t="s">
        <v>588</v>
      </c>
      <c r="L29" s="5" t="s">
        <v>589</v>
      </c>
      <c r="M29" s="5" t="s">
        <v>517</v>
      </c>
      <c r="N29" s="5" t="s">
        <v>590</v>
      </c>
      <c r="O29" s="5">
        <v>42</v>
      </c>
      <c r="P29" s="5" t="s">
        <v>20</v>
      </c>
      <c r="Q29" s="5" t="s">
        <v>519</v>
      </c>
      <c r="R29" s="5" t="s">
        <v>37</v>
      </c>
      <c r="S29" s="4">
        <v>46258.55</v>
      </c>
      <c r="T29" s="4">
        <v>118939.09</v>
      </c>
      <c r="U29" s="4">
        <v>9698.41</v>
      </c>
      <c r="V29" s="4">
        <v>42853.88</v>
      </c>
      <c r="W29" s="5">
        <v>14149</v>
      </c>
      <c r="X29" s="3">
        <v>133</v>
      </c>
      <c r="Y29" s="3">
        <v>624</v>
      </c>
      <c r="Z29" s="3">
        <v>1401</v>
      </c>
      <c r="AA29" s="3">
        <v>2025</v>
      </c>
      <c r="AB29" s="3">
        <v>48976.38</v>
      </c>
      <c r="AC29" s="3">
        <v>165196.62</v>
      </c>
      <c r="AD29" s="3">
        <v>31654.32</v>
      </c>
      <c r="AE29" s="3">
        <v>214173</v>
      </c>
      <c r="AF29" s="3">
        <v>0</v>
      </c>
      <c r="AG29" s="3">
        <v>214173</v>
      </c>
      <c r="AH29" s="2">
        <v>42614</v>
      </c>
      <c r="AI29" s="5" t="s">
        <v>1135</v>
      </c>
      <c r="AJ29">
        <f t="shared" si="0"/>
        <v>2.6529375000000002</v>
      </c>
    </row>
    <row r="30" spans="1:42" x14ac:dyDescent="0.25">
      <c r="A30" s="5" t="s">
        <v>3408</v>
      </c>
      <c r="B30" t="s">
        <v>3405</v>
      </c>
      <c r="C30" s="5" t="s">
        <v>745</v>
      </c>
      <c r="D30" s="5" t="s">
        <v>746</v>
      </c>
      <c r="E30" s="5" t="s">
        <v>16</v>
      </c>
      <c r="F30" s="5" t="s">
        <v>17</v>
      </c>
      <c r="G30" s="5" t="s">
        <v>18</v>
      </c>
      <c r="H30" s="5"/>
      <c r="I30" s="5">
        <v>41.217063090000003</v>
      </c>
      <c r="J30" s="5">
        <v>-81.442508169999897</v>
      </c>
      <c r="K30" s="5" t="s">
        <v>747</v>
      </c>
      <c r="L30" s="5" t="s">
        <v>743</v>
      </c>
      <c r="M30" s="5" t="s">
        <v>675</v>
      </c>
      <c r="N30" s="5" t="s">
        <v>748</v>
      </c>
      <c r="O30" s="5">
        <v>2031</v>
      </c>
      <c r="P30" s="5" t="s">
        <v>20</v>
      </c>
      <c r="Q30" s="5" t="s">
        <v>676</v>
      </c>
      <c r="R30" s="5" t="s">
        <v>37</v>
      </c>
      <c r="S30" s="4">
        <v>10196.959999999999</v>
      </c>
      <c r="T30" s="4">
        <v>22058.62</v>
      </c>
      <c r="U30" s="4">
        <v>3969.1</v>
      </c>
      <c r="V30" s="4">
        <v>5551.47</v>
      </c>
      <c r="W30" s="5">
        <v>29978</v>
      </c>
      <c r="X30" s="3">
        <v>20</v>
      </c>
      <c r="Y30" s="3">
        <v>167</v>
      </c>
      <c r="Z30" s="3">
        <v>5</v>
      </c>
      <c r="AA30" s="3">
        <v>172</v>
      </c>
      <c r="AB30" s="3">
        <v>390</v>
      </c>
      <c r="AC30" s="3">
        <v>3113</v>
      </c>
      <c r="AD30" s="3">
        <v>481</v>
      </c>
      <c r="AE30" s="3">
        <v>3503</v>
      </c>
      <c r="AF30" s="3">
        <v>0</v>
      </c>
      <c r="AG30" s="3">
        <v>3503</v>
      </c>
      <c r="AH30" s="2"/>
      <c r="AI30" s="5" t="s">
        <v>1159</v>
      </c>
      <c r="AJ30">
        <f t="shared" si="0"/>
        <v>5.6208749999999998</v>
      </c>
      <c r="AK30" t="s">
        <v>3408</v>
      </c>
      <c r="AL30" t="s">
        <v>3413</v>
      </c>
      <c r="AM30" t="s">
        <v>3422</v>
      </c>
      <c r="AN30">
        <v>3</v>
      </c>
      <c r="AO30" t="str">
        <f>INDEX('Mireye Site Screen'!BU:BU, MATCH('Top 50'!$AN30, 'Mireye Site Screen'!$A:$A, 0))</f>
        <v>REVIEW</v>
      </c>
      <c r="AP30" t="str">
        <f>INDEX('Mireye Site Screen'!BV:BV, MATCH('Top 50'!$AN30, 'Mireye Site Screen'!$A:$A, 0))</f>
        <v>Advance - gauge Hudson Public Power capacity appetite for the increment; spec Tier 4 gensets</v>
      </c>
    </row>
    <row r="31" spans="1:42" hidden="1" x14ac:dyDescent="0.25">
      <c r="A31" s="5" t="s">
        <v>3408</v>
      </c>
      <c r="B31" t="s">
        <v>3405</v>
      </c>
      <c r="C31" s="5" t="s">
        <v>740</v>
      </c>
      <c r="D31" s="5" t="s">
        <v>741</v>
      </c>
      <c r="E31" s="5" t="s">
        <v>16</v>
      </c>
      <c r="F31" s="5" t="s">
        <v>17</v>
      </c>
      <c r="G31" s="5" t="s">
        <v>18</v>
      </c>
      <c r="H31" s="5"/>
      <c r="I31" s="5">
        <v>41.243414350000002</v>
      </c>
      <c r="J31" s="5">
        <v>-81.440034249999897</v>
      </c>
      <c r="K31" s="5" t="s">
        <v>742</v>
      </c>
      <c r="L31" s="5" t="s">
        <v>743</v>
      </c>
      <c r="M31" s="5" t="s">
        <v>675</v>
      </c>
      <c r="N31" s="5" t="s">
        <v>744</v>
      </c>
      <c r="O31" s="5">
        <v>3800</v>
      </c>
      <c r="P31" s="5" t="s">
        <v>20</v>
      </c>
      <c r="Q31" s="5" t="s">
        <v>676</v>
      </c>
      <c r="R31" s="5" t="s">
        <v>37</v>
      </c>
      <c r="S31" s="4">
        <v>151219.15</v>
      </c>
      <c r="T31" s="4">
        <v>292937.87</v>
      </c>
      <c r="U31" s="4">
        <v>42853.14</v>
      </c>
      <c r="V31" s="4">
        <v>87782.52</v>
      </c>
      <c r="W31" s="5">
        <v>18705</v>
      </c>
      <c r="X31" s="3">
        <v>170</v>
      </c>
      <c r="Y31" s="3">
        <v>486</v>
      </c>
      <c r="Z31" s="3">
        <v>241</v>
      </c>
      <c r="AA31" s="3">
        <v>727</v>
      </c>
      <c r="AB31" s="3">
        <v>119468.81</v>
      </c>
      <c r="AC31" s="3">
        <v>211677.8</v>
      </c>
      <c r="AD31" s="3">
        <v>26906.52</v>
      </c>
      <c r="AE31" s="3">
        <v>331146.61</v>
      </c>
      <c r="AF31" s="3">
        <v>0</v>
      </c>
      <c r="AG31" s="3">
        <v>331146.61</v>
      </c>
      <c r="AH31" s="2">
        <v>39417</v>
      </c>
      <c r="AI31" s="5" t="s">
        <v>1158</v>
      </c>
      <c r="AJ31">
        <f t="shared" si="0"/>
        <v>3.5071875000000001</v>
      </c>
    </row>
    <row r="32" spans="1:42" hidden="1" x14ac:dyDescent="0.25">
      <c r="B32" t="s">
        <v>3405</v>
      </c>
      <c r="C32" t="s">
        <v>943</v>
      </c>
      <c r="D32" t="s">
        <v>944</v>
      </c>
      <c r="E32" t="s">
        <v>16</v>
      </c>
      <c r="F32" t="s">
        <v>17</v>
      </c>
      <c r="G32" t="s">
        <v>18</v>
      </c>
      <c r="I32">
        <v>30.045347589999899</v>
      </c>
      <c r="J32">
        <v>-99.13997664</v>
      </c>
      <c r="K32" t="s">
        <v>945</v>
      </c>
      <c r="L32" t="s">
        <v>942</v>
      </c>
      <c r="M32" t="s">
        <v>905</v>
      </c>
      <c r="N32" t="s">
        <v>946</v>
      </c>
      <c r="O32">
        <v>2899</v>
      </c>
      <c r="P32" t="s">
        <v>20</v>
      </c>
      <c r="Q32" t="s">
        <v>912</v>
      </c>
      <c r="R32" t="s">
        <v>37</v>
      </c>
      <c r="S32" s="9">
        <v>44982.18</v>
      </c>
      <c r="T32" s="9">
        <v>68041.94</v>
      </c>
      <c r="U32" s="9">
        <v>10368.24</v>
      </c>
      <c r="V32" s="9">
        <v>23709.360000000001</v>
      </c>
      <c r="W32">
        <v>24782</v>
      </c>
      <c r="X32" s="6">
        <v>144</v>
      </c>
      <c r="Y32" s="6">
        <v>720</v>
      </c>
      <c r="Z32" s="6">
        <v>787</v>
      </c>
      <c r="AA32" s="6">
        <v>1507</v>
      </c>
      <c r="AB32" s="6">
        <v>13942.9</v>
      </c>
      <c r="AC32" s="6">
        <v>48060.79</v>
      </c>
      <c r="AD32" s="6">
        <v>4423</v>
      </c>
      <c r="AE32" s="6">
        <v>62003.69</v>
      </c>
      <c r="AF32" s="6">
        <v>0</v>
      </c>
      <c r="AG32" s="6">
        <v>62003.69</v>
      </c>
      <c r="AH32" s="10">
        <v>39507</v>
      </c>
      <c r="AI32" t="s">
        <v>1178</v>
      </c>
      <c r="AJ32">
        <f t="shared" si="0"/>
        <v>4.6466250000000002</v>
      </c>
      <c r="AK32" t="s">
        <v>3408</v>
      </c>
      <c r="AL32" t="s">
        <v>3430</v>
      </c>
      <c r="AM32" t="s">
        <v>3431</v>
      </c>
      <c r="AP32" t="e">
        <f>INDEX('Mireye Site Screen'!BU:BU, MATCH('Top 50'!$I32, 'Mireye Site Screen'!$C:$C, 0))</f>
        <v>#N/A</v>
      </c>
    </row>
    <row r="33" spans="1:42" hidden="1" x14ac:dyDescent="0.25">
      <c r="B33" t="s">
        <v>3405</v>
      </c>
      <c r="C33" t="s">
        <v>951</v>
      </c>
      <c r="D33" t="s">
        <v>952</v>
      </c>
      <c r="E33" t="s">
        <v>16</v>
      </c>
      <c r="F33" t="s">
        <v>17</v>
      </c>
      <c r="G33" t="s">
        <v>18</v>
      </c>
      <c r="H33" t="s">
        <v>206</v>
      </c>
      <c r="I33">
        <v>33.588055830000002</v>
      </c>
      <c r="J33">
        <v>-102.379543499999</v>
      </c>
      <c r="K33" t="s">
        <v>953</v>
      </c>
      <c r="L33" t="s">
        <v>954</v>
      </c>
      <c r="M33" t="s">
        <v>905</v>
      </c>
      <c r="N33" t="s">
        <v>955</v>
      </c>
      <c r="O33">
        <v>2215</v>
      </c>
      <c r="P33" t="s">
        <v>20</v>
      </c>
      <c r="Q33" t="s">
        <v>840</v>
      </c>
      <c r="R33" t="s">
        <v>22</v>
      </c>
      <c r="S33" s="9">
        <v>62293.72</v>
      </c>
      <c r="T33" s="9">
        <v>37529.42</v>
      </c>
      <c r="U33" s="9">
        <v>20677.18</v>
      </c>
      <c r="V33" s="9">
        <v>15123.29</v>
      </c>
      <c r="W33">
        <v>12108</v>
      </c>
      <c r="X33" s="6">
        <v>75</v>
      </c>
      <c r="Y33" s="6">
        <v>280</v>
      </c>
      <c r="Z33" s="6">
        <v>684</v>
      </c>
      <c r="AA33" s="6">
        <v>964</v>
      </c>
      <c r="AB33" s="6">
        <v>8290</v>
      </c>
      <c r="AC33" s="6">
        <v>24438.57</v>
      </c>
      <c r="AD33" s="6">
        <v>3619</v>
      </c>
      <c r="AE33" s="6">
        <v>32728.57</v>
      </c>
      <c r="AF33" s="6">
        <v>0</v>
      </c>
      <c r="AG33" s="6">
        <v>32728.57</v>
      </c>
      <c r="AH33" s="10">
        <v>42583</v>
      </c>
      <c r="AI33" t="s">
        <v>1050</v>
      </c>
      <c r="AJ33">
        <f t="shared" si="0"/>
        <v>2.2702499999999999</v>
      </c>
    </row>
    <row r="34" spans="1:42" hidden="1" x14ac:dyDescent="0.25">
      <c r="B34" t="s">
        <v>3405</v>
      </c>
      <c r="C34" t="s">
        <v>110</v>
      </c>
      <c r="D34" t="s">
        <v>111</v>
      </c>
      <c r="E34" t="s">
        <v>16</v>
      </c>
      <c r="F34" t="s">
        <v>17</v>
      </c>
      <c r="G34" t="s">
        <v>18</v>
      </c>
      <c r="I34">
        <v>30.29397346</v>
      </c>
      <c r="J34">
        <v>-82.982079150000004</v>
      </c>
      <c r="K34" t="s">
        <v>112</v>
      </c>
      <c r="L34" t="s">
        <v>109</v>
      </c>
      <c r="M34" t="s">
        <v>81</v>
      </c>
      <c r="N34" t="s">
        <v>113</v>
      </c>
      <c r="O34">
        <v>2347</v>
      </c>
      <c r="P34" t="s">
        <v>20</v>
      </c>
      <c r="Q34" t="s">
        <v>82</v>
      </c>
      <c r="R34" t="s">
        <v>22</v>
      </c>
      <c r="S34" s="9">
        <v>177616.39</v>
      </c>
      <c r="T34" s="9">
        <v>165791.72</v>
      </c>
      <c r="U34" s="9">
        <v>20604.419999999998</v>
      </c>
      <c r="V34" s="9">
        <v>59604.05</v>
      </c>
      <c r="W34">
        <v>21370</v>
      </c>
      <c r="X34" s="6">
        <v>123</v>
      </c>
      <c r="Y34" s="6">
        <v>774</v>
      </c>
      <c r="Z34" s="6">
        <v>856</v>
      </c>
      <c r="AA34" s="6">
        <v>1630</v>
      </c>
      <c r="AB34" s="6">
        <v>67011.38</v>
      </c>
      <c r="AC34" s="6">
        <v>100782.94</v>
      </c>
      <c r="AD34" s="6">
        <v>50269.760000000002</v>
      </c>
      <c r="AE34" s="6">
        <v>167794.32</v>
      </c>
      <c r="AF34" s="6">
        <v>1027.52</v>
      </c>
      <c r="AG34" s="6">
        <v>168821.84</v>
      </c>
      <c r="AH34" s="10">
        <v>39173</v>
      </c>
      <c r="AI34" t="s">
        <v>1071</v>
      </c>
      <c r="AJ34">
        <f t="shared" si="0"/>
        <v>4.006875</v>
      </c>
      <c r="AK34" t="s">
        <v>3408</v>
      </c>
      <c r="AL34" t="s">
        <v>3414</v>
      </c>
      <c r="AM34" t="s">
        <v>3424</v>
      </c>
      <c r="AP34" t="e">
        <f>INDEX('Mireye Site Screen'!BU:BU, MATCH('Top 50'!$I34, 'Mireye Site Screen'!$C:$C, 0))</f>
        <v>#N/A</v>
      </c>
    </row>
    <row r="35" spans="1:42" hidden="1" x14ac:dyDescent="0.25">
      <c r="B35" t="s">
        <v>3405</v>
      </c>
      <c r="C35" t="s">
        <v>252</v>
      </c>
      <c r="D35" t="s">
        <v>253</v>
      </c>
      <c r="E35" t="s">
        <v>16</v>
      </c>
      <c r="F35" t="s">
        <v>17</v>
      </c>
      <c r="G35" t="s">
        <v>18</v>
      </c>
      <c r="I35">
        <v>33.090814809999898</v>
      </c>
      <c r="J35">
        <v>-83.228472819999894</v>
      </c>
      <c r="K35" t="s">
        <v>254</v>
      </c>
      <c r="L35" t="s">
        <v>255</v>
      </c>
      <c r="M35" t="s">
        <v>120</v>
      </c>
      <c r="N35" t="s">
        <v>256</v>
      </c>
      <c r="O35">
        <v>19</v>
      </c>
      <c r="P35" t="s">
        <v>20</v>
      </c>
      <c r="Q35" t="s">
        <v>121</v>
      </c>
      <c r="R35" t="s">
        <v>22</v>
      </c>
      <c r="S35" s="9">
        <v>86249.72</v>
      </c>
      <c r="T35" s="9">
        <v>156249.37</v>
      </c>
      <c r="U35" s="9">
        <v>45893.97</v>
      </c>
      <c r="V35" s="9">
        <v>50239.29</v>
      </c>
      <c r="W35">
        <v>25764</v>
      </c>
      <c r="X35" s="6">
        <v>93</v>
      </c>
      <c r="Y35" s="6">
        <v>1016</v>
      </c>
      <c r="Z35" s="6">
        <v>346</v>
      </c>
      <c r="AA35" s="6">
        <v>1362</v>
      </c>
      <c r="AB35" s="6">
        <v>40278.47</v>
      </c>
      <c r="AC35" s="6">
        <v>76847.679999999993</v>
      </c>
      <c r="AD35" s="6">
        <v>212148.55</v>
      </c>
      <c r="AE35" s="6">
        <v>117126.15</v>
      </c>
      <c r="AF35" s="6">
        <v>0</v>
      </c>
      <c r="AG35" s="6">
        <v>117126.15</v>
      </c>
      <c r="AH35" s="10">
        <v>42881</v>
      </c>
      <c r="AI35" t="s">
        <v>1010</v>
      </c>
      <c r="AJ35">
        <f t="shared" si="0"/>
        <v>4.8307500000000001</v>
      </c>
      <c r="AK35" t="s">
        <v>3408</v>
      </c>
      <c r="AL35" t="s">
        <v>3414</v>
      </c>
      <c r="AM35" t="s">
        <v>3425</v>
      </c>
      <c r="AP35" t="e">
        <f>INDEX('Mireye Site Screen'!BU:BU, MATCH('Top 50'!$I35, 'Mireye Site Screen'!$C:$C, 0))</f>
        <v>#N/A</v>
      </c>
    </row>
    <row r="36" spans="1:42" hidden="1" x14ac:dyDescent="0.25">
      <c r="A36" s="5" t="s">
        <v>3408</v>
      </c>
      <c r="B36" t="s">
        <v>3405</v>
      </c>
      <c r="C36" s="5" t="s">
        <v>602</v>
      </c>
      <c r="D36" s="5" t="s">
        <v>603</v>
      </c>
      <c r="E36" s="5" t="s">
        <v>16</v>
      </c>
      <c r="F36" s="5" t="s">
        <v>17</v>
      </c>
      <c r="G36" s="5" t="s">
        <v>18</v>
      </c>
      <c r="H36" s="5" t="s">
        <v>34</v>
      </c>
      <c r="I36" s="5">
        <v>38.183663750000001</v>
      </c>
      <c r="J36" s="5">
        <v>-83.43477901</v>
      </c>
      <c r="K36" s="5" t="s">
        <v>604</v>
      </c>
      <c r="L36" s="5" t="s">
        <v>605</v>
      </c>
      <c r="M36" s="5" t="s">
        <v>517</v>
      </c>
      <c r="N36" s="5" t="s">
        <v>606</v>
      </c>
      <c r="O36" s="5">
        <v>23</v>
      </c>
      <c r="P36" s="5" t="s">
        <v>20</v>
      </c>
      <c r="Q36" s="5" t="s">
        <v>519</v>
      </c>
      <c r="R36" s="5" t="s">
        <v>37</v>
      </c>
      <c r="S36" s="4">
        <v>37578.36</v>
      </c>
      <c r="T36" s="4">
        <v>109271.36</v>
      </c>
      <c r="U36" s="4">
        <v>6631.25</v>
      </c>
      <c r="V36" s="4">
        <v>39402.980000000003</v>
      </c>
      <c r="W36" s="5">
        <v>23104</v>
      </c>
      <c r="X36" s="3">
        <v>160</v>
      </c>
      <c r="Y36" s="3">
        <v>263</v>
      </c>
      <c r="Z36" s="3">
        <v>407</v>
      </c>
      <c r="AA36" s="3">
        <v>670</v>
      </c>
      <c r="AB36" s="3">
        <v>17854.900000000001</v>
      </c>
      <c r="AC36" s="3">
        <v>107767.71</v>
      </c>
      <c r="AD36" s="3">
        <v>81907.100000000006</v>
      </c>
      <c r="AE36" s="3">
        <v>125622.61</v>
      </c>
      <c r="AF36" s="3">
        <v>0</v>
      </c>
      <c r="AG36" s="3">
        <v>125622.61</v>
      </c>
      <c r="AH36" s="2"/>
      <c r="AI36" s="5" t="s">
        <v>1138</v>
      </c>
      <c r="AJ36">
        <f t="shared" si="0"/>
        <v>4.3319999999999999</v>
      </c>
      <c r="AK36" t="s">
        <v>3408</v>
      </c>
      <c r="AL36" t="s">
        <v>3414</v>
      </c>
      <c r="AM36" t="s">
        <v>3426</v>
      </c>
      <c r="AP36" t="e">
        <f>INDEX('Mireye Site Screen'!BU:BU, MATCH('Top 50'!$I36, 'Mireye Site Screen'!$C:$C, 0))</f>
        <v>#N/A</v>
      </c>
    </row>
    <row r="37" spans="1:42" hidden="1" x14ac:dyDescent="0.25">
      <c r="B37" t="s">
        <v>3405</v>
      </c>
      <c r="C37" t="s">
        <v>276</v>
      </c>
      <c r="D37" t="s">
        <v>277</v>
      </c>
      <c r="E37" t="s">
        <v>16</v>
      </c>
      <c r="F37" t="s">
        <v>17</v>
      </c>
      <c r="G37" t="s">
        <v>18</v>
      </c>
      <c r="I37">
        <v>31.1774829199999</v>
      </c>
      <c r="J37">
        <v>-83.783713550000002</v>
      </c>
      <c r="K37" t="s">
        <v>278</v>
      </c>
      <c r="L37" t="s">
        <v>274</v>
      </c>
      <c r="M37" t="s">
        <v>120</v>
      </c>
      <c r="N37" t="s">
        <v>279</v>
      </c>
      <c r="O37">
        <v>20</v>
      </c>
      <c r="P37" t="s">
        <v>20</v>
      </c>
      <c r="Q37" t="s">
        <v>121</v>
      </c>
      <c r="R37" t="s">
        <v>37</v>
      </c>
      <c r="S37" s="9">
        <v>44518.26</v>
      </c>
      <c r="T37" s="9">
        <v>130268.76</v>
      </c>
      <c r="U37" s="9">
        <v>32316.68</v>
      </c>
      <c r="V37" s="9">
        <v>39313.9</v>
      </c>
      <c r="W37">
        <v>25380</v>
      </c>
      <c r="X37" s="6">
        <v>89</v>
      </c>
      <c r="Y37" s="6">
        <v>460</v>
      </c>
      <c r="Z37" s="6">
        <v>2509</v>
      </c>
      <c r="AA37" s="6">
        <v>2969</v>
      </c>
      <c r="AB37" s="6">
        <v>13721</v>
      </c>
      <c r="AC37" s="6">
        <v>107934.84</v>
      </c>
      <c r="AD37" s="6">
        <v>34945.33</v>
      </c>
      <c r="AE37" s="6">
        <v>121655.84</v>
      </c>
      <c r="AF37" s="6">
        <v>0</v>
      </c>
      <c r="AG37" s="6">
        <v>121655.84</v>
      </c>
      <c r="AH37" s="10">
        <v>42881</v>
      </c>
      <c r="AI37" t="s">
        <v>1095</v>
      </c>
      <c r="AJ37">
        <f t="shared" si="0"/>
        <v>4.75875</v>
      </c>
      <c r="AK37" t="s">
        <v>3408</v>
      </c>
      <c r="AL37" t="s">
        <v>3429</v>
      </c>
      <c r="AM37" t="s">
        <v>3427</v>
      </c>
      <c r="AN37">
        <v>4</v>
      </c>
      <c r="AO37" t="str">
        <f>INDEX('Mireye Site Screen'!BU:BU, MATCH('Top 50'!$AN37, 'Mireye Site Screen'!$A:$A, 0))</f>
        <v>REVIEW</v>
      </c>
      <c r="AP37" t="str">
        <f>INDEX('Mireye Site Screen'!BV:BV, MATCH('Top 50'!$AN37, 'Mireye Site Screen'!$A:$A, 0))</f>
        <v>Hold as OZ-advantaged backup; Phase I environmental if advanced</v>
      </c>
    </row>
    <row r="38" spans="1:42" hidden="1" x14ac:dyDescent="0.25">
      <c r="B38" t="s">
        <v>3405</v>
      </c>
      <c r="C38" t="s">
        <v>271</v>
      </c>
      <c r="D38" t="s">
        <v>272</v>
      </c>
      <c r="E38" t="s">
        <v>16</v>
      </c>
      <c r="F38" t="s">
        <v>17</v>
      </c>
      <c r="G38" t="s">
        <v>18</v>
      </c>
      <c r="H38" t="s">
        <v>25</v>
      </c>
      <c r="I38">
        <v>31.179190250000001</v>
      </c>
      <c r="J38">
        <v>-83.748761310000006</v>
      </c>
      <c r="K38" t="s">
        <v>273</v>
      </c>
      <c r="L38" t="s">
        <v>274</v>
      </c>
      <c r="M38" t="s">
        <v>120</v>
      </c>
      <c r="N38" t="s">
        <v>275</v>
      </c>
      <c r="O38">
        <v>3432</v>
      </c>
      <c r="P38" t="s">
        <v>20</v>
      </c>
      <c r="Q38" t="s">
        <v>121</v>
      </c>
      <c r="R38" t="s">
        <v>37</v>
      </c>
      <c r="S38" s="9">
        <v>63723.57</v>
      </c>
      <c r="T38" s="9">
        <v>35179.589999999997</v>
      </c>
      <c r="U38" s="9">
        <v>23980.62</v>
      </c>
      <c r="V38" s="9">
        <v>9833.75</v>
      </c>
      <c r="W38">
        <v>15016</v>
      </c>
      <c r="X38" s="6">
        <v>4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10"/>
      <c r="AI38" t="s">
        <v>1094</v>
      </c>
      <c r="AJ38">
        <f t="shared" si="0"/>
        <v>2.8155000000000001</v>
      </c>
    </row>
    <row r="39" spans="1:42" hidden="1" x14ac:dyDescent="0.25">
      <c r="A39" s="5" t="s">
        <v>3408</v>
      </c>
      <c r="B39" t="s">
        <v>3405</v>
      </c>
      <c r="C39" s="5" t="s">
        <v>774</v>
      </c>
      <c r="D39" s="5" t="s">
        <v>775</v>
      </c>
      <c r="E39" s="5" t="s">
        <v>16</v>
      </c>
      <c r="F39" s="5" t="s">
        <v>17</v>
      </c>
      <c r="G39" s="5" t="s">
        <v>18</v>
      </c>
      <c r="H39" s="5"/>
      <c r="I39" s="5">
        <v>40.059448529999898</v>
      </c>
      <c r="J39" s="5">
        <v>-82.404873050000006</v>
      </c>
      <c r="K39" s="5" t="s">
        <v>776</v>
      </c>
      <c r="L39" s="5" t="s">
        <v>772</v>
      </c>
      <c r="M39" s="5" t="s">
        <v>675</v>
      </c>
      <c r="N39" s="5" t="s">
        <v>777</v>
      </c>
      <c r="O39" s="5">
        <v>2693</v>
      </c>
      <c r="P39" s="5" t="s">
        <v>20</v>
      </c>
      <c r="Q39" s="5" t="s">
        <v>697</v>
      </c>
      <c r="R39" s="5" t="s">
        <v>22</v>
      </c>
      <c r="S39" s="4">
        <v>49396.639999999999</v>
      </c>
      <c r="T39" s="4">
        <v>121164.43</v>
      </c>
      <c r="U39" s="4">
        <v>30226.23</v>
      </c>
      <c r="V39" s="4">
        <v>45375.08</v>
      </c>
      <c r="W39" s="5">
        <v>35563</v>
      </c>
      <c r="X39" s="3">
        <v>145</v>
      </c>
      <c r="Y39" s="3">
        <v>717</v>
      </c>
      <c r="Z39" s="3">
        <v>1236</v>
      </c>
      <c r="AA39" s="3">
        <v>1953</v>
      </c>
      <c r="AB39" s="3">
        <v>6099.45</v>
      </c>
      <c r="AC39" s="3">
        <v>28989.82</v>
      </c>
      <c r="AD39" s="3">
        <v>57489.56</v>
      </c>
      <c r="AE39" s="3">
        <v>35089.269999999997</v>
      </c>
      <c r="AF39" s="3">
        <v>0</v>
      </c>
      <c r="AG39" s="3">
        <v>35089.269999999997</v>
      </c>
      <c r="AH39" s="2"/>
      <c r="AI39" s="5" t="s">
        <v>1034</v>
      </c>
      <c r="AJ39">
        <f t="shared" si="0"/>
        <v>6.6680624999999996</v>
      </c>
      <c r="AK39" t="s">
        <v>3408</v>
      </c>
      <c r="AL39" t="s">
        <v>3429</v>
      </c>
      <c r="AM39" t="s">
        <v>3428</v>
      </c>
      <c r="AN39">
        <v>5</v>
      </c>
      <c r="AO39" t="str">
        <f>INDEX('Mireye Site Screen'!BU:BU, MATCH('Top 50'!$AN39, 'Mireye Site Screen'!$A:$A, 0))</f>
        <v>REVIEW (5-15 MW band)</v>
      </c>
      <c r="AP39" t="str">
        <f>INDEX('Mireye Site Screen'!BV:BV, MATCH('Top 50'!$AN39, 'Mireye Site Screen'!$A:$A, 0))</f>
        <v>Keep as low-band expansion candidate - AEP capacity inquiry decides it</v>
      </c>
    </row>
    <row r="40" spans="1:42" hidden="1" x14ac:dyDescent="0.25">
      <c r="A40" s="5" t="s">
        <v>3408</v>
      </c>
      <c r="B40" t="s">
        <v>3405</v>
      </c>
      <c r="C40" s="5" t="s">
        <v>477</v>
      </c>
      <c r="D40" s="5" t="s">
        <v>478</v>
      </c>
      <c r="E40" s="5" t="s">
        <v>16</v>
      </c>
      <c r="F40" s="5" t="s">
        <v>17</v>
      </c>
      <c r="G40" s="5" t="s">
        <v>18</v>
      </c>
      <c r="H40" s="5"/>
      <c r="I40" s="5">
        <v>41.698331500000002</v>
      </c>
      <c r="J40" s="5">
        <v>-93.054485650000004</v>
      </c>
      <c r="K40" s="5" t="s">
        <v>479</v>
      </c>
      <c r="L40" s="5" t="s">
        <v>480</v>
      </c>
      <c r="M40" s="5" t="s">
        <v>328</v>
      </c>
      <c r="N40" s="5" t="s">
        <v>481</v>
      </c>
      <c r="O40" s="5">
        <v>2411</v>
      </c>
      <c r="P40" s="5" t="s">
        <v>20</v>
      </c>
      <c r="Q40" s="5" t="s">
        <v>329</v>
      </c>
      <c r="R40" s="5" t="s">
        <v>22</v>
      </c>
      <c r="S40" s="4">
        <v>143343.34</v>
      </c>
      <c r="T40" s="4">
        <v>91808.72</v>
      </c>
      <c r="U40" s="4">
        <v>31658.36</v>
      </c>
      <c r="V40" s="4">
        <v>22200.06</v>
      </c>
      <c r="W40" s="5">
        <v>43934</v>
      </c>
      <c r="X40" s="3">
        <v>60</v>
      </c>
      <c r="Y40" s="3">
        <v>862</v>
      </c>
      <c r="Z40" s="3">
        <v>1789</v>
      </c>
      <c r="AA40" s="3">
        <v>2651</v>
      </c>
      <c r="AB40" s="3">
        <v>7531.78</v>
      </c>
      <c r="AC40" s="3">
        <v>39884.18</v>
      </c>
      <c r="AD40" s="3">
        <v>90116.1</v>
      </c>
      <c r="AE40" s="3">
        <v>47415.96</v>
      </c>
      <c r="AF40" s="3">
        <v>0</v>
      </c>
      <c r="AG40" s="3">
        <v>47415.96</v>
      </c>
      <c r="AH40" s="2"/>
      <c r="AI40" s="5" t="s">
        <v>1119</v>
      </c>
      <c r="AJ40">
        <f t="shared" si="0"/>
        <v>8.2376249999999995</v>
      </c>
      <c r="AK40" t="s">
        <v>3408</v>
      </c>
      <c r="AL40" t="s">
        <v>3429</v>
      </c>
      <c r="AM40" t="s">
        <v>3432</v>
      </c>
      <c r="AN40">
        <v>6</v>
      </c>
      <c r="AO40" t="str">
        <f>INDEX('Mireye Site Screen'!BU:BU, MATCH('Top 50'!$AN40, 'Mireye Site Screen'!$A:$A, 0))</f>
        <v>REVIEW</v>
      </c>
      <c r="AP40" t="str">
        <f>INDEX('Mireye Site Screen'!BV:BV, MATCH('Top 50'!$AN40, 'Mireye Site Screen'!$A:$A, 0))</f>
        <v>Hold - verify Alliant service, assemblage, and Uniti lease terms; mid-tier</v>
      </c>
    </row>
    <row r="41" spans="1:42" hidden="1" x14ac:dyDescent="0.25">
      <c r="B41" t="s">
        <v>3406</v>
      </c>
      <c r="C41" t="s">
        <v>611</v>
      </c>
      <c r="D41" t="s">
        <v>612</v>
      </c>
      <c r="E41" t="s">
        <v>16</v>
      </c>
      <c r="F41" t="s">
        <v>17</v>
      </c>
      <c r="G41" t="s">
        <v>18</v>
      </c>
      <c r="I41">
        <v>37.8806709099999</v>
      </c>
      <c r="J41">
        <v>-84.572366110000004</v>
      </c>
      <c r="K41" t="s">
        <v>613</v>
      </c>
      <c r="L41" t="s">
        <v>614</v>
      </c>
      <c r="M41" t="s">
        <v>517</v>
      </c>
      <c r="N41" t="s">
        <v>615</v>
      </c>
      <c r="O41">
        <v>123</v>
      </c>
      <c r="P41" t="s">
        <v>20</v>
      </c>
      <c r="Q41" t="s">
        <v>519</v>
      </c>
      <c r="R41" t="s">
        <v>37</v>
      </c>
      <c r="S41" s="9">
        <v>22704.46</v>
      </c>
      <c r="T41" s="9">
        <v>83234.990000000005</v>
      </c>
      <c r="U41" s="9">
        <v>9764.0499999999993</v>
      </c>
      <c r="V41" s="9">
        <v>22830.17</v>
      </c>
      <c r="W41">
        <v>6190</v>
      </c>
      <c r="X41" s="6">
        <v>121</v>
      </c>
      <c r="Y41" s="6">
        <v>335</v>
      </c>
      <c r="Z41" s="6">
        <v>1385</v>
      </c>
      <c r="AA41" s="6">
        <v>1720</v>
      </c>
      <c r="AB41" s="6">
        <v>19185.03</v>
      </c>
      <c r="AC41" s="6">
        <v>26962.61</v>
      </c>
      <c r="AD41" s="6">
        <v>49596.69</v>
      </c>
      <c r="AE41" s="6">
        <v>46147.64</v>
      </c>
      <c r="AF41" s="6">
        <v>0</v>
      </c>
      <c r="AG41" s="6">
        <v>46147.64</v>
      </c>
      <c r="AH41" s="10"/>
      <c r="AI41" t="s">
        <v>1140</v>
      </c>
      <c r="AJ41">
        <f t="shared" si="0"/>
        <v>1.160625</v>
      </c>
    </row>
    <row r="42" spans="1:42" x14ac:dyDescent="0.25">
      <c r="A42" s="5" t="s">
        <v>3408</v>
      </c>
      <c r="B42" t="s">
        <v>3405</v>
      </c>
      <c r="C42" s="5" t="s">
        <v>795</v>
      </c>
      <c r="D42" s="5" t="s">
        <v>796</v>
      </c>
      <c r="E42" s="5" t="s">
        <v>16</v>
      </c>
      <c r="F42" s="5" t="s">
        <v>17</v>
      </c>
      <c r="G42" s="5" t="s">
        <v>18</v>
      </c>
      <c r="H42" s="5"/>
      <c r="I42" s="5">
        <v>41.314744480000002</v>
      </c>
      <c r="J42" s="5">
        <v>-81.537039320000005</v>
      </c>
      <c r="K42" s="5" t="s">
        <v>797</v>
      </c>
      <c r="L42" s="5" t="s">
        <v>798</v>
      </c>
      <c r="M42" s="5" t="s">
        <v>675</v>
      </c>
      <c r="N42" s="5" t="s">
        <v>799</v>
      </c>
      <c r="O42" s="5">
        <v>2701</v>
      </c>
      <c r="P42" s="5" t="s">
        <v>20</v>
      </c>
      <c r="Q42" s="5" t="s">
        <v>676</v>
      </c>
      <c r="R42" s="5" t="s">
        <v>37</v>
      </c>
      <c r="S42" s="4">
        <v>53064.32</v>
      </c>
      <c r="T42" s="4">
        <v>123417.05</v>
      </c>
      <c r="U42" s="4">
        <v>33189.06</v>
      </c>
      <c r="V42" s="4">
        <v>36876.69</v>
      </c>
      <c r="W42" s="15">
        <v>66721</v>
      </c>
      <c r="X42" s="3">
        <v>93</v>
      </c>
      <c r="Y42" s="3">
        <v>371</v>
      </c>
      <c r="Z42" s="3">
        <v>960</v>
      </c>
      <c r="AA42" s="3">
        <v>1331</v>
      </c>
      <c r="AB42" s="3">
        <v>4919.5</v>
      </c>
      <c r="AC42" s="3">
        <v>34006.75</v>
      </c>
      <c r="AD42" s="3">
        <v>24440.44</v>
      </c>
      <c r="AE42" s="3">
        <v>38926.25</v>
      </c>
      <c r="AF42" s="3">
        <v>0</v>
      </c>
      <c r="AG42" s="3">
        <v>38926.25</v>
      </c>
      <c r="AH42" s="2"/>
      <c r="AI42" s="5" t="s">
        <v>1163</v>
      </c>
      <c r="AJ42">
        <f t="shared" si="0"/>
        <v>12.510187500000001</v>
      </c>
      <c r="AK42" t="s">
        <v>3408</v>
      </c>
      <c r="AL42" t="s">
        <v>3415</v>
      </c>
      <c r="AM42" t="s">
        <v>3433</v>
      </c>
      <c r="AN42">
        <v>7</v>
      </c>
      <c r="AO42" t="str">
        <f>INDEX('Mireye Site Screen'!BU:BU, MATCH('Top 50'!$AN42, 'Mireye Site Screen'!$A:$A, 0))</f>
        <v>REVIEW</v>
      </c>
      <c r="AP42" t="str">
        <f>INDEX('Mireye Site Screen'!BV:BV, MATCH('Top 50'!$AN42, 'Mireye Site Screen'!$A:$A, 0))</f>
        <v>Rises under operating-facility lens - verify serving utility (FirstEnergy?) + assemblage, then utility capacity inquiry on the 345 kV path</v>
      </c>
    </row>
    <row r="43" spans="1:42" hidden="1" x14ac:dyDescent="0.25">
      <c r="B43" t="s">
        <v>3406</v>
      </c>
      <c r="C43" t="s">
        <v>290</v>
      </c>
      <c r="D43" t="s">
        <v>291</v>
      </c>
      <c r="E43" t="s">
        <v>16</v>
      </c>
      <c r="F43" t="s">
        <v>17</v>
      </c>
      <c r="G43" t="s">
        <v>18</v>
      </c>
      <c r="I43">
        <v>32.457381949999899</v>
      </c>
      <c r="J43">
        <v>-83.73262665</v>
      </c>
      <c r="K43" t="s">
        <v>292</v>
      </c>
      <c r="L43" t="s">
        <v>65</v>
      </c>
      <c r="M43" t="s">
        <v>120</v>
      </c>
      <c r="N43" t="s">
        <v>293</v>
      </c>
      <c r="O43">
        <v>133</v>
      </c>
      <c r="P43" t="s">
        <v>20</v>
      </c>
      <c r="Q43" t="s">
        <v>121</v>
      </c>
      <c r="R43" t="s">
        <v>37</v>
      </c>
      <c r="S43" s="9">
        <v>18113.29</v>
      </c>
      <c r="T43" s="9">
        <v>90112.320000000007</v>
      </c>
      <c r="U43" s="9">
        <v>3981.92</v>
      </c>
      <c r="V43" s="9">
        <v>29397.49</v>
      </c>
      <c r="W43">
        <v>5775</v>
      </c>
      <c r="X43" s="6">
        <v>95</v>
      </c>
      <c r="Y43" s="6">
        <v>648</v>
      </c>
      <c r="Z43" s="6">
        <v>1054</v>
      </c>
      <c r="AA43" s="6">
        <v>1702</v>
      </c>
      <c r="AB43" s="6">
        <v>18123.95</v>
      </c>
      <c r="AC43" s="6">
        <v>34747.53</v>
      </c>
      <c r="AD43" s="6">
        <v>124837.6</v>
      </c>
      <c r="AE43" s="6">
        <v>52871.48</v>
      </c>
      <c r="AF43" s="6">
        <v>1402.12</v>
      </c>
      <c r="AG43" s="6">
        <v>54273.599999999999</v>
      </c>
      <c r="AH43" s="10">
        <v>43282</v>
      </c>
      <c r="AI43" t="s">
        <v>1098</v>
      </c>
      <c r="AJ43">
        <f t="shared" si="0"/>
        <v>1.0828125</v>
      </c>
    </row>
    <row r="44" spans="1:42" hidden="1" x14ac:dyDescent="0.25">
      <c r="B44" t="s">
        <v>3405</v>
      </c>
      <c r="C44" t="s">
        <v>3106</v>
      </c>
      <c r="E44" t="s">
        <v>16</v>
      </c>
      <c r="F44" t="s">
        <v>17</v>
      </c>
      <c r="G44" t="s">
        <v>18</v>
      </c>
      <c r="I44">
        <v>41.239257170000002</v>
      </c>
      <c r="J44">
        <v>-81.655757600000001</v>
      </c>
      <c r="K44" t="s">
        <v>825</v>
      </c>
      <c r="L44" t="s">
        <v>826</v>
      </c>
      <c r="M44" t="s">
        <v>675</v>
      </c>
      <c r="N44" t="s">
        <v>827</v>
      </c>
      <c r="O44">
        <v>2707</v>
      </c>
      <c r="P44" t="s">
        <v>20</v>
      </c>
      <c r="Q44" t="s">
        <v>676</v>
      </c>
      <c r="R44" t="s">
        <v>37</v>
      </c>
      <c r="S44" s="9">
        <v>0</v>
      </c>
      <c r="T44" s="9">
        <v>0</v>
      </c>
      <c r="U44" s="9">
        <v>0</v>
      </c>
      <c r="V44" s="9">
        <v>0</v>
      </c>
      <c r="W44">
        <v>20000</v>
      </c>
      <c r="X44" s="6">
        <v>27</v>
      </c>
      <c r="Y44" s="6">
        <v>212</v>
      </c>
      <c r="Z44" s="6">
        <v>423</v>
      </c>
      <c r="AA44" s="6">
        <v>635</v>
      </c>
      <c r="AB44" s="6">
        <v>5793.04</v>
      </c>
      <c r="AC44" s="6">
        <v>84385.62</v>
      </c>
      <c r="AD44" s="6">
        <v>7660.89</v>
      </c>
      <c r="AE44" s="6">
        <v>90178.66</v>
      </c>
      <c r="AF44" s="6">
        <v>0</v>
      </c>
      <c r="AG44" s="6">
        <v>90178.66</v>
      </c>
      <c r="AH44" s="10"/>
      <c r="AI44" t="s">
        <v>1168</v>
      </c>
      <c r="AJ44">
        <f t="shared" si="0"/>
        <v>3.75</v>
      </c>
    </row>
    <row r="45" spans="1:42" x14ac:dyDescent="0.25">
      <c r="A45" s="5" t="s">
        <v>3408</v>
      </c>
      <c r="B45" t="s">
        <v>3405</v>
      </c>
      <c r="C45" s="5" t="s">
        <v>979</v>
      </c>
      <c r="D45" s="5" t="s">
        <v>980</v>
      </c>
      <c r="E45" s="5" t="s">
        <v>16</v>
      </c>
      <c r="F45" s="5" t="s">
        <v>17</v>
      </c>
      <c r="G45" s="5" t="s">
        <v>18</v>
      </c>
      <c r="H45" s="5"/>
      <c r="I45" s="5">
        <v>30.85154</v>
      </c>
      <c r="J45" s="5">
        <v>-95.400120000000001</v>
      </c>
      <c r="K45" s="5" t="s">
        <v>981</v>
      </c>
      <c r="L45" s="5" t="s">
        <v>486</v>
      </c>
      <c r="M45" s="5" t="s">
        <v>905</v>
      </c>
      <c r="N45" s="5" t="s">
        <v>982</v>
      </c>
      <c r="O45" s="5"/>
      <c r="P45" s="5" t="s">
        <v>38</v>
      </c>
      <c r="Q45" s="5" t="s">
        <v>916</v>
      </c>
      <c r="R45" s="5" t="s">
        <v>22</v>
      </c>
      <c r="S45" s="4">
        <v>4543.0600000000004</v>
      </c>
      <c r="T45" s="4">
        <v>17203.77</v>
      </c>
      <c r="U45" s="4">
        <v>1549.4</v>
      </c>
      <c r="V45" s="4">
        <v>6700.45</v>
      </c>
      <c r="W45" s="5">
        <v>42400</v>
      </c>
      <c r="X45" s="3">
        <v>10</v>
      </c>
      <c r="Y45" s="3">
        <v>231</v>
      </c>
      <c r="Z45" s="3">
        <v>5</v>
      </c>
      <c r="AA45" s="3">
        <v>236</v>
      </c>
      <c r="AB45" s="3">
        <v>0</v>
      </c>
      <c r="AC45" s="3">
        <v>924</v>
      </c>
      <c r="AD45" s="3">
        <v>0</v>
      </c>
      <c r="AE45" s="3">
        <v>924</v>
      </c>
      <c r="AF45" s="3">
        <v>0</v>
      </c>
      <c r="AG45" s="3">
        <v>924</v>
      </c>
      <c r="AH45" s="2"/>
      <c r="AI45" s="5" t="s">
        <v>1052</v>
      </c>
      <c r="AJ45">
        <f t="shared" si="0"/>
        <v>7.95</v>
      </c>
      <c r="AK45" t="s">
        <v>3408</v>
      </c>
      <c r="AL45" t="s">
        <v>3415</v>
      </c>
      <c r="AM45" t="s">
        <v>3434</v>
      </c>
      <c r="AN45">
        <v>8</v>
      </c>
      <c r="AO45" t="str">
        <f>INDEX('Mireye Site Screen'!BU:BU, MATCH('Top 50'!$AN45, 'Mireye Site Screen'!$A:$A, 0))</f>
        <v>NO-GO (flood)</v>
      </c>
      <c r="AP45" t="str">
        <f>INDEX('Mireye Site Screen'!BV:BV, MATCH('Top 50'!$AN45, 'Mireye Site Screen'!$A:$A, 0))</f>
        <v>Park - spend ~$2k on elevation certificate; revive only if LOMA path viable</v>
      </c>
    </row>
    <row r="46" spans="1:42" hidden="1" x14ac:dyDescent="0.25">
      <c r="B46" t="s">
        <v>3405</v>
      </c>
      <c r="C46" t="s">
        <v>983</v>
      </c>
      <c r="D46" t="s">
        <v>984</v>
      </c>
      <c r="E46" t="s">
        <v>16</v>
      </c>
      <c r="F46" t="s">
        <v>17</v>
      </c>
      <c r="G46" t="s">
        <v>18</v>
      </c>
      <c r="H46" t="s">
        <v>206</v>
      </c>
      <c r="I46">
        <v>33.591359410000003</v>
      </c>
      <c r="J46">
        <v>-99.260072769999894</v>
      </c>
      <c r="K46" t="s">
        <v>985</v>
      </c>
      <c r="L46" t="s">
        <v>487</v>
      </c>
      <c r="M46" t="s">
        <v>905</v>
      </c>
      <c r="N46" t="s">
        <v>986</v>
      </c>
      <c r="O46">
        <v>36</v>
      </c>
      <c r="P46" t="s">
        <v>20</v>
      </c>
      <c r="Q46" t="s">
        <v>840</v>
      </c>
      <c r="R46" t="s">
        <v>37</v>
      </c>
      <c r="S46" s="9">
        <v>111480.26</v>
      </c>
      <c r="T46" s="9">
        <v>164773.62</v>
      </c>
      <c r="U46" s="9">
        <v>32901.230000000003</v>
      </c>
      <c r="V46" s="9">
        <v>43914.86</v>
      </c>
      <c r="W46">
        <v>16690</v>
      </c>
      <c r="X46" s="6">
        <v>54</v>
      </c>
      <c r="Y46" s="6">
        <v>283</v>
      </c>
      <c r="Z46" s="6">
        <v>667</v>
      </c>
      <c r="AA46" s="6">
        <v>950</v>
      </c>
      <c r="AB46" s="6">
        <v>7595</v>
      </c>
      <c r="AC46" s="6">
        <v>25151.77</v>
      </c>
      <c r="AD46" s="6">
        <v>9368.14</v>
      </c>
      <c r="AE46" s="6">
        <v>32746.77</v>
      </c>
      <c r="AF46" s="6">
        <v>45.58</v>
      </c>
      <c r="AG46" s="6">
        <v>32792.35</v>
      </c>
      <c r="AH46" s="10">
        <v>39855</v>
      </c>
      <c r="AI46" t="s">
        <v>1184</v>
      </c>
      <c r="AJ46">
        <f t="shared" si="0"/>
        <v>3.129375</v>
      </c>
    </row>
    <row r="47" spans="1:42" hidden="1" x14ac:dyDescent="0.25">
      <c r="A47" s="5" t="s">
        <v>3408</v>
      </c>
      <c r="B47" t="s">
        <v>3405</v>
      </c>
      <c r="C47" s="5" t="s">
        <v>992</v>
      </c>
      <c r="D47" s="5" t="s">
        <v>993</v>
      </c>
      <c r="E47" s="5" t="s">
        <v>16</v>
      </c>
      <c r="F47" s="5" t="s">
        <v>17</v>
      </c>
      <c r="G47" s="5" t="s">
        <v>18</v>
      </c>
      <c r="H47" s="5"/>
      <c r="I47" s="5">
        <v>29.636252240000001</v>
      </c>
      <c r="J47" s="5">
        <v>-95.598181319999895</v>
      </c>
      <c r="K47" s="5" t="s">
        <v>994</v>
      </c>
      <c r="L47" s="5" t="s">
        <v>990</v>
      </c>
      <c r="M47" s="5" t="s">
        <v>905</v>
      </c>
      <c r="N47" s="5" t="s">
        <v>995</v>
      </c>
      <c r="O47" s="5">
        <v>26</v>
      </c>
      <c r="P47" s="5" t="s">
        <v>20</v>
      </c>
      <c r="Q47" s="5" t="s">
        <v>921</v>
      </c>
      <c r="R47" s="5" t="s">
        <v>22</v>
      </c>
      <c r="S47" s="4">
        <v>26919.01</v>
      </c>
      <c r="T47" s="4">
        <v>110332.84</v>
      </c>
      <c r="U47" s="4">
        <v>10148.719999999999</v>
      </c>
      <c r="V47" s="4">
        <v>33553.730000000003</v>
      </c>
      <c r="W47" s="5">
        <v>20815</v>
      </c>
      <c r="X47" s="3">
        <v>159</v>
      </c>
      <c r="Y47" s="3">
        <v>393</v>
      </c>
      <c r="Z47" s="3">
        <v>228</v>
      </c>
      <c r="AA47" s="3">
        <v>621</v>
      </c>
      <c r="AB47" s="3">
        <v>60980.73</v>
      </c>
      <c r="AC47" s="3">
        <v>142333.73000000001</v>
      </c>
      <c r="AD47" s="3">
        <v>30063.88</v>
      </c>
      <c r="AE47" s="3">
        <v>203314.46</v>
      </c>
      <c r="AF47" s="3">
        <v>3824.02</v>
      </c>
      <c r="AG47" s="3">
        <v>207138.48</v>
      </c>
      <c r="AH47" s="2"/>
      <c r="AI47" s="5" t="s">
        <v>1053</v>
      </c>
      <c r="AJ47">
        <f t="shared" si="0"/>
        <v>3.9028125</v>
      </c>
      <c r="AK47" t="s">
        <v>3408</v>
      </c>
      <c r="AL47" t="s">
        <v>3429</v>
      </c>
      <c r="AM47" t="s">
        <v>3435</v>
      </c>
      <c r="AO47">
        <v>2</v>
      </c>
    </row>
    <row r="48" spans="1:42" hidden="1" x14ac:dyDescent="0.25">
      <c r="B48" t="s">
        <v>3405</v>
      </c>
      <c r="C48" t="s">
        <v>987</v>
      </c>
      <c r="D48" t="s">
        <v>988</v>
      </c>
      <c r="E48" t="s">
        <v>16</v>
      </c>
      <c r="F48" t="s">
        <v>17</v>
      </c>
      <c r="G48" t="s">
        <v>18</v>
      </c>
      <c r="I48">
        <v>29.586081669999899</v>
      </c>
      <c r="J48">
        <v>-95.62071487</v>
      </c>
      <c r="K48" t="s">
        <v>989</v>
      </c>
      <c r="L48" t="s">
        <v>990</v>
      </c>
      <c r="M48" t="s">
        <v>905</v>
      </c>
      <c r="N48" t="s">
        <v>991</v>
      </c>
      <c r="O48">
        <v>2946</v>
      </c>
      <c r="P48" t="s">
        <v>20</v>
      </c>
      <c r="Q48" t="s">
        <v>921</v>
      </c>
      <c r="R48" t="s">
        <v>22</v>
      </c>
      <c r="S48" s="9">
        <v>27441.88</v>
      </c>
      <c r="T48" s="9">
        <v>52597.95</v>
      </c>
      <c r="U48" s="9">
        <v>6637.73</v>
      </c>
      <c r="V48" s="9">
        <v>13311.14</v>
      </c>
      <c r="W48">
        <v>20000</v>
      </c>
      <c r="X48" s="6">
        <v>64</v>
      </c>
      <c r="Y48" s="6">
        <v>718</v>
      </c>
      <c r="Z48" s="6">
        <v>368</v>
      </c>
      <c r="AA48" s="6">
        <v>1086</v>
      </c>
      <c r="AB48" s="6">
        <v>10990.23</v>
      </c>
      <c r="AC48" s="6">
        <v>14205.04</v>
      </c>
      <c r="AD48" s="6">
        <v>21875.66</v>
      </c>
      <c r="AE48" s="6">
        <v>25195.27</v>
      </c>
      <c r="AF48" s="6">
        <v>0</v>
      </c>
      <c r="AG48" s="6">
        <v>25195.27</v>
      </c>
      <c r="AH48" s="10"/>
      <c r="AI48" t="s">
        <v>1185</v>
      </c>
      <c r="AJ48">
        <f t="shared" si="0"/>
        <v>3.75</v>
      </c>
    </row>
    <row r="49" spans="1:42" hidden="1" x14ac:dyDescent="0.25">
      <c r="B49" t="s">
        <v>3405</v>
      </c>
      <c r="C49" t="s">
        <v>996</v>
      </c>
      <c r="D49" t="s">
        <v>997</v>
      </c>
      <c r="E49" t="s">
        <v>16</v>
      </c>
      <c r="F49" t="s">
        <v>17</v>
      </c>
      <c r="G49" t="s">
        <v>18</v>
      </c>
      <c r="I49">
        <v>29.03860427</v>
      </c>
      <c r="J49">
        <v>-95.699573689999895</v>
      </c>
      <c r="K49" t="s">
        <v>998</v>
      </c>
      <c r="L49" t="s">
        <v>999</v>
      </c>
      <c r="M49" t="s">
        <v>905</v>
      </c>
      <c r="N49" t="s">
        <v>1000</v>
      </c>
      <c r="O49">
        <v>3225</v>
      </c>
      <c r="P49" t="s">
        <v>20</v>
      </c>
      <c r="Q49" t="s">
        <v>921</v>
      </c>
      <c r="R49" t="s">
        <v>22</v>
      </c>
      <c r="S49" s="9">
        <v>26297.8</v>
      </c>
      <c r="T49" s="9">
        <v>24504.66</v>
      </c>
      <c r="U49" s="9">
        <v>24898.86</v>
      </c>
      <c r="V49" s="9">
        <v>11673.25</v>
      </c>
      <c r="W49">
        <v>12000</v>
      </c>
      <c r="X49" s="6">
        <v>29</v>
      </c>
      <c r="Y49" s="6">
        <v>371</v>
      </c>
      <c r="Z49" s="6">
        <v>528</v>
      </c>
      <c r="AA49" s="6">
        <v>899</v>
      </c>
      <c r="AB49" s="6">
        <v>4759</v>
      </c>
      <c r="AC49" s="6">
        <v>4056.82</v>
      </c>
      <c r="AD49" s="6">
        <v>0</v>
      </c>
      <c r="AE49" s="6">
        <v>8815.82</v>
      </c>
      <c r="AF49" s="6">
        <v>0</v>
      </c>
      <c r="AG49" s="6">
        <v>8815.82</v>
      </c>
      <c r="AH49" s="10">
        <v>42881</v>
      </c>
      <c r="AI49" t="s">
        <v>1186</v>
      </c>
      <c r="AJ49">
        <f t="shared" si="0"/>
        <v>2.25</v>
      </c>
    </row>
    <row r="50" spans="1:42" hidden="1" x14ac:dyDescent="0.25">
      <c r="B50" t="s">
        <v>3405</v>
      </c>
      <c r="C50" t="s">
        <v>494</v>
      </c>
      <c r="D50" t="s">
        <v>495</v>
      </c>
      <c r="E50" t="s">
        <v>16</v>
      </c>
      <c r="F50" t="s">
        <v>17</v>
      </c>
      <c r="G50" t="s">
        <v>18</v>
      </c>
      <c r="I50">
        <v>41.98152657</v>
      </c>
      <c r="J50">
        <v>-92.581265619999897</v>
      </c>
      <c r="K50" t="s">
        <v>496</v>
      </c>
      <c r="L50" t="s">
        <v>493</v>
      </c>
      <c r="M50" t="s">
        <v>328</v>
      </c>
      <c r="N50" t="s">
        <v>497</v>
      </c>
      <c r="O50">
        <v>43</v>
      </c>
      <c r="P50" t="s">
        <v>20</v>
      </c>
      <c r="Q50" t="s">
        <v>329</v>
      </c>
      <c r="R50" t="s">
        <v>22</v>
      </c>
      <c r="S50" s="9">
        <v>48301.87</v>
      </c>
      <c r="T50" s="9">
        <v>40500.03</v>
      </c>
      <c r="U50" s="9">
        <v>7029.58</v>
      </c>
      <c r="V50" s="9">
        <v>13546.64</v>
      </c>
      <c r="W50">
        <v>13998</v>
      </c>
      <c r="X50" s="6">
        <v>23</v>
      </c>
      <c r="Y50" s="6">
        <v>211</v>
      </c>
      <c r="Z50" s="6">
        <v>434</v>
      </c>
      <c r="AA50" s="6">
        <v>645</v>
      </c>
      <c r="AB50" s="6">
        <v>1471.7</v>
      </c>
      <c r="AC50" s="6">
        <v>11634.8</v>
      </c>
      <c r="AD50" s="6">
        <v>20688.400000000001</v>
      </c>
      <c r="AE50" s="6">
        <v>13106.5</v>
      </c>
      <c r="AF50" s="6">
        <v>21</v>
      </c>
      <c r="AG50" s="6">
        <v>13127.5</v>
      </c>
      <c r="AH50" s="10"/>
      <c r="AI50" t="s">
        <v>1022</v>
      </c>
      <c r="AJ50">
        <f t="shared" si="0"/>
        <v>2.624625</v>
      </c>
    </row>
    <row r="51" spans="1:42" hidden="1" x14ac:dyDescent="0.25">
      <c r="A51" s="5" t="s">
        <v>3408</v>
      </c>
      <c r="B51" t="s">
        <v>3405</v>
      </c>
      <c r="C51" s="5" t="s">
        <v>892</v>
      </c>
      <c r="D51" s="5" t="s">
        <v>893</v>
      </c>
      <c r="E51" s="5" t="s">
        <v>16</v>
      </c>
      <c r="F51" s="5" t="s">
        <v>17</v>
      </c>
      <c r="G51" s="5" t="s">
        <v>18</v>
      </c>
      <c r="H51" s="5"/>
      <c r="I51" s="5">
        <v>36.057571789999898</v>
      </c>
      <c r="J51" s="5">
        <v>-95.869010619999898</v>
      </c>
      <c r="K51" s="5" t="s">
        <v>894</v>
      </c>
      <c r="L51" s="5" t="s">
        <v>895</v>
      </c>
      <c r="M51" s="5" t="s">
        <v>838</v>
      </c>
      <c r="N51" s="5" t="s">
        <v>896</v>
      </c>
      <c r="O51" s="5">
        <v>2730</v>
      </c>
      <c r="P51" s="5" t="s">
        <v>20</v>
      </c>
      <c r="Q51" s="5" t="s">
        <v>840</v>
      </c>
      <c r="R51" s="5" t="s">
        <v>22</v>
      </c>
      <c r="S51" s="4">
        <v>62023.19</v>
      </c>
      <c r="T51" s="4">
        <v>183555.22</v>
      </c>
      <c r="U51" s="4">
        <v>26118.34</v>
      </c>
      <c r="V51" s="4">
        <v>57091.68</v>
      </c>
      <c r="W51" s="5">
        <v>13599</v>
      </c>
      <c r="X51" s="3">
        <v>226</v>
      </c>
      <c r="Y51" s="3">
        <v>708</v>
      </c>
      <c r="Z51" s="3">
        <v>415</v>
      </c>
      <c r="AA51" s="3">
        <v>1123</v>
      </c>
      <c r="AB51" s="3">
        <v>83353.69</v>
      </c>
      <c r="AC51" s="3">
        <v>95058.36</v>
      </c>
      <c r="AD51" s="3">
        <v>68553.960000000006</v>
      </c>
      <c r="AE51" s="3">
        <v>178412.05</v>
      </c>
      <c r="AF51" s="3">
        <v>0</v>
      </c>
      <c r="AG51" s="3">
        <v>178412.05</v>
      </c>
      <c r="AH51" s="2"/>
      <c r="AI51" s="5" t="s">
        <v>1173</v>
      </c>
      <c r="AJ51">
        <f t="shared" si="0"/>
        <v>2.5498124999999998</v>
      </c>
    </row>
    <row r="52" spans="1:42" hidden="1" x14ac:dyDescent="0.25">
      <c r="B52" t="s">
        <v>3405</v>
      </c>
      <c r="C52" t="s">
        <v>3403</v>
      </c>
      <c r="E52" t="s">
        <v>16</v>
      </c>
      <c r="F52" t="s">
        <v>17</v>
      </c>
      <c r="G52" t="s">
        <v>18</v>
      </c>
      <c r="I52">
        <v>41.3112491199999</v>
      </c>
      <c r="J52">
        <v>-81.442344449999894</v>
      </c>
      <c r="K52" t="s">
        <v>828</v>
      </c>
      <c r="L52" t="s">
        <v>829</v>
      </c>
      <c r="M52" t="s">
        <v>675</v>
      </c>
      <c r="N52" t="s">
        <v>830</v>
      </c>
      <c r="O52">
        <v>2712</v>
      </c>
      <c r="P52" t="s">
        <v>20</v>
      </c>
      <c r="Q52" t="s">
        <v>676</v>
      </c>
      <c r="R52" t="s">
        <v>37</v>
      </c>
      <c r="S52" s="9">
        <v>0</v>
      </c>
      <c r="T52" s="9">
        <v>0</v>
      </c>
      <c r="U52" s="9">
        <v>0</v>
      </c>
      <c r="V52" s="9">
        <v>0</v>
      </c>
      <c r="W52">
        <v>20000</v>
      </c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10"/>
      <c r="AI52" t="s">
        <v>1168</v>
      </c>
      <c r="AJ52">
        <f t="shared" si="0"/>
        <v>3.75</v>
      </c>
    </row>
    <row r="53" spans="1:42" hidden="1" x14ac:dyDescent="0.25">
      <c r="B53" t="s">
        <v>3405</v>
      </c>
      <c r="C53" t="s">
        <v>3300</v>
      </c>
      <c r="E53" t="s">
        <v>16</v>
      </c>
      <c r="F53" t="s">
        <v>17</v>
      </c>
      <c r="G53" t="s">
        <v>18</v>
      </c>
      <c r="I53">
        <v>35.49846823</v>
      </c>
      <c r="J53">
        <v>-94.971458600000005</v>
      </c>
      <c r="K53" t="s">
        <v>898</v>
      </c>
      <c r="L53" t="s">
        <v>897</v>
      </c>
      <c r="M53" t="s">
        <v>838</v>
      </c>
      <c r="N53" t="s">
        <v>899</v>
      </c>
      <c r="P53" t="s">
        <v>38</v>
      </c>
      <c r="Q53" t="s">
        <v>858</v>
      </c>
      <c r="R53" t="s">
        <v>22</v>
      </c>
      <c r="S53" s="9">
        <v>0</v>
      </c>
      <c r="T53" s="9">
        <v>0</v>
      </c>
      <c r="U53" s="9">
        <v>0</v>
      </c>
      <c r="V53" s="9">
        <v>0</v>
      </c>
      <c r="W53">
        <v>12000</v>
      </c>
      <c r="X53" s="6">
        <v>13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760</v>
      </c>
      <c r="AG53" s="6">
        <v>760</v>
      </c>
      <c r="AH53" s="10">
        <v>36503</v>
      </c>
      <c r="AI53" t="s">
        <v>1172</v>
      </c>
      <c r="AJ53">
        <f t="shared" si="0"/>
        <v>2.25</v>
      </c>
    </row>
    <row r="54" spans="1:42" hidden="1" x14ac:dyDescent="0.25">
      <c r="B54" t="s">
        <v>3406</v>
      </c>
      <c r="C54" t="s">
        <v>323</v>
      </c>
      <c r="D54" t="s">
        <v>324</v>
      </c>
      <c r="E54" t="s">
        <v>16</v>
      </c>
      <c r="F54" t="s">
        <v>17</v>
      </c>
      <c r="G54" t="s">
        <v>18</v>
      </c>
      <c r="I54">
        <v>33.99464785</v>
      </c>
      <c r="J54">
        <v>-83.721187850000007</v>
      </c>
      <c r="K54" t="s">
        <v>325</v>
      </c>
      <c r="L54" t="s">
        <v>326</v>
      </c>
      <c r="M54" t="s">
        <v>120</v>
      </c>
      <c r="N54" t="s">
        <v>327</v>
      </c>
      <c r="O54">
        <v>92</v>
      </c>
      <c r="P54" t="s">
        <v>20</v>
      </c>
      <c r="Q54" t="s">
        <v>121</v>
      </c>
      <c r="R54" t="s">
        <v>22</v>
      </c>
      <c r="S54" s="9">
        <v>39493.07</v>
      </c>
      <c r="T54" s="9">
        <v>149148.35</v>
      </c>
      <c r="U54" s="9">
        <v>3438.86</v>
      </c>
      <c r="V54" s="9">
        <v>45265.02</v>
      </c>
      <c r="W54">
        <v>7771</v>
      </c>
      <c r="X54" s="6">
        <v>119</v>
      </c>
      <c r="Y54" s="6">
        <v>509</v>
      </c>
      <c r="Z54" s="6">
        <v>2027</v>
      </c>
      <c r="AA54" s="6">
        <v>2536</v>
      </c>
      <c r="AB54" s="6">
        <v>107959.85</v>
      </c>
      <c r="AC54" s="6">
        <v>57589.49</v>
      </c>
      <c r="AD54" s="6">
        <v>150609.51999999999</v>
      </c>
      <c r="AE54" s="6">
        <v>165549.34</v>
      </c>
      <c r="AF54" s="6">
        <v>0</v>
      </c>
      <c r="AG54" s="6">
        <v>165549.34</v>
      </c>
      <c r="AH54" s="10"/>
      <c r="AI54" t="s">
        <v>1105</v>
      </c>
      <c r="AJ54">
        <f t="shared" si="0"/>
        <v>1.4570624999999999</v>
      </c>
    </row>
    <row r="55" spans="1:42" hidden="1" x14ac:dyDescent="0.25">
      <c r="A55" s="5" t="s">
        <v>3408</v>
      </c>
      <c r="B55" t="s">
        <v>3405</v>
      </c>
      <c r="C55" s="5" t="s">
        <v>833</v>
      </c>
      <c r="D55" s="5" t="s">
        <v>834</v>
      </c>
      <c r="E55" s="5" t="s">
        <v>16</v>
      </c>
      <c r="F55" s="5" t="s">
        <v>17</v>
      </c>
      <c r="G55" s="5" t="s">
        <v>18</v>
      </c>
      <c r="H55" s="5"/>
      <c r="I55" s="5">
        <v>41.86554916</v>
      </c>
      <c r="J55" s="5">
        <v>-80.783442190000002</v>
      </c>
      <c r="K55" s="5" t="s">
        <v>835</v>
      </c>
      <c r="L55" s="5" t="s">
        <v>836</v>
      </c>
      <c r="M55" s="5" t="s">
        <v>675</v>
      </c>
      <c r="N55" s="5" t="s">
        <v>837</v>
      </c>
      <c r="O55" s="5">
        <v>3549</v>
      </c>
      <c r="P55" s="5" t="s">
        <v>20</v>
      </c>
      <c r="Q55" s="5" t="s">
        <v>676</v>
      </c>
      <c r="R55" s="5" t="s">
        <v>22</v>
      </c>
      <c r="S55" s="4">
        <v>51649.4</v>
      </c>
      <c r="T55" s="4">
        <v>96181.38</v>
      </c>
      <c r="U55" s="4">
        <v>19265.16</v>
      </c>
      <c r="V55" s="4">
        <v>36680.53</v>
      </c>
      <c r="W55" s="5">
        <v>30000</v>
      </c>
      <c r="X55" s="3">
        <v>125</v>
      </c>
      <c r="Y55" s="3">
        <v>722</v>
      </c>
      <c r="Z55" s="3">
        <v>633</v>
      </c>
      <c r="AA55" s="3">
        <v>1355</v>
      </c>
      <c r="AB55" s="3">
        <v>3866</v>
      </c>
      <c r="AC55" s="3">
        <v>30884.12</v>
      </c>
      <c r="AD55" s="3">
        <v>10543.4</v>
      </c>
      <c r="AE55" s="3">
        <v>34750.120000000003</v>
      </c>
      <c r="AF55" s="3">
        <v>0</v>
      </c>
      <c r="AG55" s="3">
        <v>34750.120000000003</v>
      </c>
      <c r="AH55" s="2">
        <v>42984</v>
      </c>
      <c r="AI55" s="5" t="s">
        <v>1040</v>
      </c>
      <c r="AJ55">
        <f t="shared" si="0"/>
        <v>5.625</v>
      </c>
      <c r="AK55" t="s">
        <v>3408</v>
      </c>
      <c r="AL55" t="s">
        <v>3430</v>
      </c>
      <c r="AM55" t="s">
        <v>3436</v>
      </c>
      <c r="AP55" t="e">
        <f>INDEX('Mireye Site Screen'!BU:BU, MATCH('Top 50'!$I55, 'Mireye Site Screen'!$C:$C, 0))</f>
        <v>#N/A</v>
      </c>
    </row>
  </sheetData>
  <autoFilter ref="A6:AO55" xr:uid="{6C1CBB67-4F81-4C3A-A046-4189F46CCF1D}">
    <filterColumn colId="37">
      <filters>
        <filter val="Low"/>
        <filter val="Strong"/>
      </filters>
    </filterColumn>
  </autoFilter>
  <conditionalFormatting sqref="C7:C55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A079B-8F66-481A-83E3-37A913FBEE89}">
  <dimension ref="A1:BV12"/>
  <sheetViews>
    <sheetView topLeftCell="BJ1" workbookViewId="0">
      <selection activeCell="BV8" sqref="BV8"/>
    </sheetView>
  </sheetViews>
  <sheetFormatPr defaultRowHeight="15" x14ac:dyDescent="0.25"/>
  <cols>
    <col min="2" max="2" width="30" customWidth="1"/>
    <col min="3" max="4" width="11" customWidth="1"/>
    <col min="5" max="5" width="22" customWidth="1"/>
    <col min="6" max="6" width="20" customWidth="1"/>
    <col min="7" max="7" width="24" customWidth="1"/>
    <col min="8" max="8" width="18" customWidth="1"/>
    <col min="9" max="11" width="11" customWidth="1"/>
    <col min="12" max="12" width="36" customWidth="1"/>
    <col min="13" max="13" width="22" customWidth="1"/>
    <col min="14" max="14" width="30" customWidth="1"/>
    <col min="15" max="20" width="11" customWidth="1"/>
    <col min="21" max="21" width="20" customWidth="1"/>
    <col min="22" max="30" width="11" customWidth="1"/>
    <col min="31" max="31" width="16" customWidth="1"/>
    <col min="32" max="32" width="11" customWidth="1"/>
    <col min="33" max="33" width="18" customWidth="1"/>
    <col min="34" max="36" width="11" customWidth="1"/>
    <col min="37" max="37" width="22" customWidth="1"/>
    <col min="38" max="46" width="11" customWidth="1"/>
    <col min="47" max="47" width="18" customWidth="1"/>
    <col min="48" max="54" width="11" customWidth="1"/>
    <col min="55" max="55" width="22" customWidth="1"/>
    <col min="56" max="56" width="16" customWidth="1"/>
    <col min="57" max="57" width="22" customWidth="1"/>
    <col min="58" max="58" width="11" customWidth="1"/>
    <col min="59" max="59" width="16" customWidth="1"/>
    <col min="60" max="60" width="22" customWidth="1"/>
    <col min="61" max="68" width="11" customWidth="1"/>
    <col min="69" max="69" width="24" customWidth="1"/>
    <col min="70" max="70" width="11" customWidth="1"/>
    <col min="71" max="71" width="48" customWidth="1"/>
    <col min="72" max="72" width="52" customWidth="1"/>
    <col min="73" max="73" width="14" customWidth="1"/>
    <col min="74" max="74" width="42" customWidth="1"/>
  </cols>
  <sheetData>
    <row r="1" spans="1:74" x14ac:dyDescent="0.25">
      <c r="B1" s="41" t="s">
        <v>3442</v>
      </c>
      <c r="C1" s="42"/>
      <c r="D1" s="42"/>
      <c r="E1" s="42"/>
      <c r="F1" s="33" t="s">
        <v>3443</v>
      </c>
      <c r="G1" s="34"/>
      <c r="H1" s="34"/>
      <c r="I1" s="34"/>
      <c r="J1" s="34"/>
      <c r="K1" s="34"/>
      <c r="L1" s="34"/>
      <c r="M1" s="39" t="s">
        <v>3444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7" t="s">
        <v>3445</v>
      </c>
      <c r="AA1" s="48"/>
      <c r="AB1" s="48"/>
      <c r="AC1" s="48"/>
      <c r="AD1" s="48"/>
      <c r="AE1" s="48"/>
      <c r="AF1" s="31" t="s">
        <v>3446</v>
      </c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5" t="s">
        <v>3447</v>
      </c>
      <c r="AR1" s="36"/>
      <c r="AS1" s="36"/>
      <c r="AT1" s="36"/>
      <c r="AU1" s="45" t="s">
        <v>3448</v>
      </c>
      <c r="AV1" s="46"/>
      <c r="AW1" s="46"/>
      <c r="AX1" s="46"/>
      <c r="AY1" s="46"/>
      <c r="AZ1" s="46"/>
      <c r="BA1" s="46"/>
      <c r="BB1" s="46"/>
      <c r="BC1" s="46"/>
      <c r="BD1" s="37" t="s">
        <v>3449</v>
      </c>
      <c r="BE1" s="38"/>
      <c r="BF1" s="38"/>
      <c r="BG1" s="38"/>
      <c r="BH1" s="38"/>
      <c r="BI1" s="38"/>
      <c r="BJ1" s="38"/>
      <c r="BK1" s="49" t="s">
        <v>3450</v>
      </c>
      <c r="BL1" s="50"/>
      <c r="BM1" s="43" t="s">
        <v>3451</v>
      </c>
      <c r="BN1" s="44"/>
      <c r="BO1" s="44"/>
      <c r="BP1" s="44"/>
      <c r="BQ1" s="44"/>
      <c r="BR1" s="29" t="s">
        <v>3452</v>
      </c>
      <c r="BS1" s="30"/>
      <c r="BT1" s="30"/>
      <c r="BU1" s="30"/>
      <c r="BV1" s="30"/>
    </row>
    <row r="2" spans="1:74" ht="39.950000000000003" customHeight="1" x14ac:dyDescent="0.25">
      <c r="A2" t="s">
        <v>3688</v>
      </c>
      <c r="B2" s="27" t="s">
        <v>3442</v>
      </c>
      <c r="C2" s="27" t="s">
        <v>3453</v>
      </c>
      <c r="D2" s="27" t="s">
        <v>3454</v>
      </c>
      <c r="E2" s="27" t="s">
        <v>3455</v>
      </c>
      <c r="F2" s="27" t="s">
        <v>3456</v>
      </c>
      <c r="G2" s="27" t="s">
        <v>3457</v>
      </c>
      <c r="H2" s="27" t="s">
        <v>3458</v>
      </c>
      <c r="I2" s="27" t="s">
        <v>3459</v>
      </c>
      <c r="J2" s="27" t="s">
        <v>3460</v>
      </c>
      <c r="K2" s="27" t="s">
        <v>3461</v>
      </c>
      <c r="L2" s="27" t="s">
        <v>3462</v>
      </c>
      <c r="M2" s="27" t="s">
        <v>3463</v>
      </c>
      <c r="N2" s="27" t="s">
        <v>3464</v>
      </c>
      <c r="O2" s="27" t="s">
        <v>3465</v>
      </c>
      <c r="P2" s="27" t="s">
        <v>3466</v>
      </c>
      <c r="Q2" s="27" t="s">
        <v>3467</v>
      </c>
      <c r="R2" s="27" t="s">
        <v>3468</v>
      </c>
      <c r="S2" s="27" t="s">
        <v>3469</v>
      </c>
      <c r="T2" s="27" t="s">
        <v>3470</v>
      </c>
      <c r="U2" s="27" t="s">
        <v>3471</v>
      </c>
      <c r="V2" s="27" t="s">
        <v>3472</v>
      </c>
      <c r="W2" s="27" t="s">
        <v>3473</v>
      </c>
      <c r="X2" s="27" t="s">
        <v>3474</v>
      </c>
      <c r="Y2" s="27" t="s">
        <v>3475</v>
      </c>
      <c r="Z2" s="27" t="s">
        <v>3476</v>
      </c>
      <c r="AA2" s="27" t="s">
        <v>3477</v>
      </c>
      <c r="AB2" s="27" t="s">
        <v>3478</v>
      </c>
      <c r="AC2" s="27" t="s">
        <v>3479</v>
      </c>
      <c r="AD2" s="27" t="s">
        <v>3480</v>
      </c>
      <c r="AE2" s="27" t="s">
        <v>3481</v>
      </c>
      <c r="AF2" s="27" t="s">
        <v>3482</v>
      </c>
      <c r="AG2" s="27" t="s">
        <v>3483</v>
      </c>
      <c r="AH2" s="27" t="s">
        <v>3484</v>
      </c>
      <c r="AI2" s="27" t="s">
        <v>3485</v>
      </c>
      <c r="AJ2" s="27" t="s">
        <v>3486</v>
      </c>
      <c r="AK2" s="27" t="s">
        <v>3487</v>
      </c>
      <c r="AL2" s="27" t="s">
        <v>3488</v>
      </c>
      <c r="AM2" s="27" t="s">
        <v>3489</v>
      </c>
      <c r="AN2" s="27" t="s">
        <v>3490</v>
      </c>
      <c r="AO2" s="27" t="s">
        <v>3491</v>
      </c>
      <c r="AP2" s="27" t="s">
        <v>3492</v>
      </c>
      <c r="AQ2" s="27" t="s">
        <v>3493</v>
      </c>
      <c r="AR2" s="27" t="s">
        <v>3494</v>
      </c>
      <c r="AS2" s="27" t="s">
        <v>3495</v>
      </c>
      <c r="AT2" s="27" t="s">
        <v>3496</v>
      </c>
      <c r="AU2" s="27" t="s">
        <v>3497</v>
      </c>
      <c r="AV2" s="27" t="s">
        <v>3498</v>
      </c>
      <c r="AW2" s="27" t="s">
        <v>3499</v>
      </c>
      <c r="AX2" s="27" t="s">
        <v>3500</v>
      </c>
      <c r="AY2" s="27" t="s">
        <v>3501</v>
      </c>
      <c r="AZ2" s="27" t="s">
        <v>3502</v>
      </c>
      <c r="BA2" s="27" t="s">
        <v>3503</v>
      </c>
      <c r="BB2" s="27" t="s">
        <v>3504</v>
      </c>
      <c r="BC2" s="27" t="s">
        <v>3505</v>
      </c>
      <c r="BD2" s="27" t="s">
        <v>3506</v>
      </c>
      <c r="BE2" s="27" t="s">
        <v>3507</v>
      </c>
      <c r="BF2" s="27" t="s">
        <v>3508</v>
      </c>
      <c r="BG2" s="27" t="s">
        <v>3509</v>
      </c>
      <c r="BH2" s="27" t="s">
        <v>3510</v>
      </c>
      <c r="BI2" s="27" t="s">
        <v>3511</v>
      </c>
      <c r="BJ2" s="27" t="s">
        <v>3512</v>
      </c>
      <c r="BK2" s="27" t="s">
        <v>3513</v>
      </c>
      <c r="BL2" s="27" t="s">
        <v>3514</v>
      </c>
      <c r="BM2" s="27" t="s">
        <v>3515</v>
      </c>
      <c r="BN2" s="27" t="s">
        <v>3516</v>
      </c>
      <c r="BO2" s="27" t="s">
        <v>3517</v>
      </c>
      <c r="BP2" s="27" t="s">
        <v>3518</v>
      </c>
      <c r="BQ2" s="27" t="s">
        <v>3519</v>
      </c>
      <c r="BR2" s="27" t="s">
        <v>3520</v>
      </c>
      <c r="BS2" s="27" t="s">
        <v>3521</v>
      </c>
      <c r="BT2" s="27" t="s">
        <v>3522</v>
      </c>
      <c r="BU2" s="27" t="s">
        <v>3523</v>
      </c>
      <c r="BV2" s="27" t="s">
        <v>3524</v>
      </c>
    </row>
    <row r="3" spans="1:74" ht="48" x14ac:dyDescent="0.25">
      <c r="B3" s="16" t="s">
        <v>3684</v>
      </c>
      <c r="C3" s="17">
        <v>38.4758</v>
      </c>
      <c r="D3" s="17">
        <v>-82.64385</v>
      </c>
      <c r="E3" s="16" t="s">
        <v>3683</v>
      </c>
      <c r="F3" s="23" t="s">
        <v>3641</v>
      </c>
      <c r="G3" s="22" t="s">
        <v>3641</v>
      </c>
      <c r="H3" s="23" t="s">
        <v>3641</v>
      </c>
      <c r="I3" s="17" t="s">
        <v>3682</v>
      </c>
      <c r="J3" s="18">
        <v>4388.49</v>
      </c>
      <c r="K3" s="19">
        <f t="shared" ref="K3:K11" si="0">J3/4046.856</f>
        <v>1.0844196087036453</v>
      </c>
      <c r="L3" s="16" t="s">
        <v>3681</v>
      </c>
      <c r="M3" s="22" t="s">
        <v>3641</v>
      </c>
      <c r="N3" s="16" t="s">
        <v>3680</v>
      </c>
      <c r="O3" s="20">
        <v>7.2999999999999995E-2</v>
      </c>
      <c r="P3" s="18">
        <v>639480</v>
      </c>
      <c r="Q3" s="18">
        <v>1446.8</v>
      </c>
      <c r="R3" s="17">
        <v>69</v>
      </c>
      <c r="S3" s="18">
        <v>695.8</v>
      </c>
      <c r="T3" s="17">
        <v>69</v>
      </c>
      <c r="U3" s="17" t="s">
        <v>3680</v>
      </c>
      <c r="V3" s="17">
        <v>69</v>
      </c>
      <c r="W3" s="17">
        <v>15</v>
      </c>
      <c r="X3" s="17" t="s">
        <v>3533</v>
      </c>
      <c r="Y3" s="23" t="s">
        <v>3528</v>
      </c>
      <c r="Z3" s="18">
        <v>6713.6</v>
      </c>
      <c r="AA3" s="18">
        <v>6713.6</v>
      </c>
      <c r="AB3" s="19">
        <v>4.51</v>
      </c>
      <c r="AC3" s="19">
        <v>73</v>
      </c>
      <c r="AD3" s="19">
        <v>41.32</v>
      </c>
      <c r="AE3" s="16" t="s">
        <v>3533</v>
      </c>
      <c r="AF3" s="17" t="s">
        <v>3441</v>
      </c>
      <c r="AG3" s="16" t="s">
        <v>3534</v>
      </c>
      <c r="AH3" s="17" t="s">
        <v>3554</v>
      </c>
      <c r="AI3" s="19">
        <v>0.13500000000000001</v>
      </c>
      <c r="AJ3" s="17">
        <v>112</v>
      </c>
      <c r="AK3" s="16" t="s">
        <v>3534</v>
      </c>
      <c r="AL3" s="18">
        <v>9078.4</v>
      </c>
      <c r="AM3" s="17" t="s">
        <v>3555</v>
      </c>
      <c r="AN3" s="17">
        <v>2</v>
      </c>
      <c r="AO3" s="17" t="s">
        <v>3437</v>
      </c>
      <c r="AP3" s="19">
        <v>1.21</v>
      </c>
      <c r="AQ3" s="19">
        <v>25</v>
      </c>
      <c r="AR3" s="17">
        <v>28</v>
      </c>
      <c r="AS3" s="18">
        <v>4531</v>
      </c>
      <c r="AT3" s="18">
        <v>3434</v>
      </c>
      <c r="AU3" s="16" t="s">
        <v>3534</v>
      </c>
      <c r="AV3" s="23" t="s">
        <v>3528</v>
      </c>
      <c r="AW3" s="16" t="s">
        <v>3534</v>
      </c>
      <c r="AX3" s="17">
        <v>10</v>
      </c>
      <c r="AY3" s="17">
        <v>21</v>
      </c>
      <c r="AZ3" s="17">
        <v>34</v>
      </c>
      <c r="BA3" s="17">
        <v>0</v>
      </c>
      <c r="BB3" s="16" t="s">
        <v>3534</v>
      </c>
      <c r="BC3" s="17" t="s">
        <v>3536</v>
      </c>
      <c r="BD3" s="16" t="s">
        <v>3538</v>
      </c>
      <c r="BE3" s="16" t="s">
        <v>3679</v>
      </c>
      <c r="BF3" s="18">
        <v>44402</v>
      </c>
      <c r="BG3" s="16" t="s">
        <v>3538</v>
      </c>
      <c r="BH3" s="16" t="s">
        <v>520</v>
      </c>
      <c r="BI3" s="18">
        <v>1771</v>
      </c>
      <c r="BJ3" s="18">
        <v>21481</v>
      </c>
      <c r="BK3" s="17">
        <v>2</v>
      </c>
      <c r="BL3" s="17" t="s">
        <v>3540</v>
      </c>
      <c r="BM3" s="18">
        <v>1735</v>
      </c>
      <c r="BN3" s="19">
        <v>381.1</v>
      </c>
      <c r="BO3" s="17" t="s">
        <v>3541</v>
      </c>
      <c r="BP3" s="18">
        <v>221</v>
      </c>
      <c r="BQ3" s="16" t="s">
        <v>3678</v>
      </c>
      <c r="BR3" s="17">
        <v>9</v>
      </c>
      <c r="BS3" s="16" t="s">
        <v>3677</v>
      </c>
      <c r="BT3" s="16" t="s">
        <v>3676</v>
      </c>
      <c r="BU3" s="21" t="s">
        <v>3665</v>
      </c>
      <c r="BV3" s="16" t="s">
        <v>3675</v>
      </c>
    </row>
    <row r="4" spans="1:74" ht="36" x14ac:dyDescent="0.25">
      <c r="A4">
        <v>1</v>
      </c>
      <c r="B4" s="16" t="s">
        <v>3525</v>
      </c>
      <c r="C4" s="17">
        <v>34.497208469999997</v>
      </c>
      <c r="D4" s="17">
        <v>-83.549977670000004</v>
      </c>
      <c r="E4" s="16" t="s">
        <v>3526</v>
      </c>
      <c r="F4" s="17" t="s">
        <v>3527</v>
      </c>
      <c r="G4" s="22" t="s">
        <v>3528</v>
      </c>
      <c r="H4" s="17" t="s">
        <v>3529</v>
      </c>
      <c r="I4" s="17" t="s">
        <v>3530</v>
      </c>
      <c r="J4" s="18">
        <v>106647.29</v>
      </c>
      <c r="K4" s="19">
        <f t="shared" si="0"/>
        <v>26.353122028557475</v>
      </c>
      <c r="L4" s="16" t="s">
        <v>3531</v>
      </c>
      <c r="M4" s="22" t="s">
        <v>3528</v>
      </c>
      <c r="N4" s="16" t="s">
        <v>3532</v>
      </c>
      <c r="O4" s="20">
        <v>6.8400000000000002E-2</v>
      </c>
      <c r="P4" s="18">
        <v>599184</v>
      </c>
      <c r="Q4" s="18">
        <v>1300.5999999999999</v>
      </c>
      <c r="R4" s="17">
        <v>115</v>
      </c>
      <c r="S4" s="18">
        <v>169.5</v>
      </c>
      <c r="T4" s="17">
        <v>115</v>
      </c>
      <c r="U4" s="17" t="s">
        <v>3532</v>
      </c>
      <c r="V4" s="17">
        <v>115</v>
      </c>
      <c r="W4" s="17">
        <v>10</v>
      </c>
      <c r="X4" s="17" t="s">
        <v>3533</v>
      </c>
      <c r="Y4" s="23" t="s">
        <v>3528</v>
      </c>
      <c r="Z4" s="23" t="s">
        <v>3528</v>
      </c>
      <c r="AA4" s="18">
        <v>51825.7</v>
      </c>
      <c r="AB4" s="19">
        <v>5.56</v>
      </c>
      <c r="AC4" s="19">
        <v>68.400000000000006</v>
      </c>
      <c r="AD4" s="19">
        <v>50.94</v>
      </c>
      <c r="AE4" s="22" t="s">
        <v>3528</v>
      </c>
      <c r="AF4" s="17" t="s">
        <v>3441</v>
      </c>
      <c r="AG4" s="16" t="s">
        <v>3534</v>
      </c>
      <c r="AH4" s="17" t="s">
        <v>3535</v>
      </c>
      <c r="AI4" s="19">
        <v>0.19500000000000001</v>
      </c>
      <c r="AJ4" s="17">
        <v>112</v>
      </c>
      <c r="AK4" s="16" t="s">
        <v>3534</v>
      </c>
      <c r="AL4" s="18">
        <v>3629.9</v>
      </c>
      <c r="AM4" s="17" t="s">
        <v>3437</v>
      </c>
      <c r="AN4" s="17">
        <v>3</v>
      </c>
      <c r="AO4" s="17" t="s">
        <v>3437</v>
      </c>
      <c r="AP4" s="19">
        <v>0.35</v>
      </c>
      <c r="AQ4" s="19">
        <v>24.5</v>
      </c>
      <c r="AR4" s="17">
        <v>24</v>
      </c>
      <c r="AS4" s="18">
        <v>4154</v>
      </c>
      <c r="AT4" s="18">
        <v>2717</v>
      </c>
      <c r="AU4" s="16" t="s">
        <v>3534</v>
      </c>
      <c r="AV4" s="23" t="s">
        <v>3528</v>
      </c>
      <c r="AW4" s="16" t="s">
        <v>3534</v>
      </c>
      <c r="AX4" s="17">
        <v>0</v>
      </c>
      <c r="AY4" s="17">
        <v>2</v>
      </c>
      <c r="AZ4" s="17">
        <v>1</v>
      </c>
      <c r="BA4" s="17">
        <v>0</v>
      </c>
      <c r="BB4" s="16" t="s">
        <v>3534</v>
      </c>
      <c r="BC4" s="17" t="s">
        <v>3536</v>
      </c>
      <c r="BD4" s="16" t="s">
        <v>3537</v>
      </c>
      <c r="BE4" s="22" t="s">
        <v>3528</v>
      </c>
      <c r="BF4" s="23" t="s">
        <v>3528</v>
      </c>
      <c r="BG4" s="16" t="s">
        <v>3538</v>
      </c>
      <c r="BH4" s="16" t="s">
        <v>3539</v>
      </c>
      <c r="BI4" s="18">
        <v>2067</v>
      </c>
      <c r="BJ4" s="18">
        <v>5231</v>
      </c>
      <c r="BK4" s="17">
        <v>1</v>
      </c>
      <c r="BL4" s="17" t="s">
        <v>3540</v>
      </c>
      <c r="BM4" s="18">
        <v>778</v>
      </c>
      <c r="BN4" s="19">
        <v>136.4</v>
      </c>
      <c r="BO4" s="17" t="s">
        <v>3541</v>
      </c>
      <c r="BP4" s="18">
        <v>1249</v>
      </c>
      <c r="BQ4" s="16" t="s">
        <v>3542</v>
      </c>
      <c r="BR4" s="17">
        <v>1</v>
      </c>
      <c r="BS4" s="16" t="s">
        <v>3674</v>
      </c>
      <c r="BT4" s="16" t="s">
        <v>3543</v>
      </c>
      <c r="BU4" s="25" t="s">
        <v>3544</v>
      </c>
      <c r="BV4" s="16" t="s">
        <v>3545</v>
      </c>
    </row>
    <row r="5" spans="1:74" ht="48" x14ac:dyDescent="0.25">
      <c r="A5">
        <v>7</v>
      </c>
      <c r="B5" s="16" t="s">
        <v>3546</v>
      </c>
      <c r="C5" s="17">
        <v>41.314744480000002</v>
      </c>
      <c r="D5" s="17">
        <v>-81.537039320000005</v>
      </c>
      <c r="E5" s="16" t="s">
        <v>3526</v>
      </c>
      <c r="F5" s="17" t="s">
        <v>3547</v>
      </c>
      <c r="G5" s="16" t="s">
        <v>3548</v>
      </c>
      <c r="H5" s="17" t="s">
        <v>3549</v>
      </c>
      <c r="I5" s="17" t="s">
        <v>3550</v>
      </c>
      <c r="J5" s="18">
        <v>463.24</v>
      </c>
      <c r="K5" s="19">
        <f t="shared" si="0"/>
        <v>0.11446910885882769</v>
      </c>
      <c r="L5" s="16" t="s">
        <v>3551</v>
      </c>
      <c r="M5" s="16" t="s">
        <v>3552</v>
      </c>
      <c r="N5" s="16" t="s">
        <v>3553</v>
      </c>
      <c r="O5" s="20">
        <v>9.9500000000000005E-2</v>
      </c>
      <c r="P5" s="18">
        <v>871620</v>
      </c>
      <c r="Q5" s="18">
        <v>1090.9000000000001</v>
      </c>
      <c r="R5" s="23" t="s">
        <v>3528</v>
      </c>
      <c r="S5" s="18">
        <v>893.1</v>
      </c>
      <c r="T5" s="17">
        <v>345</v>
      </c>
      <c r="U5" s="23" t="s">
        <v>3528</v>
      </c>
      <c r="V5" s="17">
        <v>345</v>
      </c>
      <c r="W5" s="17">
        <v>23</v>
      </c>
      <c r="X5" s="17" t="s">
        <v>3533</v>
      </c>
      <c r="Y5" s="23" t="s">
        <v>3528</v>
      </c>
      <c r="Z5" s="18">
        <v>534.6</v>
      </c>
      <c r="AA5" s="18">
        <v>24864.2</v>
      </c>
      <c r="AB5" s="19">
        <v>11.23</v>
      </c>
      <c r="AC5" s="19">
        <v>99.5</v>
      </c>
      <c r="AD5" s="19">
        <v>102.88</v>
      </c>
      <c r="AE5" s="16" t="s">
        <v>3533</v>
      </c>
      <c r="AF5" s="17" t="s">
        <v>3441</v>
      </c>
      <c r="AG5" s="16" t="s">
        <v>3534</v>
      </c>
      <c r="AH5" s="17" t="s">
        <v>3554</v>
      </c>
      <c r="AI5" s="19">
        <v>9.5000000000000001E-2</v>
      </c>
      <c r="AJ5" s="17">
        <v>112</v>
      </c>
      <c r="AK5" s="16" t="s">
        <v>3534</v>
      </c>
      <c r="AL5" s="18">
        <v>1699.4</v>
      </c>
      <c r="AM5" s="17" t="s">
        <v>3555</v>
      </c>
      <c r="AN5" s="17">
        <v>3</v>
      </c>
      <c r="AO5" s="17" t="s">
        <v>3437</v>
      </c>
      <c r="AP5" s="19">
        <v>3.77</v>
      </c>
      <c r="AQ5" s="19">
        <v>24.1</v>
      </c>
      <c r="AR5" s="17">
        <v>8</v>
      </c>
      <c r="AS5" s="18">
        <v>5538</v>
      </c>
      <c r="AT5" s="18">
        <v>4258</v>
      </c>
      <c r="AU5" s="16" t="s">
        <v>3556</v>
      </c>
      <c r="AV5" s="17" t="s">
        <v>3557</v>
      </c>
      <c r="AW5" s="16" t="s">
        <v>3558</v>
      </c>
      <c r="AX5" s="17">
        <v>7</v>
      </c>
      <c r="AY5" s="17">
        <v>2</v>
      </c>
      <c r="AZ5" s="17">
        <v>4</v>
      </c>
      <c r="BA5" s="17">
        <v>2</v>
      </c>
      <c r="BB5" s="16" t="s">
        <v>3534</v>
      </c>
      <c r="BC5" s="17" t="s">
        <v>3536</v>
      </c>
      <c r="BD5" s="16" t="s">
        <v>3538</v>
      </c>
      <c r="BE5" s="16" t="s">
        <v>3559</v>
      </c>
      <c r="BF5" s="18">
        <v>1308955</v>
      </c>
      <c r="BG5" s="16" t="s">
        <v>3538</v>
      </c>
      <c r="BH5" s="16" t="s">
        <v>3560</v>
      </c>
      <c r="BI5" s="18">
        <v>7099</v>
      </c>
      <c r="BJ5" s="18">
        <v>21809</v>
      </c>
      <c r="BK5" s="17">
        <v>4</v>
      </c>
      <c r="BL5" s="17" t="s">
        <v>3540</v>
      </c>
      <c r="BM5" s="18">
        <v>1137</v>
      </c>
      <c r="BN5" s="19">
        <v>196.8</v>
      </c>
      <c r="BO5" s="17" t="s">
        <v>3541</v>
      </c>
      <c r="BP5" s="18">
        <v>87</v>
      </c>
      <c r="BQ5" s="16" t="s">
        <v>3561</v>
      </c>
      <c r="BR5" s="17">
        <v>3</v>
      </c>
      <c r="BS5" s="16" t="s">
        <v>3673</v>
      </c>
      <c r="BT5" s="16" t="s">
        <v>3672</v>
      </c>
      <c r="BU5" s="21" t="s">
        <v>3562</v>
      </c>
      <c r="BV5" s="16" t="s">
        <v>3671</v>
      </c>
    </row>
    <row r="6" spans="1:74" ht="36" x14ac:dyDescent="0.25">
      <c r="A6">
        <v>3</v>
      </c>
      <c r="B6" s="16" t="s">
        <v>3563</v>
      </c>
      <c r="C6" s="17">
        <v>41.217063090000003</v>
      </c>
      <c r="D6" s="17">
        <v>-81.442508169999996</v>
      </c>
      <c r="E6" s="16" t="s">
        <v>3526</v>
      </c>
      <c r="F6" s="17" t="s">
        <v>3564</v>
      </c>
      <c r="G6" s="16" t="s">
        <v>3548</v>
      </c>
      <c r="H6" s="17" t="s">
        <v>3565</v>
      </c>
      <c r="I6" s="17" t="s">
        <v>3566</v>
      </c>
      <c r="J6" s="18">
        <v>3254.56</v>
      </c>
      <c r="K6" s="19">
        <f t="shared" si="0"/>
        <v>0.80421937425003498</v>
      </c>
      <c r="L6" s="16" t="s">
        <v>3567</v>
      </c>
      <c r="M6" s="16" t="s">
        <v>3552</v>
      </c>
      <c r="N6" s="16" t="s">
        <v>3568</v>
      </c>
      <c r="O6" s="20">
        <v>9.9500000000000005E-2</v>
      </c>
      <c r="P6" s="18">
        <v>871620</v>
      </c>
      <c r="Q6" s="18">
        <v>1054.0999999999999</v>
      </c>
      <c r="R6" s="17">
        <v>138</v>
      </c>
      <c r="S6" s="18">
        <v>814.1</v>
      </c>
      <c r="T6" s="23" t="s">
        <v>3528</v>
      </c>
      <c r="U6" s="23" t="s">
        <v>3528</v>
      </c>
      <c r="V6" s="17">
        <v>138</v>
      </c>
      <c r="W6" s="17">
        <v>21</v>
      </c>
      <c r="X6" s="17" t="s">
        <v>3533</v>
      </c>
      <c r="Y6" s="23" t="s">
        <v>3528</v>
      </c>
      <c r="Z6" s="18">
        <v>724</v>
      </c>
      <c r="AA6" s="18">
        <v>30645.3</v>
      </c>
      <c r="AB6" s="19">
        <v>11.23</v>
      </c>
      <c r="AC6" s="19">
        <v>99.5</v>
      </c>
      <c r="AD6" s="19">
        <v>102.88</v>
      </c>
      <c r="AE6" s="16" t="s">
        <v>3533</v>
      </c>
      <c r="AF6" s="17" t="s">
        <v>3441</v>
      </c>
      <c r="AG6" s="16" t="s">
        <v>3534</v>
      </c>
      <c r="AH6" s="17" t="s">
        <v>3554</v>
      </c>
      <c r="AI6" s="19">
        <v>8.5000000000000006E-2</v>
      </c>
      <c r="AJ6" s="17">
        <v>112</v>
      </c>
      <c r="AK6" s="16" t="s">
        <v>3534</v>
      </c>
      <c r="AL6" s="18">
        <v>2007.5</v>
      </c>
      <c r="AM6" s="17" t="s">
        <v>3569</v>
      </c>
      <c r="AN6" s="17">
        <v>5</v>
      </c>
      <c r="AO6" s="17" t="s">
        <v>3437</v>
      </c>
      <c r="AP6" s="19">
        <v>1.29</v>
      </c>
      <c r="AQ6" s="19">
        <v>24</v>
      </c>
      <c r="AR6" s="17">
        <v>8</v>
      </c>
      <c r="AS6" s="18">
        <v>5448</v>
      </c>
      <c r="AT6" s="18">
        <v>4240</v>
      </c>
      <c r="AU6" s="16" t="s">
        <v>3556</v>
      </c>
      <c r="AV6" s="17" t="s">
        <v>3557</v>
      </c>
      <c r="AW6" s="16" t="s">
        <v>3558</v>
      </c>
      <c r="AX6" s="17">
        <v>1</v>
      </c>
      <c r="AY6" s="17">
        <v>3</v>
      </c>
      <c r="AZ6" s="17">
        <v>3</v>
      </c>
      <c r="BA6" s="17">
        <v>0</v>
      </c>
      <c r="BB6" s="16" t="s">
        <v>3534</v>
      </c>
      <c r="BC6" s="17" t="s">
        <v>3536</v>
      </c>
      <c r="BD6" s="16" t="s">
        <v>3538</v>
      </c>
      <c r="BE6" s="16" t="s">
        <v>3570</v>
      </c>
      <c r="BF6" s="18">
        <v>8385</v>
      </c>
      <c r="BG6" s="16" t="s">
        <v>3571</v>
      </c>
      <c r="BH6" s="22" t="s">
        <v>3528</v>
      </c>
      <c r="BI6" s="18">
        <v>6095</v>
      </c>
      <c r="BJ6" s="18">
        <v>16758</v>
      </c>
      <c r="BK6" s="17">
        <v>4</v>
      </c>
      <c r="BL6" s="17" t="s">
        <v>3540</v>
      </c>
      <c r="BM6" s="18">
        <v>944</v>
      </c>
      <c r="BN6" s="19">
        <v>86.3</v>
      </c>
      <c r="BO6" s="17" t="s">
        <v>3541</v>
      </c>
      <c r="BP6" s="18">
        <v>256</v>
      </c>
      <c r="BQ6" s="16" t="s">
        <v>3572</v>
      </c>
      <c r="BR6" s="17">
        <v>4</v>
      </c>
      <c r="BS6" s="16" t="s">
        <v>3670</v>
      </c>
      <c r="BT6" s="16" t="s">
        <v>3669</v>
      </c>
      <c r="BU6" s="21" t="s">
        <v>3562</v>
      </c>
      <c r="BV6" s="16" t="s">
        <v>3668</v>
      </c>
    </row>
    <row r="7" spans="1:74" ht="48" x14ac:dyDescent="0.25">
      <c r="A7">
        <v>5</v>
      </c>
      <c r="B7" s="16" t="s">
        <v>3573</v>
      </c>
      <c r="C7" s="17">
        <v>40.059448529999997</v>
      </c>
      <c r="D7" s="17">
        <v>-82.404873050000006</v>
      </c>
      <c r="E7" s="16" t="s">
        <v>3526</v>
      </c>
      <c r="F7" s="17" t="s">
        <v>3574</v>
      </c>
      <c r="G7" s="16" t="s">
        <v>3548</v>
      </c>
      <c r="H7" s="17" t="s">
        <v>3575</v>
      </c>
      <c r="I7" s="17" t="s">
        <v>3576</v>
      </c>
      <c r="J7" s="18">
        <v>1113.45</v>
      </c>
      <c r="K7" s="19">
        <f t="shared" si="0"/>
        <v>0.27513951571293865</v>
      </c>
      <c r="L7" s="16" t="s">
        <v>3577</v>
      </c>
      <c r="M7" s="16" t="s">
        <v>3552</v>
      </c>
      <c r="N7" s="16" t="s">
        <v>3578</v>
      </c>
      <c r="O7" s="20">
        <v>9.9500000000000005E-2</v>
      </c>
      <c r="P7" s="18">
        <v>871620</v>
      </c>
      <c r="Q7" s="18">
        <v>928.1</v>
      </c>
      <c r="R7" s="23" t="s">
        <v>3528</v>
      </c>
      <c r="S7" s="18">
        <v>605.70000000000005</v>
      </c>
      <c r="T7" s="17">
        <v>69</v>
      </c>
      <c r="U7" s="17" t="s">
        <v>3579</v>
      </c>
      <c r="V7" s="17">
        <v>69</v>
      </c>
      <c r="W7" s="17">
        <v>21</v>
      </c>
      <c r="X7" s="17" t="s">
        <v>3533</v>
      </c>
      <c r="Y7" s="24">
        <v>710.04</v>
      </c>
      <c r="Z7" s="18">
        <v>2707.6</v>
      </c>
      <c r="AA7" s="18">
        <v>2707.6</v>
      </c>
      <c r="AB7" s="19">
        <v>11.23</v>
      </c>
      <c r="AC7" s="19">
        <v>99.5</v>
      </c>
      <c r="AD7" s="19">
        <v>102.88</v>
      </c>
      <c r="AE7" s="16" t="s">
        <v>3533</v>
      </c>
      <c r="AF7" s="17" t="s">
        <v>3441</v>
      </c>
      <c r="AG7" s="16" t="s">
        <v>3534</v>
      </c>
      <c r="AH7" s="17" t="s">
        <v>3554</v>
      </c>
      <c r="AI7" s="19">
        <v>8.5000000000000006E-2</v>
      </c>
      <c r="AJ7" s="17">
        <v>112</v>
      </c>
      <c r="AK7" s="16" t="s">
        <v>3534</v>
      </c>
      <c r="AL7" s="18">
        <v>3160.8</v>
      </c>
      <c r="AM7" s="17" t="s">
        <v>3569</v>
      </c>
      <c r="AN7" s="17">
        <v>0</v>
      </c>
      <c r="AO7" s="17" t="s">
        <v>3437</v>
      </c>
      <c r="AP7" s="19">
        <v>0.84</v>
      </c>
      <c r="AQ7" s="19">
        <v>24.6</v>
      </c>
      <c r="AR7" s="17">
        <v>11</v>
      </c>
      <c r="AS7" s="18">
        <v>5045</v>
      </c>
      <c r="AT7" s="18">
        <v>3940</v>
      </c>
      <c r="AU7" s="16" t="s">
        <v>3534</v>
      </c>
      <c r="AV7" s="23" t="s">
        <v>3528</v>
      </c>
      <c r="AW7" s="16" t="s">
        <v>3580</v>
      </c>
      <c r="AX7" s="17">
        <v>5</v>
      </c>
      <c r="AY7" s="17">
        <v>16</v>
      </c>
      <c r="AZ7" s="17">
        <v>16</v>
      </c>
      <c r="BA7" s="17">
        <v>1</v>
      </c>
      <c r="BB7" s="16" t="s">
        <v>3534</v>
      </c>
      <c r="BC7" s="17" t="s">
        <v>3581</v>
      </c>
      <c r="BD7" s="16" t="s">
        <v>3538</v>
      </c>
      <c r="BE7" s="16" t="s">
        <v>3582</v>
      </c>
      <c r="BF7" s="18">
        <v>49934</v>
      </c>
      <c r="BG7" s="16" t="s">
        <v>3538</v>
      </c>
      <c r="BH7" s="16" t="s">
        <v>3583</v>
      </c>
      <c r="BI7" s="18">
        <v>2889</v>
      </c>
      <c r="BJ7" s="18">
        <v>10538</v>
      </c>
      <c r="BK7" s="17">
        <v>3</v>
      </c>
      <c r="BL7" s="17" t="s">
        <v>3540</v>
      </c>
      <c r="BM7" s="18">
        <v>3135</v>
      </c>
      <c r="BN7" s="19">
        <v>541.4</v>
      </c>
      <c r="BO7" s="17" t="s">
        <v>3541</v>
      </c>
      <c r="BP7" s="18">
        <v>182</v>
      </c>
      <c r="BQ7" s="16" t="s">
        <v>3584</v>
      </c>
      <c r="BR7" s="17">
        <v>8</v>
      </c>
      <c r="BS7" s="16" t="s">
        <v>3667</v>
      </c>
      <c r="BT7" s="16" t="s">
        <v>3666</v>
      </c>
      <c r="BU7" s="21" t="s">
        <v>3665</v>
      </c>
      <c r="BV7" s="16" t="s">
        <v>3664</v>
      </c>
    </row>
    <row r="8" spans="1:74" ht="48" x14ac:dyDescent="0.25">
      <c r="A8">
        <v>8</v>
      </c>
      <c r="B8" s="16" t="s">
        <v>3585</v>
      </c>
      <c r="C8" s="17">
        <v>30.85154</v>
      </c>
      <c r="D8" s="17">
        <v>-95.400120000000001</v>
      </c>
      <c r="E8" s="16" t="s">
        <v>3526</v>
      </c>
      <c r="F8" s="17" t="s">
        <v>3586</v>
      </c>
      <c r="G8" s="16" t="s">
        <v>3587</v>
      </c>
      <c r="H8" s="17" t="s">
        <v>3588</v>
      </c>
      <c r="I8" s="23" t="s">
        <v>3528</v>
      </c>
      <c r="J8" s="18">
        <v>2327.9899999999998</v>
      </c>
      <c r="K8" s="19">
        <f t="shared" si="0"/>
        <v>0.57525891704572629</v>
      </c>
      <c r="L8" s="16" t="s">
        <v>3589</v>
      </c>
      <c r="M8" s="16" t="s">
        <v>3590</v>
      </c>
      <c r="N8" s="16" t="s">
        <v>3591</v>
      </c>
      <c r="O8" s="20">
        <v>6.3299999999999995E-2</v>
      </c>
      <c r="P8" s="18">
        <v>554508</v>
      </c>
      <c r="Q8" s="18">
        <v>1467.8</v>
      </c>
      <c r="R8" s="17">
        <v>138</v>
      </c>
      <c r="S8" s="18">
        <v>802.7</v>
      </c>
      <c r="T8" s="17">
        <v>69</v>
      </c>
      <c r="U8" s="17" t="s">
        <v>3592</v>
      </c>
      <c r="V8" s="17">
        <v>138</v>
      </c>
      <c r="W8" s="17">
        <v>2</v>
      </c>
      <c r="X8" s="17" t="s">
        <v>3593</v>
      </c>
      <c r="Y8" s="24">
        <v>150</v>
      </c>
      <c r="Z8" s="18">
        <v>544.70000000000005</v>
      </c>
      <c r="AA8" s="18">
        <v>544.70000000000005</v>
      </c>
      <c r="AB8" s="19">
        <v>3.12</v>
      </c>
      <c r="AC8" s="19">
        <v>63.3</v>
      </c>
      <c r="AD8" s="19">
        <v>28.58</v>
      </c>
      <c r="AE8" s="16" t="s">
        <v>3533</v>
      </c>
      <c r="AF8" s="17" t="s">
        <v>3440</v>
      </c>
      <c r="AG8" s="16" t="s">
        <v>3594</v>
      </c>
      <c r="AH8" s="17" t="s">
        <v>3554</v>
      </c>
      <c r="AI8" s="19">
        <v>4.4999999999999998E-2</v>
      </c>
      <c r="AJ8" s="17">
        <v>112</v>
      </c>
      <c r="AK8" s="16" t="s">
        <v>3534</v>
      </c>
      <c r="AL8" s="18">
        <v>1640</v>
      </c>
      <c r="AM8" s="17" t="s">
        <v>3437</v>
      </c>
      <c r="AN8" s="17">
        <v>2</v>
      </c>
      <c r="AO8" s="17" t="s">
        <v>3437</v>
      </c>
      <c r="AP8" s="19">
        <v>0.85</v>
      </c>
      <c r="AQ8" s="19">
        <v>26.2</v>
      </c>
      <c r="AR8" s="17">
        <v>104</v>
      </c>
      <c r="AS8" s="18">
        <v>2693</v>
      </c>
      <c r="AT8" s="18">
        <v>1460</v>
      </c>
      <c r="AU8" s="16" t="s">
        <v>3534</v>
      </c>
      <c r="AV8" s="23" t="s">
        <v>3528</v>
      </c>
      <c r="AW8" s="16" t="s">
        <v>3534</v>
      </c>
      <c r="AX8" s="17">
        <v>0</v>
      </c>
      <c r="AY8" s="17">
        <v>0</v>
      </c>
      <c r="AZ8" s="17">
        <v>2</v>
      </c>
      <c r="BA8" s="17">
        <v>0</v>
      </c>
      <c r="BB8" s="16" t="s">
        <v>3534</v>
      </c>
      <c r="BC8" s="17" t="s">
        <v>3536</v>
      </c>
      <c r="BD8" s="16" t="s">
        <v>3538</v>
      </c>
      <c r="BE8" s="16" t="s">
        <v>3595</v>
      </c>
      <c r="BF8" s="18">
        <v>6492</v>
      </c>
      <c r="BG8" s="16" t="s">
        <v>3596</v>
      </c>
      <c r="BH8" s="22" t="s">
        <v>3528</v>
      </c>
      <c r="BI8" s="18">
        <v>10865</v>
      </c>
      <c r="BJ8" s="18">
        <v>3010</v>
      </c>
      <c r="BK8" s="17">
        <v>1</v>
      </c>
      <c r="BL8" s="17" t="s">
        <v>3540</v>
      </c>
      <c r="BM8" s="18">
        <v>315</v>
      </c>
      <c r="BN8" s="19">
        <v>32.200000000000003</v>
      </c>
      <c r="BO8" s="17" t="s">
        <v>3597</v>
      </c>
      <c r="BP8" s="18">
        <v>9750</v>
      </c>
      <c r="BQ8" s="16" t="s">
        <v>3598</v>
      </c>
      <c r="BR8" s="17">
        <v>10</v>
      </c>
      <c r="BS8" s="16" t="s">
        <v>3663</v>
      </c>
      <c r="BT8" s="16" t="s">
        <v>3662</v>
      </c>
      <c r="BU8" s="26" t="s">
        <v>3599</v>
      </c>
      <c r="BV8" s="16" t="s">
        <v>3600</v>
      </c>
    </row>
    <row r="9" spans="1:74" ht="48" x14ac:dyDescent="0.25">
      <c r="A9">
        <v>2</v>
      </c>
      <c r="B9" s="16" t="s">
        <v>3601</v>
      </c>
      <c r="C9" s="17">
        <v>36.214283000000002</v>
      </c>
      <c r="D9" s="17">
        <v>-93.079052000000004</v>
      </c>
      <c r="E9" s="16" t="s">
        <v>3526</v>
      </c>
      <c r="F9" s="17" t="s">
        <v>3602</v>
      </c>
      <c r="G9" s="22" t="s">
        <v>3528</v>
      </c>
      <c r="H9" s="17" t="s">
        <v>3603</v>
      </c>
      <c r="I9" s="17" t="s">
        <v>3604</v>
      </c>
      <c r="J9" s="18">
        <v>40473.46</v>
      </c>
      <c r="K9" s="19">
        <f t="shared" si="0"/>
        <v>10.00121081649557</v>
      </c>
      <c r="L9" s="16" t="s">
        <v>3605</v>
      </c>
      <c r="M9" s="16" t="s">
        <v>3606</v>
      </c>
      <c r="N9" s="16" t="s">
        <v>3607</v>
      </c>
      <c r="O9" s="20">
        <v>6.2E-2</v>
      </c>
      <c r="P9" s="18">
        <v>543120</v>
      </c>
      <c r="Q9" s="18">
        <v>960.6</v>
      </c>
      <c r="R9" s="17">
        <v>161</v>
      </c>
      <c r="S9" s="18">
        <v>960.6</v>
      </c>
      <c r="T9" s="17">
        <v>161</v>
      </c>
      <c r="U9" s="17" t="s">
        <v>3608</v>
      </c>
      <c r="V9" s="17">
        <v>161</v>
      </c>
      <c r="W9" s="17">
        <v>3</v>
      </c>
      <c r="X9" s="17" t="s">
        <v>3533</v>
      </c>
      <c r="Y9" s="23" t="s">
        <v>3528</v>
      </c>
      <c r="Z9" s="18">
        <v>5124.3</v>
      </c>
      <c r="AA9" s="18">
        <v>62989.5</v>
      </c>
      <c r="AB9" s="19">
        <v>9.2799999999999994</v>
      </c>
      <c r="AC9" s="19">
        <v>62</v>
      </c>
      <c r="AD9" s="19">
        <v>85.01</v>
      </c>
      <c r="AE9" s="16" t="s">
        <v>3609</v>
      </c>
      <c r="AF9" s="17" t="s">
        <v>3441</v>
      </c>
      <c r="AG9" s="16" t="s">
        <v>3534</v>
      </c>
      <c r="AH9" s="17" t="s">
        <v>3610</v>
      </c>
      <c r="AI9" s="19">
        <v>0.22500000000000001</v>
      </c>
      <c r="AJ9" s="17">
        <v>112</v>
      </c>
      <c r="AK9" s="16" t="s">
        <v>3611</v>
      </c>
      <c r="AL9" s="23" t="s">
        <v>3528</v>
      </c>
      <c r="AM9" s="23" t="s">
        <v>3528</v>
      </c>
      <c r="AN9" s="17">
        <v>0</v>
      </c>
      <c r="AO9" s="23" t="s">
        <v>3528</v>
      </c>
      <c r="AP9" s="19">
        <v>2.58</v>
      </c>
      <c r="AQ9" s="19">
        <v>25.6</v>
      </c>
      <c r="AR9" s="17">
        <v>38</v>
      </c>
      <c r="AS9" s="18">
        <v>4294</v>
      </c>
      <c r="AT9" s="18">
        <v>2981</v>
      </c>
      <c r="AU9" s="16" t="s">
        <v>3534</v>
      </c>
      <c r="AV9" s="23" t="s">
        <v>3528</v>
      </c>
      <c r="AW9" s="16" t="s">
        <v>3534</v>
      </c>
      <c r="AX9" s="17">
        <v>0</v>
      </c>
      <c r="AY9" s="17">
        <v>0</v>
      </c>
      <c r="AZ9" s="17">
        <v>3</v>
      </c>
      <c r="BA9" s="17">
        <v>0</v>
      </c>
      <c r="BB9" s="16" t="s">
        <v>3534</v>
      </c>
      <c r="BC9" s="17" t="s">
        <v>3536</v>
      </c>
      <c r="BD9" s="16" t="s">
        <v>3538</v>
      </c>
      <c r="BE9" s="16" t="s">
        <v>3612</v>
      </c>
      <c r="BF9" s="18">
        <v>17455</v>
      </c>
      <c r="BG9" s="16" t="s">
        <v>3538</v>
      </c>
      <c r="BH9" s="16" t="s">
        <v>3613</v>
      </c>
      <c r="BI9" s="18">
        <v>2947</v>
      </c>
      <c r="BJ9" s="18">
        <v>13468</v>
      </c>
      <c r="BK9" s="17">
        <v>3</v>
      </c>
      <c r="BL9" s="17" t="s">
        <v>3540</v>
      </c>
      <c r="BM9" s="18">
        <v>388</v>
      </c>
      <c r="BN9" s="19">
        <v>38.4</v>
      </c>
      <c r="BO9" s="17" t="s">
        <v>3597</v>
      </c>
      <c r="BP9" s="18">
        <v>1158</v>
      </c>
      <c r="BQ9" s="16" t="s">
        <v>3614</v>
      </c>
      <c r="BR9" s="17">
        <v>2</v>
      </c>
      <c r="BS9" s="16" t="s">
        <v>3661</v>
      </c>
      <c r="BT9" s="16" t="s">
        <v>3660</v>
      </c>
      <c r="BU9" s="25" t="s">
        <v>3615</v>
      </c>
      <c r="BV9" s="16" t="s">
        <v>3659</v>
      </c>
    </row>
    <row r="10" spans="1:74" ht="36" x14ac:dyDescent="0.25">
      <c r="A10">
        <v>4</v>
      </c>
      <c r="B10" s="16" t="s">
        <v>3616</v>
      </c>
      <c r="C10" s="17">
        <v>31.177482919999999</v>
      </c>
      <c r="D10" s="17">
        <v>-83.783713550000002</v>
      </c>
      <c r="E10" s="16" t="s">
        <v>3526</v>
      </c>
      <c r="F10" s="17" t="s">
        <v>3617</v>
      </c>
      <c r="G10" s="22" t="s">
        <v>3528</v>
      </c>
      <c r="H10" s="17" t="s">
        <v>3618</v>
      </c>
      <c r="I10" s="17" t="s">
        <v>3619</v>
      </c>
      <c r="J10" s="18">
        <v>5286.65</v>
      </c>
      <c r="K10" s="19">
        <f t="shared" si="0"/>
        <v>1.3063598012877156</v>
      </c>
      <c r="L10" s="16" t="s">
        <v>3620</v>
      </c>
      <c r="M10" s="22" t="s">
        <v>3528</v>
      </c>
      <c r="N10" s="16" t="s">
        <v>3621</v>
      </c>
      <c r="O10" s="20">
        <v>6.8400000000000002E-2</v>
      </c>
      <c r="P10" s="18">
        <v>599184</v>
      </c>
      <c r="Q10" s="18">
        <v>565.6</v>
      </c>
      <c r="R10" s="17">
        <v>115</v>
      </c>
      <c r="S10" s="18">
        <v>302.89999999999998</v>
      </c>
      <c r="T10" s="17">
        <v>115</v>
      </c>
      <c r="U10" s="17" t="s">
        <v>3532</v>
      </c>
      <c r="V10" s="17">
        <v>115</v>
      </c>
      <c r="W10" s="17">
        <v>15</v>
      </c>
      <c r="X10" s="17" t="s">
        <v>3533</v>
      </c>
      <c r="Y10" s="24">
        <v>130</v>
      </c>
      <c r="Z10" s="18">
        <v>4850.7</v>
      </c>
      <c r="AA10" s="18">
        <v>4850.7</v>
      </c>
      <c r="AB10" s="19">
        <v>5.56</v>
      </c>
      <c r="AC10" s="19">
        <v>68.400000000000006</v>
      </c>
      <c r="AD10" s="19">
        <v>50.94</v>
      </c>
      <c r="AE10" s="16" t="s">
        <v>3533</v>
      </c>
      <c r="AF10" s="17" t="s">
        <v>3441</v>
      </c>
      <c r="AG10" s="16" t="s">
        <v>3534</v>
      </c>
      <c r="AH10" s="17" t="s">
        <v>3554</v>
      </c>
      <c r="AI10" s="19">
        <v>6.5000000000000002E-2</v>
      </c>
      <c r="AJ10" s="17">
        <v>112</v>
      </c>
      <c r="AK10" s="16" t="s">
        <v>3622</v>
      </c>
      <c r="AL10" s="18">
        <v>2624.8</v>
      </c>
      <c r="AM10" s="17" t="s">
        <v>3437</v>
      </c>
      <c r="AN10" s="17">
        <v>1</v>
      </c>
      <c r="AO10" s="17" t="s">
        <v>3437</v>
      </c>
      <c r="AP10" s="19">
        <v>0.94</v>
      </c>
      <c r="AQ10" s="19">
        <v>26.4</v>
      </c>
      <c r="AR10" s="17">
        <v>69</v>
      </c>
      <c r="AS10" s="18">
        <v>2658</v>
      </c>
      <c r="AT10" s="18">
        <v>1372</v>
      </c>
      <c r="AU10" s="16" t="s">
        <v>3534</v>
      </c>
      <c r="AV10" s="23" t="s">
        <v>3528</v>
      </c>
      <c r="AW10" s="16" t="s">
        <v>3534</v>
      </c>
      <c r="AX10" s="17">
        <v>0</v>
      </c>
      <c r="AY10" s="17">
        <v>2</v>
      </c>
      <c r="AZ10" s="17">
        <v>32</v>
      </c>
      <c r="BA10" s="17">
        <v>2</v>
      </c>
      <c r="BB10" s="16" t="s">
        <v>3623</v>
      </c>
      <c r="BC10" s="17" t="s">
        <v>3624</v>
      </c>
      <c r="BD10" s="16" t="s">
        <v>3538</v>
      </c>
      <c r="BE10" s="16" t="s">
        <v>274</v>
      </c>
      <c r="BF10" s="18">
        <v>17067</v>
      </c>
      <c r="BG10" s="16" t="s">
        <v>3538</v>
      </c>
      <c r="BH10" s="16" t="s">
        <v>3625</v>
      </c>
      <c r="BI10" s="18">
        <v>2852</v>
      </c>
      <c r="BJ10" s="18">
        <v>13760</v>
      </c>
      <c r="BK10" s="17">
        <v>1</v>
      </c>
      <c r="BL10" s="17" t="s">
        <v>3540</v>
      </c>
      <c r="BM10" s="18">
        <v>1285</v>
      </c>
      <c r="BN10" s="19">
        <v>188.2</v>
      </c>
      <c r="BO10" s="17" t="s">
        <v>3541</v>
      </c>
      <c r="BP10" s="18">
        <v>775</v>
      </c>
      <c r="BQ10" s="16" t="s">
        <v>3626</v>
      </c>
      <c r="BR10" s="17">
        <v>5</v>
      </c>
      <c r="BS10" s="16" t="s">
        <v>3658</v>
      </c>
      <c r="BT10" s="16" t="s">
        <v>3657</v>
      </c>
      <c r="BU10" s="21" t="s">
        <v>3562</v>
      </c>
      <c r="BV10" s="16" t="s">
        <v>3627</v>
      </c>
    </row>
    <row r="11" spans="1:74" ht="48" x14ac:dyDescent="0.25">
      <c r="A11">
        <v>6</v>
      </c>
      <c r="B11" s="16" t="s">
        <v>3628</v>
      </c>
      <c r="C11" s="17">
        <v>41.698331500000002</v>
      </c>
      <c r="D11" s="17">
        <v>-93.054485650000004</v>
      </c>
      <c r="E11" s="16" t="s">
        <v>3526</v>
      </c>
      <c r="F11" s="17" t="s">
        <v>3629</v>
      </c>
      <c r="G11" s="16" t="s">
        <v>3630</v>
      </c>
      <c r="H11" s="17" t="s">
        <v>3631</v>
      </c>
      <c r="I11" s="17" t="s">
        <v>3632</v>
      </c>
      <c r="J11" s="18">
        <v>1731</v>
      </c>
      <c r="K11" s="19">
        <f t="shared" si="0"/>
        <v>0.42773945996595875</v>
      </c>
      <c r="L11" s="16" t="s">
        <v>3577</v>
      </c>
      <c r="M11" s="16" t="s">
        <v>3606</v>
      </c>
      <c r="N11" s="16" t="s">
        <v>3633</v>
      </c>
      <c r="O11" s="20">
        <v>6.2600000000000003E-2</v>
      </c>
      <c r="P11" s="18">
        <v>548376</v>
      </c>
      <c r="Q11" s="18">
        <v>784.2</v>
      </c>
      <c r="R11" s="17">
        <v>161</v>
      </c>
      <c r="S11" s="18">
        <v>751.7</v>
      </c>
      <c r="T11" s="23" t="s">
        <v>3528</v>
      </c>
      <c r="U11" s="17" t="s">
        <v>3634</v>
      </c>
      <c r="V11" s="17">
        <v>161</v>
      </c>
      <c r="W11" s="17">
        <v>4</v>
      </c>
      <c r="X11" s="17" t="s">
        <v>3533</v>
      </c>
      <c r="Y11" s="23" t="s">
        <v>3528</v>
      </c>
      <c r="Z11" s="18">
        <v>4438.6000000000004</v>
      </c>
      <c r="AA11" s="18">
        <v>4438.6000000000004</v>
      </c>
      <c r="AB11" s="19">
        <v>6.69</v>
      </c>
      <c r="AC11" s="19">
        <v>62.6</v>
      </c>
      <c r="AD11" s="19">
        <v>61.29</v>
      </c>
      <c r="AE11" s="16" t="s">
        <v>3533</v>
      </c>
      <c r="AF11" s="17" t="s">
        <v>3441</v>
      </c>
      <c r="AG11" s="16" t="s">
        <v>3534</v>
      </c>
      <c r="AH11" s="17" t="s">
        <v>3554</v>
      </c>
      <c r="AI11" s="19">
        <v>4.4999999999999998E-2</v>
      </c>
      <c r="AJ11" s="17">
        <v>112</v>
      </c>
      <c r="AK11" s="16" t="s">
        <v>3534</v>
      </c>
      <c r="AL11" s="18">
        <v>2844.3</v>
      </c>
      <c r="AM11" s="17" t="s">
        <v>3437</v>
      </c>
      <c r="AN11" s="17">
        <v>0</v>
      </c>
      <c r="AO11" s="17" t="s">
        <v>3635</v>
      </c>
      <c r="AP11" s="19">
        <v>2.88</v>
      </c>
      <c r="AQ11" s="19">
        <v>26.7</v>
      </c>
      <c r="AR11" s="17">
        <v>16</v>
      </c>
      <c r="AS11" s="18">
        <v>5312</v>
      </c>
      <c r="AT11" s="18">
        <v>4331</v>
      </c>
      <c r="AU11" s="16" t="s">
        <v>3534</v>
      </c>
      <c r="AV11" s="23" t="s">
        <v>3528</v>
      </c>
      <c r="AW11" s="16" t="s">
        <v>3534</v>
      </c>
      <c r="AX11" s="17">
        <v>1</v>
      </c>
      <c r="AY11" s="17">
        <v>0</v>
      </c>
      <c r="AZ11" s="17">
        <v>23</v>
      </c>
      <c r="BA11" s="17">
        <v>2</v>
      </c>
      <c r="BB11" s="16" t="s">
        <v>3534</v>
      </c>
      <c r="BC11" s="17" t="s">
        <v>3581</v>
      </c>
      <c r="BD11" s="16" t="s">
        <v>3538</v>
      </c>
      <c r="BE11" s="16" t="s">
        <v>3636</v>
      </c>
      <c r="BF11" s="18">
        <v>16518</v>
      </c>
      <c r="BG11" s="16" t="s">
        <v>3538</v>
      </c>
      <c r="BH11" s="16" t="s">
        <v>3637</v>
      </c>
      <c r="BI11" s="18">
        <v>274</v>
      </c>
      <c r="BJ11" s="18">
        <v>16283</v>
      </c>
      <c r="BK11" s="17">
        <v>3</v>
      </c>
      <c r="BL11" s="17" t="s">
        <v>3540</v>
      </c>
      <c r="BM11" s="18">
        <v>2685</v>
      </c>
      <c r="BN11" s="19">
        <v>494.5</v>
      </c>
      <c r="BO11" s="17" t="s">
        <v>3541</v>
      </c>
      <c r="BP11" s="18">
        <v>426</v>
      </c>
      <c r="BQ11" s="16" t="s">
        <v>3638</v>
      </c>
      <c r="BR11" s="17">
        <v>6</v>
      </c>
      <c r="BS11" s="16" t="s">
        <v>3656</v>
      </c>
      <c r="BT11" s="16" t="s">
        <v>3655</v>
      </c>
      <c r="BU11" s="21" t="s">
        <v>3562</v>
      </c>
      <c r="BV11" s="16" t="s">
        <v>3654</v>
      </c>
    </row>
    <row r="12" spans="1:74" ht="48" x14ac:dyDescent="0.25">
      <c r="B12" s="16" t="s">
        <v>3639</v>
      </c>
      <c r="C12" s="17">
        <v>29.636252240000001</v>
      </c>
      <c r="D12" s="17">
        <v>-95.598181319999995</v>
      </c>
      <c r="E12" s="16" t="s">
        <v>3640</v>
      </c>
      <c r="F12" s="23" t="s">
        <v>3641</v>
      </c>
      <c r="G12" s="22" t="s">
        <v>3641</v>
      </c>
      <c r="H12" s="23" t="s">
        <v>3641</v>
      </c>
      <c r="I12" s="23" t="s">
        <v>3641</v>
      </c>
      <c r="J12" s="23" t="s">
        <v>3641</v>
      </c>
      <c r="K12" s="23" t="s">
        <v>3641</v>
      </c>
      <c r="L12" s="16" t="s">
        <v>3642</v>
      </c>
      <c r="M12" s="16" t="s">
        <v>3643</v>
      </c>
      <c r="N12" s="16" t="s">
        <v>3644</v>
      </c>
      <c r="O12" s="20">
        <v>6.3299999999999995E-2</v>
      </c>
      <c r="P12" s="18">
        <v>554508</v>
      </c>
      <c r="Q12" s="18">
        <v>913.6</v>
      </c>
      <c r="R12" s="17">
        <v>138</v>
      </c>
      <c r="S12" s="23" t="s">
        <v>3641</v>
      </c>
      <c r="T12" s="23" t="s">
        <v>3641</v>
      </c>
      <c r="U12" s="23" t="s">
        <v>3641</v>
      </c>
      <c r="V12" s="23" t="s">
        <v>3641</v>
      </c>
      <c r="W12" s="17">
        <v>18</v>
      </c>
      <c r="X12" s="17" t="s">
        <v>3533</v>
      </c>
      <c r="Y12" s="24">
        <v>3320.46</v>
      </c>
      <c r="Z12" s="18">
        <v>615.1</v>
      </c>
      <c r="AA12" s="18">
        <v>726.7</v>
      </c>
      <c r="AB12" s="19">
        <v>3.12</v>
      </c>
      <c r="AC12" s="19">
        <v>63.3</v>
      </c>
      <c r="AD12" s="19">
        <v>28.58</v>
      </c>
      <c r="AE12" s="16" t="s">
        <v>3533</v>
      </c>
      <c r="AF12" s="17" t="s">
        <v>3441</v>
      </c>
      <c r="AG12" s="16" t="s">
        <v>3534</v>
      </c>
      <c r="AH12" s="17" t="s">
        <v>3440</v>
      </c>
      <c r="AI12" s="19">
        <v>4.4999999999999998E-2</v>
      </c>
      <c r="AJ12" s="17">
        <v>136</v>
      </c>
      <c r="AK12" s="16" t="s">
        <v>3534</v>
      </c>
      <c r="AL12" s="18">
        <v>3892.1</v>
      </c>
      <c r="AM12" s="17" t="s">
        <v>3555</v>
      </c>
      <c r="AN12" s="17">
        <v>1</v>
      </c>
      <c r="AO12" s="17" t="s">
        <v>3645</v>
      </c>
      <c r="AP12" s="19">
        <v>1.37</v>
      </c>
      <c r="AQ12" s="19">
        <v>27.1</v>
      </c>
      <c r="AR12" s="17">
        <v>106</v>
      </c>
      <c r="AS12" s="18">
        <v>1994</v>
      </c>
      <c r="AT12" s="18">
        <v>1032</v>
      </c>
      <c r="AU12" s="16" t="s">
        <v>3646</v>
      </c>
      <c r="AV12" s="17" t="s">
        <v>3647</v>
      </c>
      <c r="AW12" s="16" t="s">
        <v>3534</v>
      </c>
      <c r="AX12" s="17">
        <v>1</v>
      </c>
      <c r="AY12" s="17">
        <v>2</v>
      </c>
      <c r="AZ12" s="17">
        <v>5</v>
      </c>
      <c r="BA12" s="17">
        <v>0</v>
      </c>
      <c r="BB12" s="16" t="s">
        <v>3534</v>
      </c>
      <c r="BC12" s="17" t="s">
        <v>3581</v>
      </c>
      <c r="BD12" s="16" t="s">
        <v>3538</v>
      </c>
      <c r="BE12" s="16" t="s">
        <v>3648</v>
      </c>
      <c r="BF12" s="18">
        <v>90909</v>
      </c>
      <c r="BG12" s="16" t="s">
        <v>3538</v>
      </c>
      <c r="BH12" s="16" t="s">
        <v>3649</v>
      </c>
      <c r="BI12" s="18">
        <v>2299</v>
      </c>
      <c r="BJ12" s="18">
        <v>1239</v>
      </c>
      <c r="BK12" s="17">
        <v>4</v>
      </c>
      <c r="BL12" s="17" t="s">
        <v>3540</v>
      </c>
      <c r="BM12" s="18">
        <v>1677</v>
      </c>
      <c r="BN12" s="19">
        <v>296.39999999999998</v>
      </c>
      <c r="BO12" s="17" t="s">
        <v>3541</v>
      </c>
      <c r="BP12" s="23" t="s">
        <v>3641</v>
      </c>
      <c r="BQ12" s="22" t="s">
        <v>3641</v>
      </c>
      <c r="BR12" s="17">
        <v>7</v>
      </c>
      <c r="BS12" s="16" t="s">
        <v>3653</v>
      </c>
      <c r="BT12" s="16" t="s">
        <v>3652</v>
      </c>
      <c r="BU12" s="21" t="s">
        <v>3650</v>
      </c>
      <c r="BV12" s="16" t="s">
        <v>3651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DF355-8675-4037-A262-7612AFFAC09B}">
  <dimension ref="A1:L2160"/>
  <sheetViews>
    <sheetView workbookViewId="0">
      <selection activeCell="B24" sqref="B24"/>
    </sheetView>
  </sheetViews>
  <sheetFormatPr defaultColWidth="8.85546875" defaultRowHeight="15" x14ac:dyDescent="0.25"/>
  <cols>
    <col min="1" max="1" width="11.42578125" bestFit="1" customWidth="1"/>
    <col min="2" max="2" width="58.85546875" bestFit="1" customWidth="1"/>
    <col min="3" max="3" width="25" bestFit="1" customWidth="1"/>
    <col min="4" max="4" width="11.140625" bestFit="1" customWidth="1"/>
    <col min="5" max="5" width="14.28515625" customWidth="1"/>
    <col min="6" max="6" width="16.140625" bestFit="1" customWidth="1"/>
    <col min="7" max="7" width="12.28515625" customWidth="1"/>
    <col min="8" max="8" width="10.7109375" bestFit="1" customWidth="1"/>
    <col min="9" max="9" width="18.42578125" bestFit="1" customWidth="1"/>
    <col min="10" max="10" width="16.42578125" bestFit="1" customWidth="1"/>
    <col min="11" max="11" width="16" bestFit="1" customWidth="1"/>
    <col min="12" max="12" width="26.85546875" bestFit="1" customWidth="1"/>
    <col min="13" max="13" width="23.7109375" bestFit="1" customWidth="1"/>
  </cols>
  <sheetData>
    <row r="1" spans="1:12" s="7" customFormat="1" x14ac:dyDescent="0.25">
      <c r="A1" s="7" t="s">
        <v>1205</v>
      </c>
      <c r="B1" s="7" t="s">
        <v>1206</v>
      </c>
      <c r="C1" s="7" t="s">
        <v>1207</v>
      </c>
      <c r="D1" s="7" t="s">
        <v>1208</v>
      </c>
      <c r="E1" s="7" t="s">
        <v>1209</v>
      </c>
      <c r="F1" s="7" t="s">
        <v>1210</v>
      </c>
      <c r="G1" s="7" t="s">
        <v>1211</v>
      </c>
      <c r="H1" s="7" t="s">
        <v>1212</v>
      </c>
      <c r="I1" s="7" t="s">
        <v>1213</v>
      </c>
      <c r="J1" s="7" t="s">
        <v>1214</v>
      </c>
      <c r="K1" s="7" t="s">
        <v>1215</v>
      </c>
      <c r="L1" s="7" t="s">
        <v>1216</v>
      </c>
    </row>
    <row r="2" spans="1:12" x14ac:dyDescent="0.25">
      <c r="A2" t="s">
        <v>647</v>
      </c>
      <c r="B2" t="s">
        <v>1217</v>
      </c>
      <c r="C2" t="s">
        <v>1218</v>
      </c>
      <c r="E2">
        <v>100</v>
      </c>
      <c r="F2" s="10">
        <v>29526</v>
      </c>
      <c r="G2">
        <v>43</v>
      </c>
      <c r="H2">
        <v>25</v>
      </c>
      <c r="I2" t="s">
        <v>1198</v>
      </c>
      <c r="J2" t="s">
        <v>1219</v>
      </c>
      <c r="K2" t="s">
        <v>1220</v>
      </c>
      <c r="L2">
        <v>1493.3</v>
      </c>
    </row>
    <row r="3" spans="1:12" x14ac:dyDescent="0.25">
      <c r="A3" t="s">
        <v>647</v>
      </c>
      <c r="B3" t="s">
        <v>1221</v>
      </c>
      <c r="C3" t="s">
        <v>1222</v>
      </c>
      <c r="D3" s="13">
        <v>90000</v>
      </c>
      <c r="F3" s="10">
        <v>39814</v>
      </c>
      <c r="G3">
        <v>15</v>
      </c>
      <c r="H3">
        <v>15</v>
      </c>
      <c r="I3" t="s">
        <v>1198</v>
      </c>
    </row>
    <row r="4" spans="1:12" x14ac:dyDescent="0.25">
      <c r="A4" t="s">
        <v>647</v>
      </c>
      <c r="B4" t="s">
        <v>1223</v>
      </c>
      <c r="C4" t="s">
        <v>1222</v>
      </c>
      <c r="D4" s="13">
        <v>48000</v>
      </c>
      <c r="F4" s="10">
        <v>35339</v>
      </c>
      <c r="G4">
        <v>28</v>
      </c>
      <c r="H4">
        <v>15</v>
      </c>
      <c r="I4" t="s">
        <v>1198</v>
      </c>
    </row>
    <row r="5" spans="1:12" x14ac:dyDescent="0.25">
      <c r="A5" t="s">
        <v>647</v>
      </c>
      <c r="B5" t="s">
        <v>1224</v>
      </c>
      <c r="C5" t="s">
        <v>1225</v>
      </c>
      <c r="D5" s="13">
        <v>90000</v>
      </c>
      <c r="F5" s="10">
        <v>39965</v>
      </c>
      <c r="G5">
        <v>15</v>
      </c>
      <c r="H5">
        <v>15</v>
      </c>
      <c r="I5" t="s">
        <v>1198</v>
      </c>
    </row>
    <row r="6" spans="1:12" x14ac:dyDescent="0.25">
      <c r="A6" t="s">
        <v>647</v>
      </c>
      <c r="B6" t="s">
        <v>1226</v>
      </c>
      <c r="C6" t="s">
        <v>1225</v>
      </c>
      <c r="D6" s="13">
        <v>36000</v>
      </c>
      <c r="F6" s="10">
        <v>35339</v>
      </c>
      <c r="G6">
        <v>28</v>
      </c>
      <c r="H6">
        <v>15</v>
      </c>
      <c r="I6" t="s">
        <v>1198</v>
      </c>
    </row>
    <row r="7" spans="1:12" x14ac:dyDescent="0.25">
      <c r="A7" t="s">
        <v>647</v>
      </c>
      <c r="B7" t="s">
        <v>1227</v>
      </c>
      <c r="C7" t="s">
        <v>1225</v>
      </c>
      <c r="I7" t="s">
        <v>1198</v>
      </c>
    </row>
    <row r="8" spans="1:12" x14ac:dyDescent="0.25">
      <c r="A8" t="s">
        <v>647</v>
      </c>
      <c r="B8" t="s">
        <v>1228</v>
      </c>
      <c r="C8" t="s">
        <v>1225</v>
      </c>
      <c r="I8" t="s">
        <v>1198</v>
      </c>
    </row>
    <row r="9" spans="1:12" x14ac:dyDescent="0.25">
      <c r="A9" t="s">
        <v>647</v>
      </c>
      <c r="B9" t="s">
        <v>1229</v>
      </c>
      <c r="C9" t="s">
        <v>1222</v>
      </c>
      <c r="I9" t="s">
        <v>1198</v>
      </c>
    </row>
    <row r="10" spans="1:12" x14ac:dyDescent="0.25">
      <c r="A10" t="s">
        <v>339</v>
      </c>
      <c r="B10" t="s">
        <v>1230</v>
      </c>
      <c r="C10" t="s">
        <v>1218</v>
      </c>
      <c r="E10">
        <v>75</v>
      </c>
      <c r="F10" s="10">
        <v>31199</v>
      </c>
      <c r="G10">
        <v>39</v>
      </c>
      <c r="H10">
        <v>25</v>
      </c>
      <c r="I10" t="s">
        <v>1198</v>
      </c>
      <c r="J10" t="s">
        <v>1219</v>
      </c>
      <c r="K10" t="s">
        <v>1220</v>
      </c>
      <c r="L10">
        <v>39.700000000000003</v>
      </c>
    </row>
    <row r="11" spans="1:12" x14ac:dyDescent="0.25">
      <c r="A11" t="s">
        <v>339</v>
      </c>
      <c r="B11" t="s">
        <v>1231</v>
      </c>
      <c r="C11" t="s">
        <v>1225</v>
      </c>
      <c r="D11" s="13">
        <v>60000</v>
      </c>
      <c r="I11" t="s">
        <v>1198</v>
      </c>
    </row>
    <row r="12" spans="1:12" x14ac:dyDescent="0.25">
      <c r="A12" t="s">
        <v>339</v>
      </c>
      <c r="B12" t="s">
        <v>1232</v>
      </c>
      <c r="C12" t="s">
        <v>1225</v>
      </c>
      <c r="D12" s="13">
        <v>60000</v>
      </c>
      <c r="I12" t="s">
        <v>1198</v>
      </c>
    </row>
    <row r="13" spans="1:12" x14ac:dyDescent="0.25">
      <c r="A13" t="s">
        <v>122</v>
      </c>
      <c r="B13" t="s">
        <v>1233</v>
      </c>
      <c r="C13" t="s">
        <v>1218</v>
      </c>
      <c r="E13">
        <v>60</v>
      </c>
      <c r="I13" t="s">
        <v>1198</v>
      </c>
      <c r="J13" t="s">
        <v>1219</v>
      </c>
      <c r="K13" t="s">
        <v>1234</v>
      </c>
      <c r="L13">
        <v>977.4</v>
      </c>
    </row>
    <row r="14" spans="1:12" x14ac:dyDescent="0.25">
      <c r="A14" t="s">
        <v>122</v>
      </c>
      <c r="B14" t="s">
        <v>1235</v>
      </c>
      <c r="C14" t="s">
        <v>1225</v>
      </c>
      <c r="D14" s="13">
        <v>42000</v>
      </c>
      <c r="F14" s="10">
        <v>41944</v>
      </c>
      <c r="G14">
        <v>9</v>
      </c>
      <c r="H14">
        <v>15</v>
      </c>
      <c r="I14" t="s">
        <v>1199</v>
      </c>
    </row>
    <row r="15" spans="1:12" x14ac:dyDescent="0.25">
      <c r="A15" t="s">
        <v>122</v>
      </c>
      <c r="B15" t="s">
        <v>1236</v>
      </c>
      <c r="C15" t="s">
        <v>1222</v>
      </c>
      <c r="D15" s="13">
        <v>42000</v>
      </c>
      <c r="I15" t="s">
        <v>1198</v>
      </c>
    </row>
    <row r="16" spans="1:12" x14ac:dyDescent="0.25">
      <c r="A16" t="s">
        <v>122</v>
      </c>
      <c r="B16" t="s">
        <v>1237</v>
      </c>
      <c r="C16" t="s">
        <v>1238</v>
      </c>
      <c r="D16" s="13">
        <v>60000</v>
      </c>
      <c r="F16" s="10">
        <v>43617</v>
      </c>
      <c r="G16">
        <v>5</v>
      </c>
      <c r="H16">
        <v>15</v>
      </c>
      <c r="I16" t="s">
        <v>1199</v>
      </c>
    </row>
    <row r="17" spans="1:12" x14ac:dyDescent="0.25">
      <c r="A17" t="s">
        <v>122</v>
      </c>
      <c r="B17" t="s">
        <v>1239</v>
      </c>
      <c r="C17" t="s">
        <v>1238</v>
      </c>
      <c r="I17" t="s">
        <v>1198</v>
      </c>
    </row>
    <row r="18" spans="1:12" x14ac:dyDescent="0.25">
      <c r="A18" t="s">
        <v>122</v>
      </c>
      <c r="B18" t="s">
        <v>1240</v>
      </c>
      <c r="C18" t="s">
        <v>1238</v>
      </c>
      <c r="F18" s="10">
        <v>42736</v>
      </c>
      <c r="I18" t="s">
        <v>1198</v>
      </c>
    </row>
    <row r="19" spans="1:12" x14ac:dyDescent="0.25">
      <c r="A19" t="s">
        <v>334</v>
      </c>
      <c r="B19" t="s">
        <v>1241</v>
      </c>
      <c r="C19" t="s">
        <v>1218</v>
      </c>
      <c r="E19">
        <v>125</v>
      </c>
      <c r="F19" s="10">
        <v>32157</v>
      </c>
      <c r="G19">
        <v>36</v>
      </c>
      <c r="H19">
        <v>25</v>
      </c>
      <c r="I19" t="s">
        <v>1198</v>
      </c>
      <c r="J19" t="s">
        <v>1219</v>
      </c>
      <c r="K19" t="s">
        <v>1220</v>
      </c>
      <c r="L19">
        <v>168.8</v>
      </c>
    </row>
    <row r="20" spans="1:12" x14ac:dyDescent="0.25">
      <c r="A20" t="s">
        <v>334</v>
      </c>
      <c r="B20" t="s">
        <v>1242</v>
      </c>
      <c r="C20" t="s">
        <v>1222</v>
      </c>
      <c r="D20" s="13">
        <v>24000</v>
      </c>
      <c r="I20" t="s">
        <v>1198</v>
      </c>
    </row>
    <row r="21" spans="1:12" x14ac:dyDescent="0.25">
      <c r="A21" t="s">
        <v>334</v>
      </c>
      <c r="B21" t="s">
        <v>1243</v>
      </c>
      <c r="C21" t="s">
        <v>1222</v>
      </c>
      <c r="D21" s="13">
        <v>90000</v>
      </c>
      <c r="F21" s="10">
        <v>37408</v>
      </c>
      <c r="G21">
        <v>22</v>
      </c>
      <c r="H21">
        <v>15</v>
      </c>
      <c r="I21" t="s">
        <v>1198</v>
      </c>
    </row>
    <row r="22" spans="1:12" x14ac:dyDescent="0.25">
      <c r="A22" t="s">
        <v>334</v>
      </c>
      <c r="B22" t="s">
        <v>1244</v>
      </c>
      <c r="C22" t="s">
        <v>1222</v>
      </c>
      <c r="D22" s="13">
        <v>48000</v>
      </c>
      <c r="F22" s="10">
        <v>33786</v>
      </c>
      <c r="G22">
        <v>32</v>
      </c>
      <c r="H22">
        <v>15</v>
      </c>
      <c r="I22" t="s">
        <v>1198</v>
      </c>
    </row>
    <row r="23" spans="1:12" x14ac:dyDescent="0.25">
      <c r="A23" t="s">
        <v>334</v>
      </c>
      <c r="B23" t="s">
        <v>1245</v>
      </c>
      <c r="C23" t="s">
        <v>1225</v>
      </c>
      <c r="D23" s="13">
        <v>90000</v>
      </c>
      <c r="F23" s="10">
        <v>39479</v>
      </c>
      <c r="G23">
        <v>16</v>
      </c>
      <c r="H23">
        <v>15</v>
      </c>
      <c r="I23" t="s">
        <v>1198</v>
      </c>
    </row>
    <row r="24" spans="1:12" x14ac:dyDescent="0.25">
      <c r="A24" t="s">
        <v>334</v>
      </c>
      <c r="B24" t="s">
        <v>1246</v>
      </c>
      <c r="C24" t="s">
        <v>1225</v>
      </c>
      <c r="D24" s="13">
        <v>90000</v>
      </c>
      <c r="F24" s="10">
        <v>39479</v>
      </c>
      <c r="G24">
        <v>16</v>
      </c>
      <c r="H24">
        <v>15</v>
      </c>
      <c r="I24" t="s">
        <v>1198</v>
      </c>
    </row>
    <row r="25" spans="1:12" x14ac:dyDescent="0.25">
      <c r="A25" t="s">
        <v>334</v>
      </c>
      <c r="B25" t="s">
        <v>1247</v>
      </c>
      <c r="C25" t="s">
        <v>1225</v>
      </c>
      <c r="D25" s="13">
        <v>48000</v>
      </c>
      <c r="F25" s="10">
        <v>33970</v>
      </c>
      <c r="G25">
        <v>31</v>
      </c>
      <c r="H25">
        <v>15</v>
      </c>
      <c r="I25" t="s">
        <v>1198</v>
      </c>
    </row>
    <row r="26" spans="1:12" x14ac:dyDescent="0.25">
      <c r="A26" t="s">
        <v>334</v>
      </c>
      <c r="B26" t="s">
        <v>1248</v>
      </c>
      <c r="C26" t="s">
        <v>1225</v>
      </c>
      <c r="D26" s="13">
        <v>36000</v>
      </c>
      <c r="F26" s="10">
        <v>44698</v>
      </c>
      <c r="G26">
        <v>2</v>
      </c>
      <c r="H26">
        <v>15</v>
      </c>
      <c r="I26" t="s">
        <v>1199</v>
      </c>
    </row>
    <row r="27" spans="1:12" x14ac:dyDescent="0.25">
      <c r="A27" t="s">
        <v>334</v>
      </c>
      <c r="B27" t="s">
        <v>1249</v>
      </c>
      <c r="C27" t="s">
        <v>1222</v>
      </c>
      <c r="D27" s="13">
        <v>36000</v>
      </c>
      <c r="F27" s="10">
        <v>44698</v>
      </c>
      <c r="G27">
        <v>2</v>
      </c>
      <c r="H27">
        <v>15</v>
      </c>
      <c r="I27" t="s">
        <v>1199</v>
      </c>
    </row>
    <row r="28" spans="1:12" x14ac:dyDescent="0.25">
      <c r="A28" t="s">
        <v>654</v>
      </c>
      <c r="B28" t="s">
        <v>1250</v>
      </c>
      <c r="C28" t="s">
        <v>1218</v>
      </c>
      <c r="E28">
        <v>350</v>
      </c>
      <c r="F28" s="10">
        <v>37438</v>
      </c>
      <c r="G28">
        <v>22</v>
      </c>
      <c r="H28">
        <v>25</v>
      </c>
      <c r="I28" t="s">
        <v>1199</v>
      </c>
      <c r="J28" t="s">
        <v>1219</v>
      </c>
      <c r="K28" t="s">
        <v>1234</v>
      </c>
      <c r="L28">
        <v>757.9</v>
      </c>
    </row>
    <row r="29" spans="1:12" x14ac:dyDescent="0.25">
      <c r="A29" t="s">
        <v>654</v>
      </c>
      <c r="B29" t="s">
        <v>1251</v>
      </c>
      <c r="C29" t="s">
        <v>1222</v>
      </c>
      <c r="D29" s="13">
        <v>24000</v>
      </c>
      <c r="F29" s="10">
        <v>38443</v>
      </c>
      <c r="G29">
        <v>19</v>
      </c>
      <c r="H29">
        <v>15</v>
      </c>
      <c r="I29" t="s">
        <v>1198</v>
      </c>
    </row>
    <row r="30" spans="1:12" x14ac:dyDescent="0.25">
      <c r="A30" t="s">
        <v>654</v>
      </c>
      <c r="B30" t="s">
        <v>1252</v>
      </c>
      <c r="C30" t="s">
        <v>1225</v>
      </c>
      <c r="I30" t="s">
        <v>1198</v>
      </c>
    </row>
    <row r="31" spans="1:12" x14ac:dyDescent="0.25">
      <c r="A31" t="s">
        <v>654</v>
      </c>
      <c r="B31" t="s">
        <v>1253</v>
      </c>
      <c r="C31" t="s">
        <v>1225</v>
      </c>
      <c r="D31" s="13">
        <v>24000</v>
      </c>
      <c r="F31" s="10">
        <v>38292</v>
      </c>
      <c r="G31">
        <v>19</v>
      </c>
      <c r="H31">
        <v>15</v>
      </c>
      <c r="I31" t="s">
        <v>1198</v>
      </c>
    </row>
    <row r="32" spans="1:12" x14ac:dyDescent="0.25">
      <c r="A32" t="s">
        <v>654</v>
      </c>
      <c r="B32" t="s">
        <v>1254</v>
      </c>
      <c r="C32" t="s">
        <v>1225</v>
      </c>
      <c r="D32" s="13">
        <v>60000</v>
      </c>
      <c r="F32" s="10">
        <v>42370</v>
      </c>
      <c r="G32">
        <v>8</v>
      </c>
      <c r="H32">
        <v>15</v>
      </c>
      <c r="I32" t="s">
        <v>1199</v>
      </c>
    </row>
    <row r="33" spans="1:12" x14ac:dyDescent="0.25">
      <c r="A33" t="s">
        <v>654</v>
      </c>
      <c r="B33" t="s">
        <v>1255</v>
      </c>
      <c r="C33" t="s">
        <v>1222</v>
      </c>
      <c r="D33" s="13">
        <v>60000</v>
      </c>
      <c r="F33" s="10">
        <v>42370</v>
      </c>
      <c r="G33">
        <v>8</v>
      </c>
      <c r="H33">
        <v>15</v>
      </c>
      <c r="I33" t="s">
        <v>1199</v>
      </c>
    </row>
    <row r="34" spans="1:12" x14ac:dyDescent="0.25">
      <c r="A34" t="s">
        <v>654</v>
      </c>
      <c r="B34" t="s">
        <v>1256</v>
      </c>
      <c r="C34" t="s">
        <v>1225</v>
      </c>
      <c r="D34" s="13">
        <v>36000</v>
      </c>
      <c r="I34" t="s">
        <v>1198</v>
      </c>
    </row>
    <row r="35" spans="1:12" x14ac:dyDescent="0.25">
      <c r="A35" t="s">
        <v>654</v>
      </c>
      <c r="B35" t="s">
        <v>1257</v>
      </c>
      <c r="C35" t="s">
        <v>1222</v>
      </c>
      <c r="D35" s="13">
        <v>36000</v>
      </c>
      <c r="I35" t="s">
        <v>1198</v>
      </c>
    </row>
    <row r="36" spans="1:12" x14ac:dyDescent="0.25">
      <c r="A36" t="s">
        <v>654</v>
      </c>
      <c r="B36" t="s">
        <v>1258</v>
      </c>
      <c r="C36" t="s">
        <v>1222</v>
      </c>
      <c r="I36" t="s">
        <v>1198</v>
      </c>
    </row>
    <row r="37" spans="1:12" x14ac:dyDescent="0.25">
      <c r="A37" t="s">
        <v>654</v>
      </c>
      <c r="B37" t="s">
        <v>1259</v>
      </c>
      <c r="C37" t="s">
        <v>1260</v>
      </c>
      <c r="I37" t="s">
        <v>1198</v>
      </c>
    </row>
    <row r="38" spans="1:12" x14ac:dyDescent="0.25">
      <c r="A38" t="s">
        <v>513</v>
      </c>
      <c r="B38" t="s">
        <v>1261</v>
      </c>
      <c r="C38" t="s">
        <v>1262</v>
      </c>
      <c r="I38" t="s">
        <v>1198</v>
      </c>
    </row>
    <row r="39" spans="1:12" x14ac:dyDescent="0.25">
      <c r="A39" t="s">
        <v>513</v>
      </c>
      <c r="B39" t="s">
        <v>1263</v>
      </c>
      <c r="C39" t="s">
        <v>1218</v>
      </c>
      <c r="E39">
        <v>115</v>
      </c>
      <c r="I39" t="s">
        <v>1198</v>
      </c>
      <c r="J39" t="s">
        <v>1219</v>
      </c>
      <c r="K39" t="s">
        <v>1234</v>
      </c>
      <c r="L39">
        <v>406.4</v>
      </c>
    </row>
    <row r="40" spans="1:12" x14ac:dyDescent="0.25">
      <c r="A40" t="s">
        <v>513</v>
      </c>
      <c r="B40" t="s">
        <v>1264</v>
      </c>
      <c r="C40" t="s">
        <v>1225</v>
      </c>
      <c r="F40" s="10">
        <v>42656</v>
      </c>
      <c r="G40">
        <v>7</v>
      </c>
      <c r="H40">
        <v>15</v>
      </c>
      <c r="I40" t="s">
        <v>1199</v>
      </c>
    </row>
    <row r="41" spans="1:12" x14ac:dyDescent="0.25">
      <c r="A41" t="s">
        <v>513</v>
      </c>
      <c r="B41" t="s">
        <v>1265</v>
      </c>
      <c r="C41" t="s">
        <v>1222</v>
      </c>
      <c r="F41" s="10">
        <v>42656</v>
      </c>
      <c r="G41">
        <v>7</v>
      </c>
      <c r="H41">
        <v>15</v>
      </c>
      <c r="I41" t="s">
        <v>1199</v>
      </c>
    </row>
    <row r="42" spans="1:12" x14ac:dyDescent="0.25">
      <c r="A42" t="s">
        <v>513</v>
      </c>
      <c r="B42" t="s">
        <v>1266</v>
      </c>
      <c r="C42" t="s">
        <v>1262</v>
      </c>
      <c r="F42" s="10">
        <v>44607</v>
      </c>
      <c r="G42">
        <v>2</v>
      </c>
      <c r="H42">
        <v>15</v>
      </c>
      <c r="I42" t="s">
        <v>1199</v>
      </c>
    </row>
    <row r="43" spans="1:12" x14ac:dyDescent="0.25">
      <c r="A43" t="s">
        <v>513</v>
      </c>
      <c r="B43" t="s">
        <v>1267</v>
      </c>
      <c r="C43" t="s">
        <v>1225</v>
      </c>
      <c r="D43" s="13">
        <v>180000</v>
      </c>
      <c r="F43" s="10">
        <v>44753</v>
      </c>
      <c r="G43">
        <v>2</v>
      </c>
      <c r="H43">
        <v>15</v>
      </c>
      <c r="I43" t="s">
        <v>1199</v>
      </c>
    </row>
    <row r="44" spans="1:12" x14ac:dyDescent="0.25">
      <c r="A44" t="s">
        <v>513</v>
      </c>
      <c r="B44" t="s">
        <v>1268</v>
      </c>
      <c r="C44" t="s">
        <v>1222</v>
      </c>
      <c r="D44" s="13">
        <v>180000</v>
      </c>
      <c r="F44" s="10">
        <v>44753</v>
      </c>
      <c r="G44">
        <v>2</v>
      </c>
      <c r="H44">
        <v>15</v>
      </c>
      <c r="I44" t="s">
        <v>1199</v>
      </c>
    </row>
    <row r="45" spans="1:12" x14ac:dyDescent="0.25">
      <c r="A45" t="s">
        <v>83</v>
      </c>
      <c r="B45" t="s">
        <v>1269</v>
      </c>
      <c r="C45" t="s">
        <v>1218</v>
      </c>
      <c r="E45">
        <v>80</v>
      </c>
      <c r="F45" s="10">
        <v>36984</v>
      </c>
      <c r="G45">
        <v>23</v>
      </c>
      <c r="H45">
        <v>25</v>
      </c>
      <c r="I45" t="s">
        <v>1199</v>
      </c>
      <c r="J45" t="s">
        <v>1219</v>
      </c>
      <c r="K45" t="s">
        <v>1234</v>
      </c>
      <c r="L45">
        <v>657.1</v>
      </c>
    </row>
    <row r="46" spans="1:12" x14ac:dyDescent="0.25">
      <c r="A46" t="s">
        <v>83</v>
      </c>
      <c r="B46" t="s">
        <v>1270</v>
      </c>
      <c r="C46" t="s">
        <v>1225</v>
      </c>
      <c r="D46" s="13">
        <v>90000</v>
      </c>
      <c r="F46" s="10">
        <v>38961</v>
      </c>
      <c r="G46">
        <v>18</v>
      </c>
      <c r="H46">
        <v>15</v>
      </c>
      <c r="I46" t="s">
        <v>1198</v>
      </c>
    </row>
    <row r="47" spans="1:12" x14ac:dyDescent="0.25">
      <c r="A47" t="s">
        <v>83</v>
      </c>
      <c r="B47" t="s">
        <v>1271</v>
      </c>
      <c r="C47" t="s">
        <v>1222</v>
      </c>
      <c r="D47" s="13">
        <v>90000</v>
      </c>
      <c r="F47" s="10">
        <v>40695</v>
      </c>
      <c r="G47">
        <v>13</v>
      </c>
      <c r="H47">
        <v>15</v>
      </c>
      <c r="I47" t="s">
        <v>1199</v>
      </c>
    </row>
    <row r="48" spans="1:12" x14ac:dyDescent="0.25">
      <c r="A48" t="s">
        <v>83</v>
      </c>
      <c r="B48" t="s">
        <v>1272</v>
      </c>
      <c r="C48" t="s">
        <v>1225</v>
      </c>
      <c r="D48" s="13">
        <v>90000</v>
      </c>
      <c r="F48" s="10">
        <v>43983</v>
      </c>
      <c r="G48">
        <v>4</v>
      </c>
      <c r="H48">
        <v>15</v>
      </c>
      <c r="I48" t="s">
        <v>1199</v>
      </c>
    </row>
    <row r="49" spans="1:12" x14ac:dyDescent="0.25">
      <c r="A49" t="s">
        <v>83</v>
      </c>
      <c r="B49" t="s">
        <v>1273</v>
      </c>
      <c r="C49" t="s">
        <v>1222</v>
      </c>
      <c r="D49" s="13">
        <v>90000</v>
      </c>
      <c r="F49" s="10">
        <v>43983</v>
      </c>
      <c r="G49">
        <v>4</v>
      </c>
      <c r="H49">
        <v>15</v>
      </c>
      <c r="I49" t="s">
        <v>1199</v>
      </c>
    </row>
    <row r="50" spans="1:12" x14ac:dyDescent="0.25">
      <c r="A50" t="s">
        <v>83</v>
      </c>
      <c r="B50" t="s">
        <v>1274</v>
      </c>
      <c r="C50" t="s">
        <v>1225</v>
      </c>
      <c r="D50" s="13">
        <v>120000</v>
      </c>
      <c r="I50" t="s">
        <v>1198</v>
      </c>
    </row>
    <row r="51" spans="1:12" x14ac:dyDescent="0.25">
      <c r="A51" t="s">
        <v>83</v>
      </c>
      <c r="B51" t="s">
        <v>1275</v>
      </c>
      <c r="C51" t="s">
        <v>1222</v>
      </c>
      <c r="D51" s="13">
        <v>120000</v>
      </c>
      <c r="F51" s="10">
        <v>45444</v>
      </c>
      <c r="I51" t="s">
        <v>1198</v>
      </c>
    </row>
    <row r="52" spans="1:12" x14ac:dyDescent="0.25">
      <c r="A52" t="s">
        <v>907</v>
      </c>
      <c r="B52" t="s">
        <v>1276</v>
      </c>
      <c r="C52" t="s">
        <v>1218</v>
      </c>
      <c r="E52">
        <v>155</v>
      </c>
      <c r="F52" s="10">
        <v>27851</v>
      </c>
      <c r="G52">
        <v>48</v>
      </c>
      <c r="H52">
        <v>25</v>
      </c>
      <c r="I52" t="s">
        <v>1198</v>
      </c>
      <c r="J52" t="s">
        <v>1219</v>
      </c>
      <c r="K52" t="s">
        <v>1234</v>
      </c>
      <c r="L52">
        <v>1288</v>
      </c>
    </row>
    <row r="53" spans="1:12" x14ac:dyDescent="0.25">
      <c r="A53" t="s">
        <v>907</v>
      </c>
      <c r="B53" t="s">
        <v>1277</v>
      </c>
      <c r="C53" t="s">
        <v>1225</v>
      </c>
      <c r="D53" s="13">
        <v>120000</v>
      </c>
      <c r="F53" s="10">
        <v>44562</v>
      </c>
      <c r="G53">
        <v>2</v>
      </c>
      <c r="H53">
        <v>15</v>
      </c>
      <c r="I53" t="s">
        <v>1199</v>
      </c>
    </row>
    <row r="54" spans="1:12" x14ac:dyDescent="0.25">
      <c r="A54" t="s">
        <v>907</v>
      </c>
      <c r="B54" t="s">
        <v>1278</v>
      </c>
      <c r="C54" t="s">
        <v>1222</v>
      </c>
      <c r="D54" s="13">
        <v>120000</v>
      </c>
      <c r="F54" s="10">
        <v>44927</v>
      </c>
      <c r="G54">
        <v>1</v>
      </c>
      <c r="H54">
        <v>15</v>
      </c>
      <c r="I54" t="s">
        <v>1199</v>
      </c>
    </row>
    <row r="55" spans="1:12" x14ac:dyDescent="0.25">
      <c r="A55" t="s">
        <v>907</v>
      </c>
      <c r="B55" t="s">
        <v>1279</v>
      </c>
      <c r="C55" t="s">
        <v>1225</v>
      </c>
      <c r="D55" s="13">
        <v>120000</v>
      </c>
      <c r="F55" s="10">
        <v>41852</v>
      </c>
      <c r="G55">
        <v>10</v>
      </c>
      <c r="H55">
        <v>15</v>
      </c>
      <c r="I55" t="s">
        <v>1199</v>
      </c>
    </row>
    <row r="56" spans="1:12" x14ac:dyDescent="0.25">
      <c r="A56" t="s">
        <v>907</v>
      </c>
      <c r="B56" t="s">
        <v>1280</v>
      </c>
      <c r="C56" t="s">
        <v>1225</v>
      </c>
      <c r="D56" s="13">
        <v>120000</v>
      </c>
      <c r="F56" s="10">
        <v>41852</v>
      </c>
      <c r="G56">
        <v>10</v>
      </c>
      <c r="H56">
        <v>15</v>
      </c>
      <c r="I56" t="s">
        <v>1199</v>
      </c>
    </row>
    <row r="57" spans="1:12" x14ac:dyDescent="0.25">
      <c r="A57" t="s">
        <v>907</v>
      </c>
      <c r="B57" t="s">
        <v>1281</v>
      </c>
      <c r="C57" t="s">
        <v>1222</v>
      </c>
      <c r="D57" s="13">
        <v>120000</v>
      </c>
      <c r="F57" s="10">
        <v>41791</v>
      </c>
      <c r="G57">
        <v>10</v>
      </c>
      <c r="H57">
        <v>15</v>
      </c>
      <c r="I57" t="s">
        <v>1199</v>
      </c>
    </row>
    <row r="58" spans="1:12" x14ac:dyDescent="0.25">
      <c r="A58" t="s">
        <v>907</v>
      </c>
      <c r="B58" t="s">
        <v>1282</v>
      </c>
      <c r="C58" t="s">
        <v>1222</v>
      </c>
      <c r="D58" s="13">
        <v>120000</v>
      </c>
      <c r="F58" s="10">
        <v>41791</v>
      </c>
      <c r="G58">
        <v>10</v>
      </c>
      <c r="H58">
        <v>15</v>
      </c>
      <c r="I58" t="s">
        <v>1199</v>
      </c>
    </row>
    <row r="59" spans="1:12" x14ac:dyDescent="0.25">
      <c r="A59" t="s">
        <v>907</v>
      </c>
      <c r="B59" t="s">
        <v>1283</v>
      </c>
      <c r="C59" t="s">
        <v>1225</v>
      </c>
      <c r="D59" s="13">
        <v>90000</v>
      </c>
      <c r="F59" s="10">
        <v>43466</v>
      </c>
      <c r="G59">
        <v>5</v>
      </c>
      <c r="H59">
        <v>15</v>
      </c>
      <c r="I59" t="s">
        <v>1199</v>
      </c>
    </row>
    <row r="60" spans="1:12" x14ac:dyDescent="0.25">
      <c r="A60" t="s">
        <v>907</v>
      </c>
      <c r="B60" t="s">
        <v>1284</v>
      </c>
      <c r="C60" t="s">
        <v>1222</v>
      </c>
      <c r="D60" s="13">
        <v>90000</v>
      </c>
      <c r="F60" s="10">
        <v>43101</v>
      </c>
      <c r="G60">
        <v>6</v>
      </c>
      <c r="H60">
        <v>15</v>
      </c>
      <c r="I60" t="s">
        <v>1199</v>
      </c>
    </row>
    <row r="61" spans="1:12" x14ac:dyDescent="0.25">
      <c r="A61" t="s">
        <v>907</v>
      </c>
      <c r="B61" t="s">
        <v>1285</v>
      </c>
      <c r="C61" t="s">
        <v>1225</v>
      </c>
      <c r="D61" s="13">
        <v>90000</v>
      </c>
      <c r="F61" s="10">
        <v>40909</v>
      </c>
      <c r="G61">
        <v>12</v>
      </c>
      <c r="H61">
        <v>15</v>
      </c>
      <c r="I61" t="s">
        <v>1199</v>
      </c>
    </row>
    <row r="62" spans="1:12" x14ac:dyDescent="0.25">
      <c r="A62" t="s">
        <v>907</v>
      </c>
      <c r="B62" t="s">
        <v>1286</v>
      </c>
      <c r="C62" t="s">
        <v>1222</v>
      </c>
      <c r="D62" s="13">
        <v>90000</v>
      </c>
      <c r="F62" s="10">
        <v>43101</v>
      </c>
      <c r="G62">
        <v>6</v>
      </c>
      <c r="H62">
        <v>15</v>
      </c>
      <c r="I62" t="s">
        <v>1199</v>
      </c>
    </row>
    <row r="63" spans="1:12" x14ac:dyDescent="0.25">
      <c r="A63" t="s">
        <v>907</v>
      </c>
      <c r="B63" t="s">
        <v>1287</v>
      </c>
      <c r="C63" t="s">
        <v>1225</v>
      </c>
      <c r="I63" t="s">
        <v>1198</v>
      </c>
    </row>
    <row r="64" spans="1:12" x14ac:dyDescent="0.25">
      <c r="A64" t="s">
        <v>907</v>
      </c>
      <c r="B64" t="s">
        <v>1288</v>
      </c>
      <c r="C64" t="s">
        <v>1222</v>
      </c>
      <c r="D64" s="13">
        <v>60000</v>
      </c>
      <c r="F64" s="10">
        <v>42370</v>
      </c>
      <c r="G64">
        <v>8</v>
      </c>
      <c r="H64">
        <v>15</v>
      </c>
      <c r="I64" t="s">
        <v>1199</v>
      </c>
    </row>
    <row r="65" spans="1:12" x14ac:dyDescent="0.25">
      <c r="A65" t="s">
        <v>907</v>
      </c>
      <c r="B65" t="s">
        <v>1289</v>
      </c>
      <c r="C65" t="s">
        <v>1225</v>
      </c>
      <c r="D65" s="13">
        <v>60000</v>
      </c>
      <c r="F65" s="10">
        <v>42370</v>
      </c>
      <c r="G65">
        <v>8</v>
      </c>
      <c r="H65">
        <v>15</v>
      </c>
      <c r="I65" t="s">
        <v>1199</v>
      </c>
    </row>
    <row r="66" spans="1:12" x14ac:dyDescent="0.25">
      <c r="A66" t="s">
        <v>907</v>
      </c>
      <c r="B66" t="s">
        <v>1290</v>
      </c>
      <c r="C66" t="s">
        <v>1222</v>
      </c>
      <c r="D66" s="13">
        <v>60000</v>
      </c>
      <c r="F66" s="10">
        <v>42370</v>
      </c>
      <c r="G66">
        <v>8</v>
      </c>
      <c r="H66">
        <v>15</v>
      </c>
      <c r="I66" t="s">
        <v>1199</v>
      </c>
    </row>
    <row r="67" spans="1:12" x14ac:dyDescent="0.25">
      <c r="A67" t="s">
        <v>907</v>
      </c>
      <c r="B67" t="s">
        <v>1291</v>
      </c>
      <c r="C67" t="s">
        <v>1225</v>
      </c>
      <c r="D67" s="13">
        <v>60000</v>
      </c>
      <c r="F67" s="10">
        <v>30682</v>
      </c>
      <c r="G67">
        <v>40</v>
      </c>
      <c r="H67">
        <v>15</v>
      </c>
      <c r="I67" t="s">
        <v>1198</v>
      </c>
    </row>
    <row r="68" spans="1:12" x14ac:dyDescent="0.25">
      <c r="A68" t="s">
        <v>907</v>
      </c>
      <c r="B68" t="s">
        <v>1292</v>
      </c>
      <c r="C68" t="s">
        <v>1238</v>
      </c>
      <c r="D68" s="13">
        <v>72000</v>
      </c>
      <c r="F68" s="10">
        <v>41275</v>
      </c>
      <c r="G68">
        <v>11</v>
      </c>
      <c r="H68">
        <v>15</v>
      </c>
      <c r="I68" t="s">
        <v>1199</v>
      </c>
    </row>
    <row r="69" spans="1:12" x14ac:dyDescent="0.25">
      <c r="A69" t="s">
        <v>907</v>
      </c>
      <c r="B69" t="s">
        <v>1293</v>
      </c>
      <c r="C69" t="s">
        <v>1238</v>
      </c>
      <c r="D69" s="13">
        <v>72000</v>
      </c>
      <c r="F69" s="10">
        <v>41275</v>
      </c>
      <c r="G69">
        <v>11</v>
      </c>
      <c r="H69">
        <v>15</v>
      </c>
      <c r="I69" t="s">
        <v>1199</v>
      </c>
    </row>
    <row r="70" spans="1:12" x14ac:dyDescent="0.25">
      <c r="A70" t="s">
        <v>907</v>
      </c>
      <c r="B70" t="s">
        <v>1294</v>
      </c>
      <c r="C70" t="s">
        <v>1238</v>
      </c>
      <c r="D70" s="13">
        <v>72000</v>
      </c>
      <c r="F70" s="10">
        <v>41275</v>
      </c>
      <c r="G70">
        <v>11</v>
      </c>
      <c r="H70">
        <v>15</v>
      </c>
      <c r="I70" t="s">
        <v>1199</v>
      </c>
    </row>
    <row r="71" spans="1:12" x14ac:dyDescent="0.25">
      <c r="A71" t="s">
        <v>907</v>
      </c>
      <c r="B71" t="s">
        <v>1295</v>
      </c>
      <c r="C71" t="s">
        <v>1296</v>
      </c>
      <c r="I71" t="s">
        <v>1198</v>
      </c>
    </row>
    <row r="72" spans="1:12" x14ac:dyDescent="0.25">
      <c r="A72" t="s">
        <v>1297</v>
      </c>
      <c r="B72" t="s">
        <v>1298</v>
      </c>
      <c r="C72" t="s">
        <v>1218</v>
      </c>
      <c r="E72">
        <v>30</v>
      </c>
      <c r="G72">
        <v>42</v>
      </c>
      <c r="H72">
        <v>25</v>
      </c>
      <c r="I72" t="s">
        <v>1198</v>
      </c>
      <c r="J72" t="s">
        <v>1219</v>
      </c>
      <c r="K72" t="s">
        <v>1220</v>
      </c>
    </row>
    <row r="73" spans="1:12" x14ac:dyDescent="0.25">
      <c r="A73" t="s">
        <v>1297</v>
      </c>
      <c r="B73" t="s">
        <v>1298</v>
      </c>
      <c r="C73" t="s">
        <v>1218</v>
      </c>
      <c r="E73">
        <v>30</v>
      </c>
      <c r="F73" s="10">
        <v>30011</v>
      </c>
      <c r="I73" t="s">
        <v>1198</v>
      </c>
      <c r="J73" t="s">
        <v>1219</v>
      </c>
      <c r="K73" t="s">
        <v>1220</v>
      </c>
      <c r="L73">
        <v>1146.5999999999999</v>
      </c>
    </row>
    <row r="74" spans="1:12" x14ac:dyDescent="0.25">
      <c r="A74" t="s">
        <v>833</v>
      </c>
      <c r="B74" t="s">
        <v>1299</v>
      </c>
      <c r="C74" t="s">
        <v>1225</v>
      </c>
      <c r="D74" s="13">
        <v>240000</v>
      </c>
      <c r="F74" s="10">
        <v>41640</v>
      </c>
      <c r="G74">
        <v>10</v>
      </c>
      <c r="H74">
        <v>15</v>
      </c>
      <c r="I74" t="s">
        <v>1199</v>
      </c>
    </row>
    <row r="75" spans="1:12" x14ac:dyDescent="0.25">
      <c r="A75" t="s">
        <v>833</v>
      </c>
      <c r="B75" t="s">
        <v>1300</v>
      </c>
      <c r="C75" t="s">
        <v>1225</v>
      </c>
      <c r="D75" s="13">
        <v>240000</v>
      </c>
      <c r="F75" s="10">
        <v>41640</v>
      </c>
      <c r="G75">
        <v>10</v>
      </c>
      <c r="H75">
        <v>15</v>
      </c>
      <c r="I75" t="s">
        <v>1199</v>
      </c>
    </row>
    <row r="76" spans="1:12" x14ac:dyDescent="0.25">
      <c r="A76" t="s">
        <v>833</v>
      </c>
      <c r="B76" t="s">
        <v>1301</v>
      </c>
      <c r="C76" t="s">
        <v>1238</v>
      </c>
      <c r="D76" s="13">
        <v>240000</v>
      </c>
      <c r="F76" s="10">
        <v>36526</v>
      </c>
      <c r="G76">
        <v>24</v>
      </c>
      <c r="H76">
        <v>15</v>
      </c>
      <c r="I76" t="s">
        <v>1198</v>
      </c>
    </row>
    <row r="77" spans="1:12" x14ac:dyDescent="0.25">
      <c r="A77" t="s">
        <v>833</v>
      </c>
      <c r="B77" t="s">
        <v>1302</v>
      </c>
      <c r="C77" t="s">
        <v>1238</v>
      </c>
      <c r="F77" s="10">
        <v>36526</v>
      </c>
      <c r="G77">
        <v>24</v>
      </c>
      <c r="H77">
        <v>15</v>
      </c>
      <c r="I77" t="s">
        <v>1198</v>
      </c>
    </row>
    <row r="78" spans="1:12" x14ac:dyDescent="0.25">
      <c r="A78" t="s">
        <v>833</v>
      </c>
      <c r="B78" t="s">
        <v>1303</v>
      </c>
      <c r="C78" t="s">
        <v>1218</v>
      </c>
      <c r="E78">
        <v>300</v>
      </c>
      <c r="F78" s="10">
        <v>42614</v>
      </c>
      <c r="G78">
        <v>8</v>
      </c>
      <c r="H78">
        <v>25</v>
      </c>
      <c r="I78" t="s">
        <v>1199</v>
      </c>
      <c r="J78" t="s">
        <v>1219</v>
      </c>
      <c r="K78" t="s">
        <v>1234</v>
      </c>
      <c r="L78">
        <v>225.8</v>
      </c>
    </row>
    <row r="79" spans="1:12" x14ac:dyDescent="0.25">
      <c r="A79" t="s">
        <v>833</v>
      </c>
      <c r="B79" t="s">
        <v>1304</v>
      </c>
      <c r="C79" t="s">
        <v>1225</v>
      </c>
      <c r="D79" s="13">
        <v>60000</v>
      </c>
      <c r="F79" s="10">
        <v>44698</v>
      </c>
      <c r="G79">
        <v>2</v>
      </c>
      <c r="H79">
        <v>15</v>
      </c>
      <c r="I79" t="s">
        <v>1199</v>
      </c>
    </row>
    <row r="80" spans="1:12" x14ac:dyDescent="0.25">
      <c r="A80" t="s">
        <v>833</v>
      </c>
      <c r="B80" t="s">
        <v>1305</v>
      </c>
      <c r="C80" t="s">
        <v>1222</v>
      </c>
      <c r="D80" s="13">
        <v>60000</v>
      </c>
      <c r="F80" s="10">
        <v>44698</v>
      </c>
      <c r="G80">
        <v>2</v>
      </c>
      <c r="H80">
        <v>15</v>
      </c>
      <c r="I80" t="s">
        <v>1199</v>
      </c>
    </row>
    <row r="81" spans="1:12" x14ac:dyDescent="0.25">
      <c r="A81" t="s">
        <v>521</v>
      </c>
      <c r="B81" t="s">
        <v>1306</v>
      </c>
      <c r="C81" t="s">
        <v>1218</v>
      </c>
      <c r="E81">
        <v>600</v>
      </c>
      <c r="I81" t="s">
        <v>1198</v>
      </c>
      <c r="J81" t="s">
        <v>1219</v>
      </c>
      <c r="K81" t="s">
        <v>1234</v>
      </c>
      <c r="L81">
        <v>571</v>
      </c>
    </row>
    <row r="82" spans="1:12" x14ac:dyDescent="0.25">
      <c r="A82" t="s">
        <v>521</v>
      </c>
      <c r="B82" t="s">
        <v>1307</v>
      </c>
      <c r="C82" t="s">
        <v>1225</v>
      </c>
      <c r="F82" s="10">
        <v>32874</v>
      </c>
      <c r="I82" t="s">
        <v>1198</v>
      </c>
    </row>
    <row r="83" spans="1:12" x14ac:dyDescent="0.25">
      <c r="A83" t="s">
        <v>521</v>
      </c>
      <c r="B83" t="s">
        <v>1308</v>
      </c>
      <c r="C83" t="s">
        <v>1225</v>
      </c>
      <c r="I83" t="s">
        <v>1198</v>
      </c>
    </row>
    <row r="84" spans="1:12" x14ac:dyDescent="0.25">
      <c r="A84" t="s">
        <v>521</v>
      </c>
      <c r="B84" t="s">
        <v>1309</v>
      </c>
      <c r="C84" t="s">
        <v>1225</v>
      </c>
      <c r="I84" t="s">
        <v>1198</v>
      </c>
    </row>
    <row r="85" spans="1:12" x14ac:dyDescent="0.25">
      <c r="A85" t="s">
        <v>521</v>
      </c>
      <c r="B85" t="s">
        <v>1310</v>
      </c>
      <c r="C85" t="s">
        <v>1225</v>
      </c>
      <c r="F85" s="10">
        <v>31048</v>
      </c>
      <c r="G85">
        <v>39</v>
      </c>
      <c r="H85">
        <v>15</v>
      </c>
      <c r="I85" t="s">
        <v>1198</v>
      </c>
    </row>
    <row r="86" spans="1:12" x14ac:dyDescent="0.25">
      <c r="A86" t="s">
        <v>521</v>
      </c>
      <c r="B86" t="s">
        <v>1311</v>
      </c>
      <c r="C86" t="s">
        <v>1225</v>
      </c>
      <c r="D86" s="13">
        <v>60000</v>
      </c>
      <c r="F86" s="10">
        <v>41791</v>
      </c>
      <c r="G86">
        <v>10</v>
      </c>
      <c r="H86">
        <v>15</v>
      </c>
      <c r="I86" t="s">
        <v>1199</v>
      </c>
    </row>
    <row r="87" spans="1:12" x14ac:dyDescent="0.25">
      <c r="A87" t="s">
        <v>521</v>
      </c>
      <c r="B87" t="s">
        <v>1312</v>
      </c>
      <c r="C87" t="s">
        <v>1225</v>
      </c>
      <c r="D87" s="13">
        <v>240000</v>
      </c>
      <c r="F87" s="10">
        <v>37987</v>
      </c>
      <c r="G87">
        <v>20</v>
      </c>
      <c r="H87">
        <v>15</v>
      </c>
      <c r="I87" t="s">
        <v>1198</v>
      </c>
    </row>
    <row r="88" spans="1:12" x14ac:dyDescent="0.25">
      <c r="A88" t="s">
        <v>521</v>
      </c>
      <c r="B88" t="s">
        <v>1313</v>
      </c>
      <c r="C88" t="s">
        <v>1225</v>
      </c>
      <c r="D88" s="13">
        <v>240000</v>
      </c>
      <c r="F88" s="10">
        <v>32509</v>
      </c>
      <c r="G88">
        <v>35</v>
      </c>
      <c r="H88">
        <v>15</v>
      </c>
      <c r="I88" t="s">
        <v>1198</v>
      </c>
    </row>
    <row r="89" spans="1:12" x14ac:dyDescent="0.25">
      <c r="A89" t="s">
        <v>521</v>
      </c>
      <c r="B89" t="s">
        <v>1314</v>
      </c>
      <c r="C89" t="s">
        <v>1225</v>
      </c>
      <c r="D89" s="13">
        <v>240000</v>
      </c>
      <c r="F89" s="10">
        <v>32509</v>
      </c>
      <c r="G89">
        <v>35</v>
      </c>
      <c r="H89">
        <v>15</v>
      </c>
      <c r="I89" t="s">
        <v>1198</v>
      </c>
    </row>
    <row r="90" spans="1:12" x14ac:dyDescent="0.25">
      <c r="A90" t="s">
        <v>521</v>
      </c>
      <c r="B90" t="s">
        <v>1315</v>
      </c>
      <c r="C90" t="s">
        <v>1225</v>
      </c>
      <c r="D90" s="13">
        <v>240000</v>
      </c>
      <c r="F90" s="10">
        <v>32509</v>
      </c>
      <c r="G90">
        <v>35</v>
      </c>
      <c r="H90">
        <v>15</v>
      </c>
      <c r="I90" t="s">
        <v>1198</v>
      </c>
    </row>
    <row r="91" spans="1:12" x14ac:dyDescent="0.25">
      <c r="A91" t="s">
        <v>521</v>
      </c>
      <c r="B91" t="s">
        <v>1316</v>
      </c>
      <c r="C91" t="s">
        <v>1225</v>
      </c>
      <c r="I91" t="s">
        <v>1198</v>
      </c>
    </row>
    <row r="92" spans="1:12" x14ac:dyDescent="0.25">
      <c r="A92" t="s">
        <v>521</v>
      </c>
      <c r="B92" t="s">
        <v>1317</v>
      </c>
      <c r="C92" t="s">
        <v>1222</v>
      </c>
      <c r="I92" t="s">
        <v>1198</v>
      </c>
    </row>
    <row r="93" spans="1:12" x14ac:dyDescent="0.25">
      <c r="A93" t="s">
        <v>521</v>
      </c>
      <c r="B93" t="s">
        <v>1318</v>
      </c>
      <c r="C93" t="s">
        <v>1225</v>
      </c>
      <c r="I93" t="s">
        <v>1198</v>
      </c>
    </row>
    <row r="94" spans="1:12" x14ac:dyDescent="0.25">
      <c r="A94" t="s">
        <v>521</v>
      </c>
      <c r="B94" t="s">
        <v>1319</v>
      </c>
      <c r="C94" t="s">
        <v>1222</v>
      </c>
      <c r="D94" s="13">
        <v>180000</v>
      </c>
      <c r="F94" s="10">
        <v>44509</v>
      </c>
      <c r="G94">
        <v>2</v>
      </c>
      <c r="H94">
        <v>15</v>
      </c>
      <c r="I94" t="s">
        <v>1199</v>
      </c>
    </row>
    <row r="95" spans="1:12" x14ac:dyDescent="0.25">
      <c r="A95" t="s">
        <v>521</v>
      </c>
      <c r="B95" t="s">
        <v>1320</v>
      </c>
      <c r="C95" t="s">
        <v>1222</v>
      </c>
      <c r="I95" t="s">
        <v>1198</v>
      </c>
    </row>
    <row r="96" spans="1:12" x14ac:dyDescent="0.25">
      <c r="A96" t="s">
        <v>521</v>
      </c>
      <c r="B96" t="s">
        <v>1321</v>
      </c>
      <c r="C96" t="s">
        <v>1225</v>
      </c>
      <c r="I96" t="s">
        <v>1198</v>
      </c>
    </row>
    <row r="97" spans="1:12" x14ac:dyDescent="0.25">
      <c r="A97" t="s">
        <v>521</v>
      </c>
      <c r="B97" t="s">
        <v>1322</v>
      </c>
      <c r="C97" t="s">
        <v>1222</v>
      </c>
      <c r="I97" t="s">
        <v>1198</v>
      </c>
    </row>
    <row r="98" spans="1:12" x14ac:dyDescent="0.25">
      <c r="A98" t="s">
        <v>677</v>
      </c>
      <c r="B98" t="s">
        <v>1323</v>
      </c>
      <c r="C98" t="s">
        <v>1218</v>
      </c>
      <c r="E98">
        <v>150</v>
      </c>
      <c r="F98" s="10">
        <v>30682</v>
      </c>
      <c r="G98">
        <v>40</v>
      </c>
      <c r="H98">
        <v>25</v>
      </c>
      <c r="I98" t="s">
        <v>1198</v>
      </c>
      <c r="J98" t="s">
        <v>1219</v>
      </c>
      <c r="K98" t="s">
        <v>1234</v>
      </c>
      <c r="L98">
        <v>1859</v>
      </c>
    </row>
    <row r="99" spans="1:12" x14ac:dyDescent="0.25">
      <c r="A99" t="s">
        <v>677</v>
      </c>
      <c r="B99" t="s">
        <v>1324</v>
      </c>
      <c r="C99" t="s">
        <v>1222</v>
      </c>
      <c r="I99" t="s">
        <v>1198</v>
      </c>
    </row>
    <row r="100" spans="1:12" x14ac:dyDescent="0.25">
      <c r="A100" t="s">
        <v>677</v>
      </c>
      <c r="B100" t="s">
        <v>1325</v>
      </c>
      <c r="C100" t="s">
        <v>1225</v>
      </c>
      <c r="D100" s="13">
        <v>12000</v>
      </c>
      <c r="F100" s="10">
        <v>42156</v>
      </c>
      <c r="G100">
        <v>9</v>
      </c>
      <c r="H100">
        <v>15</v>
      </c>
      <c r="I100" t="s">
        <v>1199</v>
      </c>
    </row>
    <row r="101" spans="1:12" x14ac:dyDescent="0.25">
      <c r="A101" t="s">
        <v>677</v>
      </c>
      <c r="B101" t="s">
        <v>1326</v>
      </c>
      <c r="C101" t="s">
        <v>1222</v>
      </c>
      <c r="D101" s="13">
        <v>12000</v>
      </c>
      <c r="F101" s="10">
        <v>42095</v>
      </c>
      <c r="G101">
        <v>9</v>
      </c>
      <c r="H101">
        <v>15</v>
      </c>
      <c r="I101" t="s">
        <v>1199</v>
      </c>
    </row>
    <row r="102" spans="1:12" x14ac:dyDescent="0.25">
      <c r="A102" t="s">
        <v>677</v>
      </c>
      <c r="B102" t="s">
        <v>1327</v>
      </c>
      <c r="C102" t="s">
        <v>1225</v>
      </c>
      <c r="I102" t="s">
        <v>1198</v>
      </c>
    </row>
    <row r="103" spans="1:12" x14ac:dyDescent="0.25">
      <c r="A103" t="s">
        <v>677</v>
      </c>
      <c r="B103" t="s">
        <v>1328</v>
      </c>
      <c r="C103" t="s">
        <v>1222</v>
      </c>
      <c r="I103" t="s">
        <v>1198</v>
      </c>
    </row>
    <row r="104" spans="1:12" x14ac:dyDescent="0.25">
      <c r="A104" t="s">
        <v>677</v>
      </c>
      <c r="B104" t="s">
        <v>1329</v>
      </c>
      <c r="C104" t="s">
        <v>1225</v>
      </c>
      <c r="D104" s="13">
        <v>180000</v>
      </c>
      <c r="I104" t="s">
        <v>1198</v>
      </c>
    </row>
    <row r="105" spans="1:12" x14ac:dyDescent="0.25">
      <c r="A105" t="s">
        <v>677</v>
      </c>
      <c r="B105" t="s">
        <v>1330</v>
      </c>
      <c r="C105" t="s">
        <v>1225</v>
      </c>
      <c r="F105" s="10">
        <v>39814</v>
      </c>
      <c r="G105">
        <v>15</v>
      </c>
      <c r="H105">
        <v>15</v>
      </c>
      <c r="I105" t="s">
        <v>1198</v>
      </c>
    </row>
    <row r="106" spans="1:12" x14ac:dyDescent="0.25">
      <c r="A106" t="s">
        <v>677</v>
      </c>
      <c r="B106" t="s">
        <v>1331</v>
      </c>
      <c r="C106" t="s">
        <v>1225</v>
      </c>
      <c r="F106" s="10">
        <v>39814</v>
      </c>
      <c r="G106">
        <v>15</v>
      </c>
      <c r="H106">
        <v>15</v>
      </c>
      <c r="I106" t="s">
        <v>1198</v>
      </c>
    </row>
    <row r="107" spans="1:12" x14ac:dyDescent="0.25">
      <c r="A107" t="s">
        <v>677</v>
      </c>
      <c r="B107" t="s">
        <v>1332</v>
      </c>
      <c r="C107" t="s">
        <v>1222</v>
      </c>
      <c r="F107" s="10">
        <v>39448</v>
      </c>
      <c r="G107">
        <v>16</v>
      </c>
      <c r="H107">
        <v>15</v>
      </c>
      <c r="I107" t="s">
        <v>1198</v>
      </c>
    </row>
    <row r="108" spans="1:12" x14ac:dyDescent="0.25">
      <c r="A108" t="s">
        <v>677</v>
      </c>
      <c r="B108" t="s">
        <v>1333</v>
      </c>
      <c r="C108" t="s">
        <v>1225</v>
      </c>
      <c r="D108" s="13">
        <v>36000</v>
      </c>
      <c r="F108" s="10">
        <v>45505</v>
      </c>
      <c r="I108" t="s">
        <v>1198</v>
      </c>
    </row>
    <row r="109" spans="1:12" x14ac:dyDescent="0.25">
      <c r="A109" t="s">
        <v>677</v>
      </c>
      <c r="B109" t="s">
        <v>1334</v>
      </c>
      <c r="C109" t="s">
        <v>1222</v>
      </c>
      <c r="D109" s="13">
        <v>36000</v>
      </c>
      <c r="F109" s="10">
        <v>45505</v>
      </c>
      <c r="I109" t="s">
        <v>1198</v>
      </c>
    </row>
    <row r="110" spans="1:12" x14ac:dyDescent="0.25">
      <c r="A110" t="s">
        <v>677</v>
      </c>
      <c r="B110" t="s">
        <v>1335</v>
      </c>
      <c r="C110" t="s">
        <v>1222</v>
      </c>
      <c r="I110" t="s">
        <v>1198</v>
      </c>
    </row>
    <row r="111" spans="1:12" x14ac:dyDescent="0.25">
      <c r="A111" t="s">
        <v>677</v>
      </c>
      <c r="B111" t="s">
        <v>1336</v>
      </c>
      <c r="C111" t="s">
        <v>1225</v>
      </c>
      <c r="I111" t="s">
        <v>1198</v>
      </c>
    </row>
    <row r="112" spans="1:12" x14ac:dyDescent="0.25">
      <c r="A112" t="s">
        <v>677</v>
      </c>
      <c r="B112" t="s">
        <v>1337</v>
      </c>
      <c r="C112" t="s">
        <v>1225</v>
      </c>
      <c r="D112" s="13">
        <v>180000</v>
      </c>
      <c r="F112" s="10">
        <v>45915</v>
      </c>
      <c r="I112" t="s">
        <v>1198</v>
      </c>
    </row>
    <row r="113" spans="1:12" x14ac:dyDescent="0.25">
      <c r="A113" t="s">
        <v>677</v>
      </c>
      <c r="B113" t="s">
        <v>1338</v>
      </c>
      <c r="C113" t="s">
        <v>1222</v>
      </c>
      <c r="D113" s="13">
        <v>180000</v>
      </c>
      <c r="F113" s="10">
        <v>45915</v>
      </c>
      <c r="I113" t="s">
        <v>1198</v>
      </c>
    </row>
    <row r="114" spans="1:12" x14ac:dyDescent="0.25">
      <c r="A114" t="s">
        <v>530</v>
      </c>
      <c r="B114" t="s">
        <v>1339</v>
      </c>
      <c r="C114" t="s">
        <v>1218</v>
      </c>
      <c r="E114">
        <v>60</v>
      </c>
      <c r="F114" s="10">
        <v>32962</v>
      </c>
      <c r="G114">
        <v>34</v>
      </c>
      <c r="H114">
        <v>25</v>
      </c>
      <c r="I114" t="s">
        <v>1198</v>
      </c>
      <c r="J114" t="s">
        <v>1219</v>
      </c>
      <c r="K114" t="s">
        <v>1234</v>
      </c>
      <c r="L114">
        <v>1079</v>
      </c>
    </row>
    <row r="115" spans="1:12" x14ac:dyDescent="0.25">
      <c r="A115" t="s">
        <v>530</v>
      </c>
      <c r="B115" t="s">
        <v>1340</v>
      </c>
      <c r="C115" t="s">
        <v>1218</v>
      </c>
      <c r="E115">
        <v>30</v>
      </c>
      <c r="F115" s="10">
        <v>28491</v>
      </c>
      <c r="G115">
        <v>46</v>
      </c>
      <c r="H115">
        <v>25</v>
      </c>
      <c r="I115" t="s">
        <v>1198</v>
      </c>
      <c r="J115" t="s">
        <v>1341</v>
      </c>
      <c r="K115" t="s">
        <v>1342</v>
      </c>
      <c r="L115">
        <v>844</v>
      </c>
    </row>
    <row r="116" spans="1:12" x14ac:dyDescent="0.25">
      <c r="A116" t="s">
        <v>530</v>
      </c>
      <c r="B116" t="s">
        <v>1343</v>
      </c>
      <c r="C116" t="s">
        <v>1222</v>
      </c>
      <c r="D116" s="13">
        <v>60000</v>
      </c>
      <c r="F116" s="10">
        <v>42005</v>
      </c>
      <c r="G116">
        <v>9</v>
      </c>
      <c r="H116">
        <v>15</v>
      </c>
      <c r="I116" t="s">
        <v>1199</v>
      </c>
    </row>
    <row r="117" spans="1:12" x14ac:dyDescent="0.25">
      <c r="A117" t="s">
        <v>530</v>
      </c>
      <c r="B117" t="s">
        <v>1344</v>
      </c>
      <c r="C117" t="s">
        <v>1225</v>
      </c>
      <c r="D117" s="13">
        <v>60000</v>
      </c>
      <c r="F117" s="10">
        <v>36526</v>
      </c>
      <c r="G117">
        <v>24</v>
      </c>
      <c r="H117">
        <v>15</v>
      </c>
      <c r="I117" t="s">
        <v>1198</v>
      </c>
    </row>
    <row r="118" spans="1:12" x14ac:dyDescent="0.25">
      <c r="A118" t="s">
        <v>530</v>
      </c>
      <c r="B118" t="s">
        <v>1345</v>
      </c>
      <c r="C118" t="s">
        <v>1225</v>
      </c>
      <c r="D118" s="13">
        <v>60000</v>
      </c>
      <c r="F118" s="10">
        <v>43699</v>
      </c>
      <c r="G118">
        <v>5</v>
      </c>
      <c r="H118">
        <v>15</v>
      </c>
      <c r="I118" t="s">
        <v>1199</v>
      </c>
    </row>
    <row r="119" spans="1:12" x14ac:dyDescent="0.25">
      <c r="A119" t="s">
        <v>530</v>
      </c>
      <c r="B119" t="s">
        <v>1346</v>
      </c>
      <c r="C119" t="s">
        <v>1222</v>
      </c>
      <c r="D119" s="13">
        <v>60000</v>
      </c>
      <c r="F119" s="10">
        <v>43699</v>
      </c>
      <c r="G119">
        <v>5</v>
      </c>
      <c r="H119">
        <v>15</v>
      </c>
      <c r="I119" t="s">
        <v>1199</v>
      </c>
    </row>
    <row r="120" spans="1:12" x14ac:dyDescent="0.25">
      <c r="A120" t="s">
        <v>530</v>
      </c>
      <c r="B120" t="s">
        <v>1347</v>
      </c>
      <c r="C120" t="s">
        <v>1222</v>
      </c>
      <c r="D120" s="13">
        <v>60000</v>
      </c>
      <c r="F120" s="10">
        <v>44146</v>
      </c>
      <c r="G120">
        <v>3</v>
      </c>
      <c r="H120">
        <v>15</v>
      </c>
      <c r="I120" t="s">
        <v>1199</v>
      </c>
    </row>
    <row r="121" spans="1:12" x14ac:dyDescent="0.25">
      <c r="A121" t="s">
        <v>530</v>
      </c>
      <c r="B121" t="s">
        <v>1348</v>
      </c>
      <c r="C121" t="s">
        <v>1225</v>
      </c>
      <c r="D121" s="13">
        <v>60000</v>
      </c>
      <c r="F121" s="10">
        <v>44146</v>
      </c>
      <c r="G121">
        <v>3</v>
      </c>
      <c r="H121">
        <v>15</v>
      </c>
      <c r="I121" t="s">
        <v>1199</v>
      </c>
    </row>
    <row r="122" spans="1:12" x14ac:dyDescent="0.25">
      <c r="A122" t="s">
        <v>530</v>
      </c>
      <c r="B122" t="s">
        <v>1349</v>
      </c>
      <c r="C122" t="s">
        <v>1222</v>
      </c>
      <c r="I122" t="s">
        <v>1198</v>
      </c>
    </row>
    <row r="123" spans="1:12" x14ac:dyDescent="0.25">
      <c r="A123" t="s">
        <v>530</v>
      </c>
      <c r="B123" t="s">
        <v>1350</v>
      </c>
      <c r="C123" t="s">
        <v>1225</v>
      </c>
      <c r="I123" t="s">
        <v>1198</v>
      </c>
    </row>
    <row r="124" spans="1:12" x14ac:dyDescent="0.25">
      <c r="A124" t="s">
        <v>535</v>
      </c>
      <c r="B124" t="s">
        <v>1351</v>
      </c>
      <c r="C124" t="s">
        <v>1218</v>
      </c>
      <c r="E124">
        <v>150</v>
      </c>
      <c r="I124" t="s">
        <v>1198</v>
      </c>
      <c r="J124" t="s">
        <v>1219</v>
      </c>
      <c r="K124" t="s">
        <v>1234</v>
      </c>
      <c r="L124">
        <v>241</v>
      </c>
    </row>
    <row r="125" spans="1:12" x14ac:dyDescent="0.25">
      <c r="A125" t="s">
        <v>535</v>
      </c>
      <c r="B125" t="s">
        <v>1352</v>
      </c>
      <c r="C125" t="s">
        <v>1225</v>
      </c>
      <c r="D125" s="13">
        <v>120000</v>
      </c>
      <c r="F125" s="10">
        <v>36526</v>
      </c>
      <c r="G125">
        <v>24</v>
      </c>
      <c r="H125">
        <v>15</v>
      </c>
      <c r="I125" t="s">
        <v>1198</v>
      </c>
    </row>
    <row r="126" spans="1:12" x14ac:dyDescent="0.25">
      <c r="A126" t="s">
        <v>535</v>
      </c>
      <c r="B126" t="s">
        <v>1353</v>
      </c>
      <c r="C126" t="s">
        <v>1225</v>
      </c>
      <c r="D126" s="13">
        <v>120000</v>
      </c>
      <c r="F126" s="10">
        <v>36526</v>
      </c>
      <c r="G126">
        <v>24</v>
      </c>
      <c r="H126">
        <v>15</v>
      </c>
      <c r="I126" t="s">
        <v>1198</v>
      </c>
    </row>
    <row r="127" spans="1:12" x14ac:dyDescent="0.25">
      <c r="A127" t="s">
        <v>535</v>
      </c>
      <c r="B127" t="s">
        <v>1354</v>
      </c>
      <c r="C127" t="s">
        <v>1222</v>
      </c>
      <c r="D127" s="13">
        <v>120000</v>
      </c>
      <c r="F127" s="10">
        <v>36526</v>
      </c>
      <c r="G127">
        <v>24</v>
      </c>
      <c r="H127">
        <v>15</v>
      </c>
      <c r="I127" t="s">
        <v>1198</v>
      </c>
    </row>
    <row r="128" spans="1:12" x14ac:dyDescent="0.25">
      <c r="A128" t="s">
        <v>535</v>
      </c>
      <c r="B128" t="s">
        <v>1355</v>
      </c>
      <c r="C128" t="s">
        <v>1222</v>
      </c>
      <c r="D128" s="13">
        <v>120000</v>
      </c>
      <c r="F128" s="10">
        <v>38718</v>
      </c>
      <c r="G128">
        <v>18</v>
      </c>
      <c r="H128">
        <v>15</v>
      </c>
      <c r="I128" t="s">
        <v>1198</v>
      </c>
    </row>
    <row r="129" spans="1:12" x14ac:dyDescent="0.25">
      <c r="A129" t="s">
        <v>535</v>
      </c>
      <c r="B129" t="s">
        <v>1356</v>
      </c>
      <c r="C129" t="s">
        <v>1222</v>
      </c>
      <c r="D129" s="13">
        <v>120000</v>
      </c>
      <c r="F129" s="10">
        <v>38718</v>
      </c>
      <c r="G129">
        <v>18</v>
      </c>
      <c r="H129">
        <v>15</v>
      </c>
      <c r="I129" t="s">
        <v>1198</v>
      </c>
    </row>
    <row r="130" spans="1:12" x14ac:dyDescent="0.25">
      <c r="A130" t="s">
        <v>535</v>
      </c>
      <c r="B130" t="s">
        <v>1357</v>
      </c>
      <c r="C130" t="s">
        <v>1225</v>
      </c>
      <c r="D130" s="13">
        <v>80000</v>
      </c>
      <c r="F130" s="10">
        <v>40179</v>
      </c>
      <c r="G130">
        <v>14</v>
      </c>
      <c r="H130">
        <v>15</v>
      </c>
      <c r="I130" t="s">
        <v>1199</v>
      </c>
    </row>
    <row r="131" spans="1:12" x14ac:dyDescent="0.25">
      <c r="A131" t="s">
        <v>535</v>
      </c>
      <c r="B131" t="s">
        <v>1358</v>
      </c>
      <c r="C131" t="s">
        <v>1225</v>
      </c>
      <c r="D131" s="13">
        <v>60000</v>
      </c>
      <c r="F131" s="10">
        <v>36526</v>
      </c>
      <c r="G131">
        <v>24</v>
      </c>
      <c r="H131">
        <v>15</v>
      </c>
      <c r="I131" t="s">
        <v>1198</v>
      </c>
    </row>
    <row r="132" spans="1:12" x14ac:dyDescent="0.25">
      <c r="A132" t="s">
        <v>535</v>
      </c>
      <c r="B132" t="s">
        <v>1359</v>
      </c>
      <c r="C132" t="s">
        <v>1238</v>
      </c>
      <c r="D132" s="13">
        <v>24000</v>
      </c>
      <c r="F132" s="10">
        <v>35431</v>
      </c>
      <c r="G132">
        <v>27</v>
      </c>
      <c r="H132">
        <v>15</v>
      </c>
      <c r="I132" t="s">
        <v>1198</v>
      </c>
    </row>
    <row r="133" spans="1:12" x14ac:dyDescent="0.25">
      <c r="A133" t="s">
        <v>535</v>
      </c>
      <c r="B133" t="s">
        <v>1360</v>
      </c>
      <c r="C133" t="s">
        <v>1238</v>
      </c>
      <c r="D133" s="13">
        <v>36000</v>
      </c>
      <c r="F133" s="10">
        <v>39448</v>
      </c>
      <c r="G133">
        <v>16</v>
      </c>
      <c r="H133">
        <v>15</v>
      </c>
      <c r="I133" t="s">
        <v>1198</v>
      </c>
    </row>
    <row r="134" spans="1:12" x14ac:dyDescent="0.25">
      <c r="A134" t="s">
        <v>535</v>
      </c>
      <c r="B134" t="s">
        <v>1361</v>
      </c>
      <c r="C134" t="s">
        <v>1222</v>
      </c>
      <c r="D134" s="13">
        <v>90000</v>
      </c>
      <c r="F134" s="10">
        <v>40179</v>
      </c>
      <c r="G134">
        <v>14</v>
      </c>
      <c r="H134">
        <v>15</v>
      </c>
      <c r="I134" t="s">
        <v>1199</v>
      </c>
    </row>
    <row r="135" spans="1:12" x14ac:dyDescent="0.25">
      <c r="A135" t="s">
        <v>535</v>
      </c>
      <c r="B135" t="s">
        <v>1362</v>
      </c>
      <c r="C135" t="s">
        <v>1222</v>
      </c>
      <c r="D135" s="13">
        <v>60000</v>
      </c>
      <c r="F135" s="10">
        <v>36892</v>
      </c>
      <c r="G135">
        <v>23</v>
      </c>
      <c r="H135">
        <v>15</v>
      </c>
      <c r="I135" t="s">
        <v>1198</v>
      </c>
    </row>
    <row r="136" spans="1:12" x14ac:dyDescent="0.25">
      <c r="A136" t="s">
        <v>535</v>
      </c>
      <c r="B136" t="s">
        <v>1363</v>
      </c>
      <c r="C136" t="s">
        <v>1222</v>
      </c>
      <c r="D136" s="13">
        <v>60000</v>
      </c>
      <c r="F136" s="10">
        <v>36100</v>
      </c>
      <c r="G136">
        <v>25</v>
      </c>
      <c r="H136">
        <v>15</v>
      </c>
      <c r="I136" t="s">
        <v>1198</v>
      </c>
    </row>
    <row r="137" spans="1:12" x14ac:dyDescent="0.25">
      <c r="A137" t="s">
        <v>535</v>
      </c>
      <c r="B137" t="s">
        <v>1364</v>
      </c>
      <c r="C137" t="s">
        <v>1238</v>
      </c>
      <c r="D137" s="13">
        <v>60000</v>
      </c>
      <c r="F137" s="10">
        <v>38353</v>
      </c>
      <c r="G137">
        <v>19</v>
      </c>
      <c r="H137">
        <v>15</v>
      </c>
      <c r="I137" t="s">
        <v>1198</v>
      </c>
    </row>
    <row r="138" spans="1:12" x14ac:dyDescent="0.25">
      <c r="A138" t="s">
        <v>535</v>
      </c>
      <c r="B138" t="s">
        <v>1365</v>
      </c>
      <c r="C138" t="s">
        <v>1225</v>
      </c>
      <c r="D138" s="13">
        <v>96000</v>
      </c>
      <c r="F138" s="10">
        <v>40179</v>
      </c>
      <c r="G138">
        <v>14</v>
      </c>
      <c r="H138">
        <v>15</v>
      </c>
      <c r="I138" t="s">
        <v>1199</v>
      </c>
    </row>
    <row r="139" spans="1:12" x14ac:dyDescent="0.25">
      <c r="A139" t="s">
        <v>546</v>
      </c>
      <c r="B139" t="s">
        <v>1366</v>
      </c>
      <c r="C139" t="s">
        <v>1225</v>
      </c>
      <c r="F139" s="10">
        <v>35065</v>
      </c>
      <c r="G139">
        <v>28</v>
      </c>
      <c r="H139">
        <v>15</v>
      </c>
      <c r="I139" t="s">
        <v>1198</v>
      </c>
    </row>
    <row r="140" spans="1:12" x14ac:dyDescent="0.25">
      <c r="A140" t="s">
        <v>546</v>
      </c>
      <c r="B140" t="s">
        <v>1367</v>
      </c>
      <c r="C140" t="s">
        <v>1238</v>
      </c>
      <c r="D140" s="13">
        <v>36000</v>
      </c>
      <c r="F140" s="10">
        <v>35065</v>
      </c>
      <c r="G140">
        <v>28</v>
      </c>
      <c r="H140">
        <v>15</v>
      </c>
      <c r="I140" t="s">
        <v>1198</v>
      </c>
    </row>
    <row r="141" spans="1:12" x14ac:dyDescent="0.25">
      <c r="A141" t="s">
        <v>546</v>
      </c>
      <c r="B141" t="s">
        <v>1368</v>
      </c>
      <c r="C141" t="s">
        <v>1218</v>
      </c>
      <c r="E141">
        <v>50</v>
      </c>
      <c r="F141" s="10">
        <v>42736</v>
      </c>
      <c r="G141">
        <v>7</v>
      </c>
      <c r="H141">
        <v>25</v>
      </c>
      <c r="I141" t="s">
        <v>1199</v>
      </c>
      <c r="J141" t="s">
        <v>1219</v>
      </c>
      <c r="K141" t="s">
        <v>1369</v>
      </c>
      <c r="L141">
        <v>68</v>
      </c>
    </row>
    <row r="142" spans="1:12" x14ac:dyDescent="0.25">
      <c r="A142" t="s">
        <v>546</v>
      </c>
      <c r="B142" t="s">
        <v>1370</v>
      </c>
      <c r="C142" t="s">
        <v>1222</v>
      </c>
      <c r="D142" s="13">
        <v>60000</v>
      </c>
      <c r="I142" t="s">
        <v>1198</v>
      </c>
    </row>
    <row r="143" spans="1:12" x14ac:dyDescent="0.25">
      <c r="A143" t="s">
        <v>546</v>
      </c>
      <c r="B143" t="s">
        <v>1371</v>
      </c>
      <c r="C143" t="s">
        <v>1218</v>
      </c>
      <c r="E143">
        <v>30</v>
      </c>
      <c r="I143" t="s">
        <v>1198</v>
      </c>
      <c r="J143" t="s">
        <v>1341</v>
      </c>
      <c r="K143" t="s">
        <v>1234</v>
      </c>
      <c r="L143">
        <v>102</v>
      </c>
    </row>
    <row r="144" spans="1:12" x14ac:dyDescent="0.25">
      <c r="A144" t="s">
        <v>546</v>
      </c>
      <c r="B144" t="s">
        <v>1372</v>
      </c>
      <c r="C144" t="s">
        <v>1238</v>
      </c>
      <c r="D144" s="13">
        <v>36000</v>
      </c>
      <c r="F144" s="10">
        <v>45597</v>
      </c>
      <c r="I144" t="s">
        <v>1198</v>
      </c>
    </row>
    <row r="145" spans="1:12" x14ac:dyDescent="0.25">
      <c r="A145" t="s">
        <v>138</v>
      </c>
      <c r="B145" t="s">
        <v>1373</v>
      </c>
      <c r="C145" t="s">
        <v>1218</v>
      </c>
      <c r="E145">
        <v>100</v>
      </c>
      <c r="F145" s="10">
        <v>42799</v>
      </c>
      <c r="G145">
        <v>7</v>
      </c>
      <c r="H145">
        <v>25</v>
      </c>
      <c r="I145" t="s">
        <v>1199</v>
      </c>
      <c r="J145" t="s">
        <v>1219</v>
      </c>
      <c r="K145" t="s">
        <v>1234</v>
      </c>
      <c r="L145">
        <v>1174</v>
      </c>
    </row>
    <row r="146" spans="1:12" x14ac:dyDescent="0.25">
      <c r="A146" t="s">
        <v>138</v>
      </c>
      <c r="B146" t="s">
        <v>1374</v>
      </c>
      <c r="C146" t="s">
        <v>1222</v>
      </c>
      <c r="D146" s="13">
        <v>60000</v>
      </c>
      <c r="I146" t="s">
        <v>1198</v>
      </c>
    </row>
    <row r="147" spans="1:12" x14ac:dyDescent="0.25">
      <c r="A147" t="s">
        <v>138</v>
      </c>
      <c r="B147" t="s">
        <v>1375</v>
      </c>
      <c r="C147" t="s">
        <v>1225</v>
      </c>
      <c r="D147" s="13">
        <v>60000</v>
      </c>
      <c r="I147" t="s">
        <v>1198</v>
      </c>
    </row>
    <row r="148" spans="1:12" x14ac:dyDescent="0.25">
      <c r="A148" t="s">
        <v>138</v>
      </c>
      <c r="B148" t="s">
        <v>1376</v>
      </c>
      <c r="C148" t="s">
        <v>1222</v>
      </c>
      <c r="D148" s="13">
        <v>180000</v>
      </c>
      <c r="F148" s="10">
        <v>44258</v>
      </c>
      <c r="G148">
        <v>3</v>
      </c>
      <c r="H148">
        <v>15</v>
      </c>
      <c r="I148" t="s">
        <v>1199</v>
      </c>
    </row>
    <row r="149" spans="1:12" x14ac:dyDescent="0.25">
      <c r="A149" t="s">
        <v>138</v>
      </c>
      <c r="B149" t="s">
        <v>1377</v>
      </c>
      <c r="C149" t="s">
        <v>1296</v>
      </c>
      <c r="D149" s="13">
        <v>60000</v>
      </c>
      <c r="F149" s="10">
        <v>44197</v>
      </c>
      <c r="G149">
        <v>3</v>
      </c>
      <c r="H149">
        <v>15</v>
      </c>
      <c r="I149" t="s">
        <v>1199</v>
      </c>
    </row>
    <row r="150" spans="1:12" x14ac:dyDescent="0.25">
      <c r="A150" t="s">
        <v>138</v>
      </c>
      <c r="B150" t="s">
        <v>1378</v>
      </c>
      <c r="C150" t="s">
        <v>1225</v>
      </c>
      <c r="I150" t="s">
        <v>1198</v>
      </c>
    </row>
    <row r="151" spans="1:12" x14ac:dyDescent="0.25">
      <c r="A151" t="s">
        <v>138</v>
      </c>
      <c r="B151" t="s">
        <v>1379</v>
      </c>
      <c r="C151" t="s">
        <v>1260</v>
      </c>
      <c r="I151" t="s">
        <v>1198</v>
      </c>
    </row>
    <row r="152" spans="1:12" x14ac:dyDescent="0.25">
      <c r="A152" t="s">
        <v>133</v>
      </c>
      <c r="B152" t="s">
        <v>1380</v>
      </c>
      <c r="C152" t="s">
        <v>1222</v>
      </c>
      <c r="D152" s="13">
        <v>36000</v>
      </c>
      <c r="I152" t="s">
        <v>1198</v>
      </c>
    </row>
    <row r="153" spans="1:12" x14ac:dyDescent="0.25">
      <c r="A153" t="s">
        <v>133</v>
      </c>
      <c r="B153" t="s">
        <v>1381</v>
      </c>
      <c r="C153" t="s">
        <v>1225</v>
      </c>
      <c r="D153" s="13">
        <v>36000</v>
      </c>
      <c r="I153" t="s">
        <v>1198</v>
      </c>
    </row>
    <row r="154" spans="1:12" x14ac:dyDescent="0.25">
      <c r="A154" t="s">
        <v>133</v>
      </c>
      <c r="B154" t="s">
        <v>1382</v>
      </c>
      <c r="C154" t="s">
        <v>1222</v>
      </c>
      <c r="D154" s="13">
        <v>60000</v>
      </c>
      <c r="F154" s="10">
        <v>42644</v>
      </c>
      <c r="G154">
        <v>8</v>
      </c>
      <c r="H154">
        <v>15</v>
      </c>
      <c r="I154" t="s">
        <v>1199</v>
      </c>
    </row>
    <row r="155" spans="1:12" x14ac:dyDescent="0.25">
      <c r="A155" t="s">
        <v>133</v>
      </c>
      <c r="B155" t="s">
        <v>1383</v>
      </c>
      <c r="C155" t="s">
        <v>1225</v>
      </c>
      <c r="D155" s="13">
        <v>60000</v>
      </c>
      <c r="F155" s="10">
        <v>42644</v>
      </c>
      <c r="G155">
        <v>8</v>
      </c>
      <c r="H155">
        <v>15</v>
      </c>
      <c r="I155" t="s">
        <v>1199</v>
      </c>
    </row>
    <row r="156" spans="1:12" x14ac:dyDescent="0.25">
      <c r="A156" t="s">
        <v>133</v>
      </c>
      <c r="B156" t="s">
        <v>1384</v>
      </c>
      <c r="C156" t="s">
        <v>1225</v>
      </c>
      <c r="D156" s="13">
        <v>36000</v>
      </c>
      <c r="I156" t="s">
        <v>1198</v>
      </c>
    </row>
    <row r="157" spans="1:12" x14ac:dyDescent="0.25">
      <c r="A157" t="s">
        <v>682</v>
      </c>
      <c r="B157" t="s">
        <v>1385</v>
      </c>
      <c r="C157" t="s">
        <v>1222</v>
      </c>
      <c r="I157" t="s">
        <v>1198</v>
      </c>
    </row>
    <row r="158" spans="1:12" x14ac:dyDescent="0.25">
      <c r="A158" t="s">
        <v>682</v>
      </c>
      <c r="B158" t="s">
        <v>1386</v>
      </c>
      <c r="C158" t="s">
        <v>1218</v>
      </c>
      <c r="E158">
        <v>100</v>
      </c>
      <c r="F158" s="10">
        <v>41699</v>
      </c>
      <c r="G158">
        <v>10</v>
      </c>
      <c r="H158">
        <v>25</v>
      </c>
      <c r="I158" t="s">
        <v>1199</v>
      </c>
      <c r="J158" t="s">
        <v>1219</v>
      </c>
      <c r="K158" t="s">
        <v>1234</v>
      </c>
      <c r="L158">
        <v>669.2</v>
      </c>
    </row>
    <row r="159" spans="1:12" x14ac:dyDescent="0.25">
      <c r="A159" t="s">
        <v>682</v>
      </c>
      <c r="B159" t="s">
        <v>1387</v>
      </c>
      <c r="C159" t="s">
        <v>1225</v>
      </c>
      <c r="D159" s="13">
        <v>120000</v>
      </c>
      <c r="I159" t="s">
        <v>1198</v>
      </c>
    </row>
    <row r="160" spans="1:12" x14ac:dyDescent="0.25">
      <c r="A160" t="s">
        <v>682</v>
      </c>
      <c r="B160" t="s">
        <v>1388</v>
      </c>
      <c r="C160" t="s">
        <v>1225</v>
      </c>
      <c r="D160" s="13">
        <v>60000</v>
      </c>
      <c r="I160" t="s">
        <v>1198</v>
      </c>
    </row>
    <row r="161" spans="1:12" x14ac:dyDescent="0.25">
      <c r="A161" t="s">
        <v>682</v>
      </c>
      <c r="B161" t="s">
        <v>1389</v>
      </c>
      <c r="C161" t="s">
        <v>1225</v>
      </c>
      <c r="D161" s="13">
        <v>120000</v>
      </c>
      <c r="I161" t="s">
        <v>1198</v>
      </c>
    </row>
    <row r="162" spans="1:12" x14ac:dyDescent="0.25">
      <c r="A162" t="s">
        <v>682</v>
      </c>
      <c r="B162" t="s">
        <v>1390</v>
      </c>
      <c r="C162" t="s">
        <v>1222</v>
      </c>
      <c r="I162" t="s">
        <v>1198</v>
      </c>
    </row>
    <row r="163" spans="1:12" x14ac:dyDescent="0.25">
      <c r="A163" t="s">
        <v>682</v>
      </c>
      <c r="B163" t="s">
        <v>1391</v>
      </c>
      <c r="C163" t="s">
        <v>1222</v>
      </c>
      <c r="I163" t="s">
        <v>1198</v>
      </c>
    </row>
    <row r="164" spans="1:12" x14ac:dyDescent="0.25">
      <c r="A164" t="s">
        <v>841</v>
      </c>
      <c r="B164" t="s">
        <v>1392</v>
      </c>
      <c r="C164" t="s">
        <v>1218</v>
      </c>
      <c r="E164">
        <v>470</v>
      </c>
      <c r="I164" t="s">
        <v>1198</v>
      </c>
      <c r="J164" t="s">
        <v>1219</v>
      </c>
      <c r="K164" t="s">
        <v>1234</v>
      </c>
      <c r="L164">
        <v>1460</v>
      </c>
    </row>
    <row r="165" spans="1:12" x14ac:dyDescent="0.25">
      <c r="A165" t="s">
        <v>841</v>
      </c>
      <c r="B165" t="s">
        <v>1393</v>
      </c>
      <c r="C165" t="s">
        <v>1225</v>
      </c>
      <c r="F165" s="10">
        <v>39448</v>
      </c>
      <c r="G165">
        <v>16</v>
      </c>
      <c r="H165">
        <v>15</v>
      </c>
      <c r="I165" t="s">
        <v>1198</v>
      </c>
    </row>
    <row r="166" spans="1:12" x14ac:dyDescent="0.25">
      <c r="A166" t="s">
        <v>841</v>
      </c>
      <c r="B166" t="s">
        <v>1394</v>
      </c>
      <c r="C166" t="s">
        <v>1222</v>
      </c>
      <c r="F166" s="10">
        <v>39448</v>
      </c>
      <c r="G166">
        <v>16</v>
      </c>
      <c r="H166">
        <v>15</v>
      </c>
      <c r="I166" t="s">
        <v>1198</v>
      </c>
    </row>
    <row r="167" spans="1:12" x14ac:dyDescent="0.25">
      <c r="A167" t="s">
        <v>841</v>
      </c>
      <c r="B167" t="s">
        <v>1395</v>
      </c>
      <c r="C167" t="s">
        <v>1222</v>
      </c>
      <c r="D167" s="13">
        <v>120000</v>
      </c>
      <c r="F167" s="10">
        <v>39448</v>
      </c>
      <c r="G167">
        <v>16</v>
      </c>
      <c r="H167">
        <v>15</v>
      </c>
      <c r="I167" t="s">
        <v>1198</v>
      </c>
    </row>
    <row r="168" spans="1:12" x14ac:dyDescent="0.25">
      <c r="A168" t="s">
        <v>841</v>
      </c>
      <c r="B168" t="s">
        <v>1396</v>
      </c>
      <c r="C168" t="s">
        <v>1222</v>
      </c>
      <c r="F168" s="10">
        <v>40179</v>
      </c>
      <c r="G168">
        <v>14</v>
      </c>
      <c r="H168">
        <v>15</v>
      </c>
      <c r="I168" t="s">
        <v>1199</v>
      </c>
    </row>
    <row r="169" spans="1:12" x14ac:dyDescent="0.25">
      <c r="A169" t="s">
        <v>841</v>
      </c>
      <c r="B169" t="s">
        <v>1397</v>
      </c>
      <c r="C169" t="s">
        <v>1222</v>
      </c>
      <c r="D169" s="13">
        <v>120000</v>
      </c>
      <c r="F169" s="10">
        <v>39814</v>
      </c>
      <c r="G169">
        <v>15</v>
      </c>
      <c r="H169">
        <v>15</v>
      </c>
      <c r="I169" t="s">
        <v>1198</v>
      </c>
    </row>
    <row r="170" spans="1:12" x14ac:dyDescent="0.25">
      <c r="A170" t="s">
        <v>841</v>
      </c>
      <c r="B170" t="s">
        <v>1398</v>
      </c>
      <c r="C170" t="s">
        <v>1222</v>
      </c>
      <c r="D170" s="13">
        <v>120000</v>
      </c>
      <c r="F170" s="10">
        <v>41640</v>
      </c>
      <c r="G170">
        <v>10</v>
      </c>
      <c r="H170">
        <v>15</v>
      </c>
      <c r="I170" t="s">
        <v>1199</v>
      </c>
    </row>
    <row r="171" spans="1:12" x14ac:dyDescent="0.25">
      <c r="A171" t="s">
        <v>841</v>
      </c>
      <c r="B171" t="s">
        <v>1399</v>
      </c>
      <c r="C171" t="s">
        <v>1225</v>
      </c>
      <c r="D171" s="13">
        <v>360000</v>
      </c>
      <c r="F171" s="10">
        <v>37622</v>
      </c>
      <c r="G171">
        <v>21</v>
      </c>
      <c r="H171">
        <v>15</v>
      </c>
      <c r="I171" t="s">
        <v>1198</v>
      </c>
    </row>
    <row r="172" spans="1:12" x14ac:dyDescent="0.25">
      <c r="A172" t="s">
        <v>841</v>
      </c>
      <c r="B172" t="s">
        <v>1400</v>
      </c>
      <c r="C172" t="s">
        <v>1222</v>
      </c>
      <c r="D172" s="13">
        <v>300000</v>
      </c>
      <c r="F172" s="10">
        <v>37622</v>
      </c>
      <c r="G172">
        <v>21</v>
      </c>
      <c r="H172">
        <v>15</v>
      </c>
      <c r="I172" t="s">
        <v>1198</v>
      </c>
    </row>
    <row r="173" spans="1:12" x14ac:dyDescent="0.25">
      <c r="A173" t="s">
        <v>841</v>
      </c>
      <c r="B173" t="s">
        <v>1401</v>
      </c>
      <c r="C173" t="s">
        <v>1225</v>
      </c>
      <c r="D173" s="13">
        <v>360000</v>
      </c>
      <c r="F173" s="10">
        <v>42491</v>
      </c>
      <c r="G173">
        <v>8</v>
      </c>
      <c r="H173">
        <v>15</v>
      </c>
      <c r="I173" t="s">
        <v>1199</v>
      </c>
    </row>
    <row r="174" spans="1:12" x14ac:dyDescent="0.25">
      <c r="A174" t="s">
        <v>841</v>
      </c>
      <c r="B174" t="s">
        <v>1402</v>
      </c>
      <c r="C174" t="s">
        <v>1222</v>
      </c>
      <c r="D174" s="13">
        <v>360000</v>
      </c>
      <c r="F174" s="10">
        <v>42401</v>
      </c>
      <c r="G174">
        <v>8</v>
      </c>
      <c r="H174">
        <v>15</v>
      </c>
      <c r="I174" t="s">
        <v>1199</v>
      </c>
    </row>
    <row r="175" spans="1:12" x14ac:dyDescent="0.25">
      <c r="A175" t="s">
        <v>841</v>
      </c>
      <c r="B175" t="s">
        <v>1403</v>
      </c>
      <c r="C175" t="s">
        <v>1222</v>
      </c>
      <c r="D175" s="13">
        <v>60000</v>
      </c>
      <c r="F175" s="10">
        <v>42339</v>
      </c>
      <c r="G175">
        <v>8</v>
      </c>
      <c r="H175">
        <v>15</v>
      </c>
      <c r="I175" t="s">
        <v>1199</v>
      </c>
    </row>
    <row r="176" spans="1:12" x14ac:dyDescent="0.25">
      <c r="A176" t="s">
        <v>841</v>
      </c>
      <c r="B176" t="s">
        <v>1404</v>
      </c>
      <c r="C176" t="s">
        <v>1222</v>
      </c>
      <c r="D176" s="13">
        <v>60000</v>
      </c>
      <c r="F176" s="10">
        <v>42156</v>
      </c>
      <c r="G176">
        <v>9</v>
      </c>
      <c r="H176">
        <v>15</v>
      </c>
      <c r="I176" t="s">
        <v>1199</v>
      </c>
    </row>
    <row r="177" spans="1:12" x14ac:dyDescent="0.25">
      <c r="A177" t="s">
        <v>841</v>
      </c>
      <c r="B177" t="s">
        <v>1405</v>
      </c>
      <c r="C177" t="s">
        <v>1225</v>
      </c>
      <c r="D177" s="13">
        <v>120000</v>
      </c>
      <c r="F177" s="10">
        <v>39448</v>
      </c>
      <c r="G177">
        <v>16</v>
      </c>
      <c r="H177">
        <v>15</v>
      </c>
      <c r="I177" t="s">
        <v>1198</v>
      </c>
    </row>
    <row r="178" spans="1:12" x14ac:dyDescent="0.25">
      <c r="A178" t="s">
        <v>841</v>
      </c>
      <c r="B178" t="s">
        <v>1406</v>
      </c>
      <c r="C178" t="s">
        <v>1225</v>
      </c>
      <c r="D178" s="13">
        <v>120000</v>
      </c>
      <c r="F178" s="10">
        <v>41640</v>
      </c>
      <c r="G178">
        <v>10</v>
      </c>
      <c r="H178">
        <v>15</v>
      </c>
      <c r="I178" t="s">
        <v>1199</v>
      </c>
    </row>
    <row r="179" spans="1:12" x14ac:dyDescent="0.25">
      <c r="A179" t="s">
        <v>841</v>
      </c>
      <c r="B179" t="s">
        <v>1407</v>
      </c>
      <c r="C179" t="s">
        <v>1225</v>
      </c>
      <c r="I179" t="s">
        <v>1198</v>
      </c>
    </row>
    <row r="180" spans="1:12" x14ac:dyDescent="0.25">
      <c r="A180" t="s">
        <v>841</v>
      </c>
      <c r="B180" t="s">
        <v>1408</v>
      </c>
      <c r="C180" t="s">
        <v>1225</v>
      </c>
      <c r="I180" t="s">
        <v>1198</v>
      </c>
    </row>
    <row r="181" spans="1:12" x14ac:dyDescent="0.25">
      <c r="A181" t="s">
        <v>841</v>
      </c>
      <c r="B181" t="s">
        <v>1409</v>
      </c>
      <c r="C181" t="s">
        <v>1225</v>
      </c>
      <c r="F181" s="10">
        <v>39448</v>
      </c>
      <c r="I181" t="s">
        <v>1198</v>
      </c>
    </row>
    <row r="182" spans="1:12" x14ac:dyDescent="0.25">
      <c r="A182" t="s">
        <v>841</v>
      </c>
      <c r="B182" t="s">
        <v>1410</v>
      </c>
      <c r="C182" t="s">
        <v>1222</v>
      </c>
      <c r="D182" s="13">
        <v>60000</v>
      </c>
      <c r="F182" s="10">
        <v>42156</v>
      </c>
      <c r="I182" t="s">
        <v>1198</v>
      </c>
    </row>
    <row r="183" spans="1:12" x14ac:dyDescent="0.25">
      <c r="A183" t="s">
        <v>841</v>
      </c>
      <c r="B183" t="s">
        <v>1411</v>
      </c>
      <c r="C183" t="s">
        <v>1225</v>
      </c>
      <c r="D183" s="13">
        <v>120000</v>
      </c>
      <c r="F183" s="10">
        <v>39448</v>
      </c>
      <c r="I183" t="s">
        <v>1198</v>
      </c>
    </row>
    <row r="184" spans="1:12" x14ac:dyDescent="0.25">
      <c r="A184" t="s">
        <v>841</v>
      </c>
      <c r="B184" t="s">
        <v>1412</v>
      </c>
      <c r="C184" t="s">
        <v>1225</v>
      </c>
      <c r="I184" t="s">
        <v>1198</v>
      </c>
    </row>
    <row r="185" spans="1:12" x14ac:dyDescent="0.25">
      <c r="A185" t="s">
        <v>841</v>
      </c>
      <c r="B185" t="s">
        <v>1413</v>
      </c>
      <c r="C185" t="s">
        <v>1225</v>
      </c>
      <c r="I185" t="s">
        <v>1198</v>
      </c>
    </row>
    <row r="186" spans="1:12" x14ac:dyDescent="0.25">
      <c r="A186" t="s">
        <v>892</v>
      </c>
      <c r="B186" t="s">
        <v>1414</v>
      </c>
      <c r="C186" t="s">
        <v>1218</v>
      </c>
      <c r="E186">
        <v>510</v>
      </c>
      <c r="I186" t="s">
        <v>1198</v>
      </c>
      <c r="J186" t="s">
        <v>1219</v>
      </c>
      <c r="K186" t="s">
        <v>1234</v>
      </c>
      <c r="L186">
        <v>3221</v>
      </c>
    </row>
    <row r="187" spans="1:12" x14ac:dyDescent="0.25">
      <c r="A187" t="s">
        <v>892</v>
      </c>
      <c r="B187" t="s">
        <v>1415</v>
      </c>
      <c r="C187" t="s">
        <v>1225</v>
      </c>
      <c r="D187" s="13">
        <v>240000</v>
      </c>
      <c r="F187" s="10">
        <v>39083</v>
      </c>
      <c r="G187">
        <v>17</v>
      </c>
      <c r="H187">
        <v>15</v>
      </c>
      <c r="I187" t="s">
        <v>1198</v>
      </c>
    </row>
    <row r="188" spans="1:12" x14ac:dyDescent="0.25">
      <c r="A188" t="s">
        <v>892</v>
      </c>
      <c r="B188" t="s">
        <v>1416</v>
      </c>
      <c r="C188" t="s">
        <v>1225</v>
      </c>
      <c r="D188" s="13">
        <v>240000</v>
      </c>
      <c r="F188" s="10">
        <v>38353</v>
      </c>
      <c r="G188">
        <v>19</v>
      </c>
      <c r="H188">
        <v>15</v>
      </c>
      <c r="I188" t="s">
        <v>1198</v>
      </c>
    </row>
    <row r="189" spans="1:12" x14ac:dyDescent="0.25">
      <c r="A189" t="s">
        <v>892</v>
      </c>
      <c r="B189" t="s">
        <v>1417</v>
      </c>
      <c r="C189" t="s">
        <v>1225</v>
      </c>
      <c r="D189" s="13">
        <v>240000</v>
      </c>
      <c r="F189" s="10">
        <v>41640</v>
      </c>
      <c r="G189">
        <v>10</v>
      </c>
      <c r="H189">
        <v>15</v>
      </c>
      <c r="I189" t="s">
        <v>1199</v>
      </c>
    </row>
    <row r="190" spans="1:12" x14ac:dyDescent="0.25">
      <c r="A190" t="s">
        <v>892</v>
      </c>
      <c r="B190" t="s">
        <v>1418</v>
      </c>
      <c r="C190" t="s">
        <v>1225</v>
      </c>
      <c r="D190" s="13">
        <v>240000</v>
      </c>
      <c r="F190" s="10">
        <v>37104</v>
      </c>
      <c r="G190">
        <v>23</v>
      </c>
      <c r="H190">
        <v>15</v>
      </c>
      <c r="I190" t="s">
        <v>1198</v>
      </c>
    </row>
    <row r="191" spans="1:12" x14ac:dyDescent="0.25">
      <c r="A191" t="s">
        <v>892</v>
      </c>
      <c r="B191" t="s">
        <v>1419</v>
      </c>
      <c r="C191" t="s">
        <v>1225</v>
      </c>
      <c r="D191" s="13">
        <v>90000</v>
      </c>
      <c r="F191" s="10">
        <v>41640</v>
      </c>
      <c r="G191">
        <v>10</v>
      </c>
      <c r="H191">
        <v>15</v>
      </c>
      <c r="I191" t="s">
        <v>1199</v>
      </c>
    </row>
    <row r="192" spans="1:12" x14ac:dyDescent="0.25">
      <c r="A192" t="s">
        <v>892</v>
      </c>
      <c r="B192" t="s">
        <v>1420</v>
      </c>
      <c r="C192" t="s">
        <v>1225</v>
      </c>
      <c r="D192" s="13">
        <v>90000</v>
      </c>
      <c r="F192" s="10">
        <v>39600</v>
      </c>
      <c r="G192">
        <v>16</v>
      </c>
      <c r="H192">
        <v>15</v>
      </c>
      <c r="I192" t="s">
        <v>1198</v>
      </c>
    </row>
    <row r="193" spans="1:12" x14ac:dyDescent="0.25">
      <c r="A193" t="s">
        <v>892</v>
      </c>
      <c r="B193" t="s">
        <v>1421</v>
      </c>
      <c r="C193" t="s">
        <v>1222</v>
      </c>
      <c r="D193" s="13">
        <v>240000</v>
      </c>
      <c r="F193" s="10">
        <v>39083</v>
      </c>
      <c r="G193">
        <v>17</v>
      </c>
      <c r="H193">
        <v>15</v>
      </c>
      <c r="I193" t="s">
        <v>1198</v>
      </c>
    </row>
    <row r="194" spans="1:12" x14ac:dyDescent="0.25">
      <c r="A194" t="s">
        <v>892</v>
      </c>
      <c r="B194" t="s">
        <v>1422</v>
      </c>
      <c r="C194" t="s">
        <v>1222</v>
      </c>
      <c r="D194" s="13">
        <v>240000</v>
      </c>
      <c r="F194" s="10">
        <v>38353</v>
      </c>
      <c r="G194">
        <v>19</v>
      </c>
      <c r="H194">
        <v>15</v>
      </c>
      <c r="I194" t="s">
        <v>1198</v>
      </c>
    </row>
    <row r="195" spans="1:12" x14ac:dyDescent="0.25">
      <c r="A195" t="s">
        <v>892</v>
      </c>
      <c r="B195" t="s">
        <v>1423</v>
      </c>
      <c r="C195" t="s">
        <v>1222</v>
      </c>
      <c r="D195" s="13">
        <v>240000</v>
      </c>
      <c r="F195" s="10">
        <v>41640</v>
      </c>
      <c r="G195">
        <v>10</v>
      </c>
      <c r="H195">
        <v>15</v>
      </c>
      <c r="I195" t="s">
        <v>1199</v>
      </c>
    </row>
    <row r="196" spans="1:12" x14ac:dyDescent="0.25">
      <c r="A196" t="s">
        <v>892</v>
      </c>
      <c r="B196" t="s">
        <v>1424</v>
      </c>
      <c r="C196" t="s">
        <v>1222</v>
      </c>
      <c r="D196" s="13">
        <v>180000</v>
      </c>
      <c r="F196" s="10">
        <v>39083</v>
      </c>
      <c r="G196">
        <v>17</v>
      </c>
      <c r="H196">
        <v>15</v>
      </c>
      <c r="I196" t="s">
        <v>1198</v>
      </c>
    </row>
    <row r="197" spans="1:12" x14ac:dyDescent="0.25">
      <c r="A197" t="s">
        <v>892</v>
      </c>
      <c r="B197" t="s">
        <v>1425</v>
      </c>
      <c r="C197" t="s">
        <v>1222</v>
      </c>
      <c r="D197" s="13">
        <v>240000</v>
      </c>
      <c r="F197" s="10">
        <v>37073</v>
      </c>
      <c r="G197">
        <v>23</v>
      </c>
      <c r="H197">
        <v>15</v>
      </c>
      <c r="I197" t="s">
        <v>1198</v>
      </c>
    </row>
    <row r="198" spans="1:12" x14ac:dyDescent="0.25">
      <c r="A198" t="s">
        <v>892</v>
      </c>
      <c r="B198" t="s">
        <v>1426</v>
      </c>
      <c r="C198" t="s">
        <v>1222</v>
      </c>
      <c r="D198" s="13">
        <v>90000</v>
      </c>
      <c r="F198" s="10">
        <v>41365</v>
      </c>
      <c r="G198">
        <v>11</v>
      </c>
      <c r="H198">
        <v>15</v>
      </c>
      <c r="I198" t="s">
        <v>1199</v>
      </c>
    </row>
    <row r="199" spans="1:12" x14ac:dyDescent="0.25">
      <c r="A199" t="s">
        <v>892</v>
      </c>
      <c r="B199" t="s">
        <v>1427</v>
      </c>
      <c r="C199" t="s">
        <v>1222</v>
      </c>
      <c r="D199" s="13">
        <v>90000</v>
      </c>
      <c r="F199" s="10">
        <v>39356</v>
      </c>
      <c r="G199">
        <v>17</v>
      </c>
      <c r="H199">
        <v>15</v>
      </c>
      <c r="I199" t="s">
        <v>1198</v>
      </c>
    </row>
    <row r="200" spans="1:12" x14ac:dyDescent="0.25">
      <c r="A200" t="s">
        <v>892</v>
      </c>
      <c r="B200" t="s">
        <v>1428</v>
      </c>
      <c r="C200" t="s">
        <v>1225</v>
      </c>
      <c r="D200" s="13">
        <v>60000</v>
      </c>
      <c r="F200" s="10">
        <v>42552</v>
      </c>
      <c r="G200">
        <v>8</v>
      </c>
      <c r="H200">
        <v>15</v>
      </c>
      <c r="I200" t="s">
        <v>1199</v>
      </c>
    </row>
    <row r="201" spans="1:12" x14ac:dyDescent="0.25">
      <c r="A201" t="s">
        <v>892</v>
      </c>
      <c r="B201" t="s">
        <v>1429</v>
      </c>
      <c r="C201" t="s">
        <v>1222</v>
      </c>
      <c r="D201" s="13">
        <v>60000</v>
      </c>
      <c r="F201" s="10">
        <v>42522</v>
      </c>
      <c r="G201">
        <v>8</v>
      </c>
      <c r="H201">
        <v>15</v>
      </c>
      <c r="I201" t="s">
        <v>1199</v>
      </c>
    </row>
    <row r="202" spans="1:12" x14ac:dyDescent="0.25">
      <c r="A202" t="s">
        <v>892</v>
      </c>
      <c r="B202" t="s">
        <v>1430</v>
      </c>
      <c r="C202" t="s">
        <v>1225</v>
      </c>
      <c r="D202" s="13">
        <v>240000</v>
      </c>
      <c r="F202" s="10">
        <v>42583</v>
      </c>
      <c r="G202">
        <v>8</v>
      </c>
      <c r="H202">
        <v>15</v>
      </c>
      <c r="I202" t="s">
        <v>1199</v>
      </c>
    </row>
    <row r="203" spans="1:12" x14ac:dyDescent="0.25">
      <c r="A203" t="s">
        <v>892</v>
      </c>
      <c r="B203" t="s">
        <v>1431</v>
      </c>
      <c r="C203" t="s">
        <v>1222</v>
      </c>
      <c r="D203" s="13">
        <v>240000</v>
      </c>
      <c r="F203" s="10">
        <v>42552</v>
      </c>
      <c r="G203">
        <v>8</v>
      </c>
      <c r="H203">
        <v>15</v>
      </c>
      <c r="I203" t="s">
        <v>1199</v>
      </c>
    </row>
    <row r="204" spans="1:12" x14ac:dyDescent="0.25">
      <c r="A204" t="s">
        <v>892</v>
      </c>
      <c r="B204" t="s">
        <v>1432</v>
      </c>
      <c r="C204" t="s">
        <v>1225</v>
      </c>
      <c r="D204" s="13">
        <v>240000</v>
      </c>
      <c r="F204" s="10">
        <v>42583</v>
      </c>
      <c r="G204">
        <v>8</v>
      </c>
      <c r="H204">
        <v>15</v>
      </c>
      <c r="I204" t="s">
        <v>1199</v>
      </c>
    </row>
    <row r="205" spans="1:12" x14ac:dyDescent="0.25">
      <c r="A205" t="s">
        <v>892</v>
      </c>
      <c r="B205" t="s">
        <v>1433</v>
      </c>
      <c r="C205" t="s">
        <v>1222</v>
      </c>
      <c r="D205" s="13">
        <v>240000</v>
      </c>
      <c r="F205" s="10">
        <v>42552</v>
      </c>
      <c r="G205">
        <v>8</v>
      </c>
      <c r="H205">
        <v>15</v>
      </c>
      <c r="I205" t="s">
        <v>1199</v>
      </c>
    </row>
    <row r="206" spans="1:12" x14ac:dyDescent="0.25">
      <c r="A206" t="s">
        <v>892</v>
      </c>
      <c r="B206" t="s">
        <v>1434</v>
      </c>
      <c r="C206" t="s">
        <v>1225</v>
      </c>
      <c r="D206" s="13">
        <v>180000</v>
      </c>
      <c r="I206" t="s">
        <v>1198</v>
      </c>
    </row>
    <row r="207" spans="1:12" x14ac:dyDescent="0.25">
      <c r="A207" t="s">
        <v>846</v>
      </c>
      <c r="B207" t="s">
        <v>1435</v>
      </c>
      <c r="C207" t="s">
        <v>1218</v>
      </c>
      <c r="E207">
        <v>410</v>
      </c>
      <c r="I207" t="s">
        <v>1198</v>
      </c>
      <c r="J207" t="s">
        <v>1219</v>
      </c>
      <c r="K207" t="s">
        <v>1234</v>
      </c>
      <c r="L207">
        <v>3363</v>
      </c>
    </row>
    <row r="208" spans="1:12" x14ac:dyDescent="0.25">
      <c r="A208" t="s">
        <v>846</v>
      </c>
      <c r="B208" t="s">
        <v>1436</v>
      </c>
      <c r="C208" t="s">
        <v>1222</v>
      </c>
      <c r="D208" s="13">
        <v>240000</v>
      </c>
      <c r="F208" s="10">
        <v>40909</v>
      </c>
      <c r="G208">
        <v>12</v>
      </c>
      <c r="H208">
        <v>15</v>
      </c>
      <c r="I208" t="s">
        <v>1199</v>
      </c>
    </row>
    <row r="209" spans="1:9" x14ac:dyDescent="0.25">
      <c r="A209" t="s">
        <v>846</v>
      </c>
      <c r="B209" t="s">
        <v>1437</v>
      </c>
      <c r="C209" t="s">
        <v>1225</v>
      </c>
      <c r="D209" s="13">
        <v>240000</v>
      </c>
      <c r="F209" s="10">
        <v>39448</v>
      </c>
      <c r="G209">
        <v>16</v>
      </c>
      <c r="H209">
        <v>15</v>
      </c>
      <c r="I209" t="s">
        <v>1198</v>
      </c>
    </row>
    <row r="210" spans="1:9" x14ac:dyDescent="0.25">
      <c r="A210" t="s">
        <v>846</v>
      </c>
      <c r="B210" t="s">
        <v>1438</v>
      </c>
      <c r="C210" t="s">
        <v>1222</v>
      </c>
      <c r="D210" s="13">
        <v>240000</v>
      </c>
      <c r="F210" s="10">
        <v>39448</v>
      </c>
      <c r="G210">
        <v>16</v>
      </c>
      <c r="H210">
        <v>15</v>
      </c>
      <c r="I210" t="s">
        <v>1198</v>
      </c>
    </row>
    <row r="211" spans="1:9" x14ac:dyDescent="0.25">
      <c r="A211" t="s">
        <v>846</v>
      </c>
      <c r="B211" t="s">
        <v>1439</v>
      </c>
      <c r="C211" t="s">
        <v>1225</v>
      </c>
      <c r="D211" s="13">
        <v>240000</v>
      </c>
      <c r="I211" t="s">
        <v>1198</v>
      </c>
    </row>
    <row r="212" spans="1:9" x14ac:dyDescent="0.25">
      <c r="A212" t="s">
        <v>846</v>
      </c>
      <c r="B212" t="s">
        <v>1440</v>
      </c>
      <c r="C212" t="s">
        <v>1225</v>
      </c>
      <c r="I212" t="s">
        <v>1198</v>
      </c>
    </row>
    <row r="213" spans="1:9" x14ac:dyDescent="0.25">
      <c r="A213" t="s">
        <v>846</v>
      </c>
      <c r="B213" t="s">
        <v>1441</v>
      </c>
      <c r="C213" t="s">
        <v>1225</v>
      </c>
      <c r="I213" t="s">
        <v>1198</v>
      </c>
    </row>
    <row r="214" spans="1:9" x14ac:dyDescent="0.25">
      <c r="A214" t="s">
        <v>846</v>
      </c>
      <c r="B214" t="s">
        <v>1442</v>
      </c>
      <c r="C214" t="s">
        <v>1222</v>
      </c>
      <c r="D214" s="13">
        <v>150000</v>
      </c>
      <c r="F214" s="10">
        <v>35674</v>
      </c>
      <c r="G214">
        <v>27</v>
      </c>
      <c r="H214">
        <v>15</v>
      </c>
      <c r="I214" t="s">
        <v>1198</v>
      </c>
    </row>
    <row r="215" spans="1:9" x14ac:dyDescent="0.25">
      <c r="A215" t="s">
        <v>846</v>
      </c>
      <c r="B215" t="s">
        <v>1443</v>
      </c>
      <c r="C215" t="s">
        <v>1222</v>
      </c>
      <c r="D215" s="13">
        <v>180000</v>
      </c>
      <c r="F215" s="10">
        <v>35186</v>
      </c>
      <c r="G215">
        <v>28</v>
      </c>
      <c r="H215">
        <v>15</v>
      </c>
      <c r="I215" t="s">
        <v>1198</v>
      </c>
    </row>
    <row r="216" spans="1:9" x14ac:dyDescent="0.25">
      <c r="A216" t="s">
        <v>846</v>
      </c>
      <c r="B216" t="s">
        <v>1444</v>
      </c>
      <c r="C216" t="s">
        <v>1225</v>
      </c>
      <c r="D216" s="13">
        <v>240000</v>
      </c>
      <c r="F216" s="10">
        <v>40909</v>
      </c>
      <c r="G216">
        <v>12</v>
      </c>
      <c r="H216">
        <v>15</v>
      </c>
      <c r="I216" t="s">
        <v>1199</v>
      </c>
    </row>
    <row r="217" spans="1:9" x14ac:dyDescent="0.25">
      <c r="A217" t="s">
        <v>846</v>
      </c>
      <c r="B217" t="s">
        <v>1445</v>
      </c>
      <c r="C217" t="s">
        <v>1222</v>
      </c>
      <c r="D217" s="13">
        <v>24000</v>
      </c>
      <c r="F217" s="10">
        <v>42461</v>
      </c>
      <c r="G217">
        <v>8</v>
      </c>
      <c r="H217">
        <v>15</v>
      </c>
      <c r="I217" t="s">
        <v>1199</v>
      </c>
    </row>
    <row r="218" spans="1:9" x14ac:dyDescent="0.25">
      <c r="A218" t="s">
        <v>846</v>
      </c>
      <c r="B218" t="s">
        <v>1446</v>
      </c>
      <c r="C218" t="s">
        <v>1225</v>
      </c>
      <c r="D218" s="13">
        <v>24000</v>
      </c>
      <c r="F218" s="10">
        <v>42491</v>
      </c>
      <c r="G218">
        <v>8</v>
      </c>
      <c r="H218">
        <v>15</v>
      </c>
      <c r="I218" t="s">
        <v>1199</v>
      </c>
    </row>
    <row r="219" spans="1:9" x14ac:dyDescent="0.25">
      <c r="A219" t="s">
        <v>846</v>
      </c>
      <c r="B219" t="s">
        <v>1447</v>
      </c>
      <c r="C219" t="s">
        <v>1222</v>
      </c>
      <c r="D219" s="13">
        <v>36000</v>
      </c>
      <c r="F219" s="10">
        <v>42370</v>
      </c>
      <c r="G219">
        <v>8</v>
      </c>
      <c r="H219">
        <v>15</v>
      </c>
      <c r="I219" t="s">
        <v>1199</v>
      </c>
    </row>
    <row r="220" spans="1:9" x14ac:dyDescent="0.25">
      <c r="A220" t="s">
        <v>846</v>
      </c>
      <c r="B220" t="s">
        <v>1448</v>
      </c>
      <c r="C220" t="s">
        <v>1225</v>
      </c>
      <c r="D220" s="13">
        <v>36000</v>
      </c>
      <c r="F220" s="10">
        <v>42370</v>
      </c>
      <c r="G220">
        <v>8</v>
      </c>
      <c r="H220">
        <v>15</v>
      </c>
      <c r="I220" t="s">
        <v>1199</v>
      </c>
    </row>
    <row r="221" spans="1:9" x14ac:dyDescent="0.25">
      <c r="A221" t="s">
        <v>846</v>
      </c>
      <c r="B221" t="s">
        <v>1449</v>
      </c>
      <c r="C221" t="s">
        <v>1222</v>
      </c>
      <c r="D221" s="13">
        <v>36000</v>
      </c>
      <c r="F221" s="10">
        <v>42370</v>
      </c>
      <c r="G221">
        <v>8</v>
      </c>
      <c r="H221">
        <v>15</v>
      </c>
      <c r="I221" t="s">
        <v>1199</v>
      </c>
    </row>
    <row r="222" spans="1:9" x14ac:dyDescent="0.25">
      <c r="A222" t="s">
        <v>846</v>
      </c>
      <c r="B222" t="s">
        <v>1450</v>
      </c>
      <c r="C222" t="s">
        <v>1225</v>
      </c>
      <c r="D222" s="13">
        <v>36000</v>
      </c>
      <c r="F222" s="10">
        <v>42370</v>
      </c>
      <c r="G222">
        <v>8</v>
      </c>
      <c r="H222">
        <v>15</v>
      </c>
      <c r="I222" t="s">
        <v>1199</v>
      </c>
    </row>
    <row r="223" spans="1:9" x14ac:dyDescent="0.25">
      <c r="A223" t="s">
        <v>846</v>
      </c>
      <c r="B223" t="s">
        <v>1451</v>
      </c>
      <c r="C223" t="s">
        <v>1222</v>
      </c>
      <c r="D223" s="13">
        <v>12000</v>
      </c>
      <c r="I223" t="s">
        <v>1198</v>
      </c>
    </row>
    <row r="224" spans="1:9" x14ac:dyDescent="0.25">
      <c r="A224" t="s">
        <v>846</v>
      </c>
      <c r="B224" t="s">
        <v>1452</v>
      </c>
      <c r="C224" t="s">
        <v>1225</v>
      </c>
      <c r="D224" s="13">
        <v>12000</v>
      </c>
      <c r="I224" t="s">
        <v>1198</v>
      </c>
    </row>
    <row r="225" spans="1:12" x14ac:dyDescent="0.25">
      <c r="A225" t="s">
        <v>846</v>
      </c>
      <c r="B225" t="s">
        <v>1453</v>
      </c>
      <c r="C225" t="s">
        <v>1225</v>
      </c>
      <c r="D225" s="13">
        <v>240000</v>
      </c>
      <c r="F225" s="10">
        <v>39448</v>
      </c>
      <c r="I225" t="s">
        <v>1198</v>
      </c>
    </row>
    <row r="226" spans="1:12" x14ac:dyDescent="0.25">
      <c r="A226" t="s">
        <v>846</v>
      </c>
      <c r="B226" t="s">
        <v>1454</v>
      </c>
      <c r="C226" t="s">
        <v>1222</v>
      </c>
      <c r="D226" s="13">
        <v>150000</v>
      </c>
      <c r="F226" s="10">
        <v>35674</v>
      </c>
      <c r="I226" t="s">
        <v>1198</v>
      </c>
    </row>
    <row r="227" spans="1:12" x14ac:dyDescent="0.25">
      <c r="A227" t="s">
        <v>846</v>
      </c>
      <c r="B227" t="s">
        <v>1455</v>
      </c>
      <c r="C227" t="s">
        <v>1222</v>
      </c>
      <c r="D227" s="13">
        <v>12000</v>
      </c>
      <c r="I227" t="s">
        <v>1198</v>
      </c>
    </row>
    <row r="228" spans="1:12" x14ac:dyDescent="0.25">
      <c r="A228" t="s">
        <v>846</v>
      </c>
      <c r="B228" t="s">
        <v>1456</v>
      </c>
      <c r="C228" t="s">
        <v>1225</v>
      </c>
      <c r="D228" s="13">
        <v>36000</v>
      </c>
      <c r="F228" s="10">
        <v>45601</v>
      </c>
      <c r="I228" t="s">
        <v>1198</v>
      </c>
    </row>
    <row r="229" spans="1:12" x14ac:dyDescent="0.25">
      <c r="A229" t="s">
        <v>846</v>
      </c>
      <c r="B229" t="s">
        <v>1457</v>
      </c>
      <c r="C229" t="s">
        <v>1225</v>
      </c>
      <c r="D229" s="13">
        <v>36000</v>
      </c>
      <c r="F229" s="10">
        <v>45601</v>
      </c>
      <c r="I229" t="s">
        <v>1198</v>
      </c>
    </row>
    <row r="230" spans="1:12" x14ac:dyDescent="0.25">
      <c r="A230" t="s">
        <v>846</v>
      </c>
      <c r="B230" t="s">
        <v>1458</v>
      </c>
      <c r="C230" t="s">
        <v>1222</v>
      </c>
      <c r="D230" s="13">
        <v>36000</v>
      </c>
      <c r="F230" s="10">
        <v>45601</v>
      </c>
      <c r="I230" t="s">
        <v>1198</v>
      </c>
    </row>
    <row r="231" spans="1:12" x14ac:dyDescent="0.25">
      <c r="A231" t="s">
        <v>846</v>
      </c>
      <c r="B231" t="s">
        <v>1459</v>
      </c>
      <c r="C231" t="s">
        <v>1222</v>
      </c>
      <c r="D231" s="13">
        <v>36000</v>
      </c>
      <c r="F231" s="10">
        <v>45601</v>
      </c>
      <c r="I231" t="s">
        <v>1198</v>
      </c>
    </row>
    <row r="232" spans="1:12" x14ac:dyDescent="0.25">
      <c r="A232" t="s">
        <v>846</v>
      </c>
      <c r="B232" t="s">
        <v>1460</v>
      </c>
      <c r="C232" t="s">
        <v>1225</v>
      </c>
      <c r="D232" s="13">
        <v>180000</v>
      </c>
      <c r="F232" s="10">
        <v>45658</v>
      </c>
      <c r="I232" t="s">
        <v>1198</v>
      </c>
    </row>
    <row r="233" spans="1:12" x14ac:dyDescent="0.25">
      <c r="A233" t="s">
        <v>846</v>
      </c>
      <c r="B233" t="s">
        <v>1461</v>
      </c>
      <c r="C233" t="s">
        <v>1222</v>
      </c>
      <c r="D233" s="13">
        <v>180000</v>
      </c>
      <c r="F233" s="10">
        <v>45658</v>
      </c>
      <c r="I233" t="s">
        <v>1198</v>
      </c>
    </row>
    <row r="234" spans="1:12" x14ac:dyDescent="0.25">
      <c r="A234" t="s">
        <v>846</v>
      </c>
      <c r="B234" t="s">
        <v>1462</v>
      </c>
      <c r="C234" t="s">
        <v>1222</v>
      </c>
      <c r="D234" s="13">
        <v>240000</v>
      </c>
      <c r="I234" t="s">
        <v>1198</v>
      </c>
    </row>
    <row r="235" spans="1:12" x14ac:dyDescent="0.25">
      <c r="A235" t="s">
        <v>846</v>
      </c>
      <c r="B235" t="s">
        <v>1463</v>
      </c>
      <c r="C235" t="s">
        <v>1225</v>
      </c>
      <c r="I235" t="s">
        <v>1198</v>
      </c>
    </row>
    <row r="236" spans="1:12" x14ac:dyDescent="0.25">
      <c r="A236" t="s">
        <v>850</v>
      </c>
      <c r="B236" t="s">
        <v>1464</v>
      </c>
      <c r="C236" t="s">
        <v>1218</v>
      </c>
      <c r="E236">
        <v>350</v>
      </c>
      <c r="I236" t="s">
        <v>1198</v>
      </c>
      <c r="J236" t="s">
        <v>1219</v>
      </c>
      <c r="K236" t="s">
        <v>1234</v>
      </c>
      <c r="L236">
        <v>203.4</v>
      </c>
    </row>
    <row r="237" spans="1:12" x14ac:dyDescent="0.25">
      <c r="A237" t="s">
        <v>850</v>
      </c>
      <c r="B237" t="s">
        <v>1465</v>
      </c>
      <c r="C237" t="s">
        <v>1222</v>
      </c>
      <c r="F237" s="10">
        <v>40179</v>
      </c>
      <c r="G237">
        <v>14</v>
      </c>
      <c r="H237">
        <v>15</v>
      </c>
      <c r="I237" t="s">
        <v>1199</v>
      </c>
    </row>
    <row r="238" spans="1:12" x14ac:dyDescent="0.25">
      <c r="A238" t="s">
        <v>850</v>
      </c>
      <c r="B238" t="s">
        <v>1466</v>
      </c>
      <c r="C238" t="s">
        <v>1225</v>
      </c>
      <c r="F238" s="10">
        <v>39814</v>
      </c>
      <c r="G238">
        <v>15</v>
      </c>
      <c r="H238">
        <v>15</v>
      </c>
      <c r="I238" t="s">
        <v>1198</v>
      </c>
    </row>
    <row r="239" spans="1:12" x14ac:dyDescent="0.25">
      <c r="A239" t="s">
        <v>850</v>
      </c>
      <c r="B239" t="s">
        <v>1467</v>
      </c>
      <c r="C239" t="s">
        <v>1222</v>
      </c>
      <c r="F239" s="10">
        <v>39814</v>
      </c>
      <c r="G239">
        <v>15</v>
      </c>
      <c r="H239">
        <v>15</v>
      </c>
      <c r="I239" t="s">
        <v>1198</v>
      </c>
    </row>
    <row r="240" spans="1:12" x14ac:dyDescent="0.25">
      <c r="A240" t="s">
        <v>850</v>
      </c>
      <c r="B240" t="s">
        <v>1468</v>
      </c>
      <c r="C240" t="s">
        <v>1225</v>
      </c>
      <c r="D240" s="13">
        <v>180000</v>
      </c>
      <c r="I240" t="s">
        <v>1198</v>
      </c>
    </row>
    <row r="241" spans="1:12" x14ac:dyDescent="0.25">
      <c r="A241" t="s">
        <v>850</v>
      </c>
      <c r="B241" t="s">
        <v>1469</v>
      </c>
      <c r="C241" t="s">
        <v>1222</v>
      </c>
      <c r="I241" t="s">
        <v>1198</v>
      </c>
    </row>
    <row r="242" spans="1:12" x14ac:dyDescent="0.25">
      <c r="A242" t="s">
        <v>850</v>
      </c>
      <c r="B242" t="s">
        <v>1470</v>
      </c>
      <c r="C242" t="s">
        <v>1222</v>
      </c>
      <c r="D242" s="13">
        <v>18000</v>
      </c>
      <c r="F242" s="10">
        <v>40513</v>
      </c>
      <c r="G242">
        <v>13</v>
      </c>
      <c r="H242">
        <v>15</v>
      </c>
      <c r="I242" t="s">
        <v>1199</v>
      </c>
    </row>
    <row r="243" spans="1:12" x14ac:dyDescent="0.25">
      <c r="A243" t="s">
        <v>850</v>
      </c>
      <c r="B243" t="s">
        <v>1471</v>
      </c>
      <c r="C243" t="s">
        <v>1225</v>
      </c>
      <c r="D243" s="13">
        <v>18000</v>
      </c>
      <c r="I243" t="s">
        <v>1198</v>
      </c>
    </row>
    <row r="244" spans="1:12" x14ac:dyDescent="0.25">
      <c r="A244" t="s">
        <v>850</v>
      </c>
      <c r="B244" t="s">
        <v>1472</v>
      </c>
      <c r="C244" t="s">
        <v>1222</v>
      </c>
      <c r="F244" s="10">
        <v>40179</v>
      </c>
      <c r="G244">
        <v>14</v>
      </c>
      <c r="H244">
        <v>15</v>
      </c>
      <c r="I244" t="s">
        <v>1199</v>
      </c>
    </row>
    <row r="245" spans="1:12" x14ac:dyDescent="0.25">
      <c r="A245" t="s">
        <v>850</v>
      </c>
      <c r="B245" t="s">
        <v>1473</v>
      </c>
      <c r="C245" t="s">
        <v>1222</v>
      </c>
      <c r="F245" s="10">
        <v>39814</v>
      </c>
      <c r="I245" t="s">
        <v>1198</v>
      </c>
    </row>
    <row r="246" spans="1:12" x14ac:dyDescent="0.25">
      <c r="A246" t="s">
        <v>850</v>
      </c>
      <c r="B246" t="s">
        <v>1474</v>
      </c>
      <c r="C246" t="s">
        <v>1225</v>
      </c>
      <c r="D246" s="13">
        <v>24000</v>
      </c>
      <c r="F246" s="10">
        <v>45621</v>
      </c>
      <c r="I246" t="s">
        <v>1198</v>
      </c>
    </row>
    <row r="247" spans="1:12" x14ac:dyDescent="0.25">
      <c r="A247" t="s">
        <v>850</v>
      </c>
      <c r="B247" t="s">
        <v>1475</v>
      </c>
      <c r="C247" t="s">
        <v>1222</v>
      </c>
      <c r="D247" s="13">
        <v>24000</v>
      </c>
      <c r="F247" s="10">
        <v>45621</v>
      </c>
      <c r="I247" t="s">
        <v>1198</v>
      </c>
    </row>
    <row r="248" spans="1:12" x14ac:dyDescent="0.25">
      <c r="A248" t="s">
        <v>850</v>
      </c>
      <c r="B248" t="s">
        <v>1476</v>
      </c>
      <c r="C248" t="s">
        <v>1222</v>
      </c>
      <c r="D248" s="13">
        <v>12000</v>
      </c>
      <c r="F248" s="10">
        <v>45621</v>
      </c>
      <c r="I248" t="s">
        <v>1198</v>
      </c>
    </row>
    <row r="249" spans="1:12" x14ac:dyDescent="0.25">
      <c r="A249" t="s">
        <v>850</v>
      </c>
      <c r="B249" t="s">
        <v>1477</v>
      </c>
      <c r="C249" t="s">
        <v>1225</v>
      </c>
      <c r="D249" s="13">
        <v>12000</v>
      </c>
      <c r="F249" s="10">
        <v>45621</v>
      </c>
      <c r="I249" t="s">
        <v>1198</v>
      </c>
    </row>
    <row r="250" spans="1:12" x14ac:dyDescent="0.25">
      <c r="A250" t="s">
        <v>854</v>
      </c>
      <c r="B250" t="s">
        <v>1478</v>
      </c>
      <c r="C250" t="s">
        <v>1218</v>
      </c>
      <c r="E250">
        <v>300</v>
      </c>
      <c r="I250" t="s">
        <v>1198</v>
      </c>
      <c r="J250" t="s">
        <v>1219</v>
      </c>
      <c r="K250" t="s">
        <v>1234</v>
      </c>
      <c r="L250">
        <v>3499.6</v>
      </c>
    </row>
    <row r="251" spans="1:12" x14ac:dyDescent="0.25">
      <c r="A251" t="s">
        <v>854</v>
      </c>
      <c r="B251" t="s">
        <v>1479</v>
      </c>
      <c r="C251" t="s">
        <v>1225</v>
      </c>
      <c r="D251" s="13">
        <v>240000</v>
      </c>
      <c r="F251" s="10">
        <v>40634</v>
      </c>
      <c r="G251">
        <v>13</v>
      </c>
      <c r="H251">
        <v>15</v>
      </c>
      <c r="I251" t="s">
        <v>1199</v>
      </c>
    </row>
    <row r="252" spans="1:12" x14ac:dyDescent="0.25">
      <c r="A252" t="s">
        <v>854</v>
      </c>
      <c r="B252" t="s">
        <v>1480</v>
      </c>
      <c r="C252" t="s">
        <v>1222</v>
      </c>
      <c r="F252" s="10">
        <v>40634</v>
      </c>
      <c r="G252">
        <v>13</v>
      </c>
      <c r="H252">
        <v>15</v>
      </c>
      <c r="I252" t="s">
        <v>1199</v>
      </c>
    </row>
    <row r="253" spans="1:12" x14ac:dyDescent="0.25">
      <c r="A253" t="s">
        <v>854</v>
      </c>
      <c r="B253" t="s">
        <v>1481</v>
      </c>
      <c r="C253" t="s">
        <v>1222</v>
      </c>
      <c r="F253" s="10">
        <v>40634</v>
      </c>
      <c r="G253">
        <v>13</v>
      </c>
      <c r="H253">
        <v>15</v>
      </c>
      <c r="I253" t="s">
        <v>1199</v>
      </c>
    </row>
    <row r="254" spans="1:12" x14ac:dyDescent="0.25">
      <c r="A254" t="s">
        <v>854</v>
      </c>
      <c r="B254" t="s">
        <v>1482</v>
      </c>
      <c r="C254" t="s">
        <v>1225</v>
      </c>
      <c r="D254" s="13">
        <v>120000</v>
      </c>
      <c r="F254" s="10">
        <v>42005</v>
      </c>
      <c r="G254">
        <v>9</v>
      </c>
      <c r="H254">
        <v>15</v>
      </c>
      <c r="I254" t="s">
        <v>1199</v>
      </c>
    </row>
    <row r="255" spans="1:12" x14ac:dyDescent="0.25">
      <c r="A255" t="s">
        <v>854</v>
      </c>
      <c r="B255" t="s">
        <v>1483</v>
      </c>
      <c r="C255" t="s">
        <v>1222</v>
      </c>
      <c r="I255" t="s">
        <v>1198</v>
      </c>
    </row>
    <row r="256" spans="1:12" x14ac:dyDescent="0.25">
      <c r="A256" t="s">
        <v>854</v>
      </c>
      <c r="B256" t="s">
        <v>1484</v>
      </c>
      <c r="C256" t="s">
        <v>1222</v>
      </c>
      <c r="I256" t="s">
        <v>1198</v>
      </c>
    </row>
    <row r="257" spans="1:12" x14ac:dyDescent="0.25">
      <c r="A257" t="s">
        <v>854</v>
      </c>
      <c r="B257" t="s">
        <v>1485</v>
      </c>
      <c r="C257" t="s">
        <v>1222</v>
      </c>
      <c r="F257" s="10">
        <v>40634</v>
      </c>
      <c r="I257" t="s">
        <v>1198</v>
      </c>
    </row>
    <row r="258" spans="1:12" x14ac:dyDescent="0.25">
      <c r="A258" t="s">
        <v>92</v>
      </c>
      <c r="B258" t="s">
        <v>1486</v>
      </c>
      <c r="C258" t="s">
        <v>1218</v>
      </c>
      <c r="E258">
        <v>100</v>
      </c>
      <c r="F258" s="10">
        <v>38718</v>
      </c>
      <c r="G258">
        <v>18</v>
      </c>
      <c r="H258">
        <v>25</v>
      </c>
      <c r="I258" t="s">
        <v>1199</v>
      </c>
      <c r="J258" t="s">
        <v>1219</v>
      </c>
      <c r="K258" t="s">
        <v>1487</v>
      </c>
      <c r="L258">
        <v>631.29999999999995</v>
      </c>
    </row>
    <row r="259" spans="1:12" x14ac:dyDescent="0.25">
      <c r="A259" t="s">
        <v>92</v>
      </c>
      <c r="B259" t="s">
        <v>1488</v>
      </c>
      <c r="C259" t="s">
        <v>1222</v>
      </c>
      <c r="D259" s="13">
        <v>30000</v>
      </c>
      <c r="F259" s="10">
        <v>39448</v>
      </c>
      <c r="G259">
        <v>16</v>
      </c>
      <c r="H259">
        <v>15</v>
      </c>
      <c r="I259" t="s">
        <v>1198</v>
      </c>
    </row>
    <row r="260" spans="1:12" x14ac:dyDescent="0.25">
      <c r="A260" t="s">
        <v>92</v>
      </c>
      <c r="B260" t="s">
        <v>1489</v>
      </c>
      <c r="C260" t="s">
        <v>1238</v>
      </c>
      <c r="D260" s="13">
        <v>60000</v>
      </c>
      <c r="F260" s="10">
        <v>38565</v>
      </c>
      <c r="G260">
        <v>19</v>
      </c>
      <c r="H260">
        <v>15</v>
      </c>
      <c r="I260" t="s">
        <v>1198</v>
      </c>
    </row>
    <row r="261" spans="1:12" x14ac:dyDescent="0.25">
      <c r="A261" t="s">
        <v>92</v>
      </c>
      <c r="B261" t="s">
        <v>1490</v>
      </c>
      <c r="C261" t="s">
        <v>1225</v>
      </c>
      <c r="D261" s="13">
        <v>120000</v>
      </c>
      <c r="F261" s="10">
        <v>39448</v>
      </c>
      <c r="G261">
        <v>16</v>
      </c>
      <c r="H261">
        <v>15</v>
      </c>
      <c r="I261" t="s">
        <v>1198</v>
      </c>
    </row>
    <row r="262" spans="1:12" x14ac:dyDescent="0.25">
      <c r="A262" t="s">
        <v>92</v>
      </c>
      <c r="B262" t="s">
        <v>1491</v>
      </c>
      <c r="C262" t="s">
        <v>1225</v>
      </c>
      <c r="D262" s="13">
        <v>90000</v>
      </c>
      <c r="F262" s="10">
        <v>42736</v>
      </c>
      <c r="G262">
        <v>7</v>
      </c>
      <c r="H262">
        <v>15</v>
      </c>
      <c r="I262" t="s">
        <v>1199</v>
      </c>
    </row>
    <row r="263" spans="1:12" x14ac:dyDescent="0.25">
      <c r="A263" t="s">
        <v>92</v>
      </c>
      <c r="B263" t="s">
        <v>1492</v>
      </c>
      <c r="C263" t="s">
        <v>1222</v>
      </c>
      <c r="D263" s="13">
        <v>30000</v>
      </c>
      <c r="F263" s="10">
        <v>42979</v>
      </c>
      <c r="G263">
        <v>7</v>
      </c>
      <c r="H263">
        <v>15</v>
      </c>
      <c r="I263" t="s">
        <v>1199</v>
      </c>
    </row>
    <row r="264" spans="1:12" x14ac:dyDescent="0.25">
      <c r="A264" t="s">
        <v>92</v>
      </c>
      <c r="B264" t="s">
        <v>1493</v>
      </c>
      <c r="C264" t="s">
        <v>1225</v>
      </c>
      <c r="D264" s="13">
        <v>30000</v>
      </c>
      <c r="F264" s="10">
        <v>39448</v>
      </c>
      <c r="I264" t="s">
        <v>1198</v>
      </c>
    </row>
    <row r="265" spans="1:12" x14ac:dyDescent="0.25">
      <c r="A265" t="s">
        <v>542</v>
      </c>
      <c r="B265" t="s">
        <v>1494</v>
      </c>
      <c r="C265" t="s">
        <v>1218</v>
      </c>
      <c r="E265">
        <v>50</v>
      </c>
      <c r="F265" s="10">
        <v>37987</v>
      </c>
      <c r="G265">
        <v>20</v>
      </c>
      <c r="H265">
        <v>25</v>
      </c>
      <c r="I265" t="s">
        <v>1199</v>
      </c>
      <c r="J265" t="s">
        <v>1219</v>
      </c>
      <c r="K265" t="s">
        <v>1234</v>
      </c>
      <c r="L265">
        <v>166</v>
      </c>
    </row>
    <row r="266" spans="1:12" x14ac:dyDescent="0.25">
      <c r="A266" t="s">
        <v>542</v>
      </c>
      <c r="B266" t="s">
        <v>1495</v>
      </c>
      <c r="C266" t="s">
        <v>1238</v>
      </c>
      <c r="F266" s="10">
        <v>43311</v>
      </c>
      <c r="G266">
        <v>6</v>
      </c>
      <c r="H266">
        <v>15</v>
      </c>
      <c r="I266" t="s">
        <v>1199</v>
      </c>
    </row>
    <row r="267" spans="1:12" x14ac:dyDescent="0.25">
      <c r="A267" t="s">
        <v>542</v>
      </c>
      <c r="B267" t="s">
        <v>1496</v>
      </c>
      <c r="C267" t="s">
        <v>1238</v>
      </c>
      <c r="F267" s="10">
        <v>42948</v>
      </c>
      <c r="G267">
        <v>34</v>
      </c>
      <c r="H267">
        <v>15</v>
      </c>
      <c r="I267" t="s">
        <v>1198</v>
      </c>
    </row>
    <row r="268" spans="1:12" x14ac:dyDescent="0.25">
      <c r="A268" t="s">
        <v>542</v>
      </c>
      <c r="B268" t="s">
        <v>1497</v>
      </c>
      <c r="C268" t="s">
        <v>1238</v>
      </c>
      <c r="I268" t="s">
        <v>1198</v>
      </c>
    </row>
    <row r="269" spans="1:12" x14ac:dyDescent="0.25">
      <c r="A269" t="s">
        <v>542</v>
      </c>
      <c r="B269" t="s">
        <v>1498</v>
      </c>
      <c r="C269" t="s">
        <v>1238</v>
      </c>
      <c r="D269" s="13">
        <v>24000</v>
      </c>
      <c r="F269" s="10">
        <v>35521</v>
      </c>
      <c r="G269">
        <v>27</v>
      </c>
      <c r="H269">
        <v>15</v>
      </c>
      <c r="I269" t="s">
        <v>1198</v>
      </c>
    </row>
    <row r="270" spans="1:12" x14ac:dyDescent="0.25">
      <c r="A270" t="s">
        <v>542</v>
      </c>
      <c r="B270" t="s">
        <v>1499</v>
      </c>
      <c r="C270" t="s">
        <v>1238</v>
      </c>
      <c r="D270" s="13">
        <v>60000</v>
      </c>
      <c r="I270" t="s">
        <v>1198</v>
      </c>
    </row>
    <row r="271" spans="1:12" x14ac:dyDescent="0.25">
      <c r="A271" t="s">
        <v>551</v>
      </c>
      <c r="B271" t="s">
        <v>1500</v>
      </c>
      <c r="C271" t="s">
        <v>1218</v>
      </c>
      <c r="E271">
        <v>125</v>
      </c>
      <c r="F271" s="10">
        <v>32874</v>
      </c>
      <c r="G271">
        <v>34</v>
      </c>
      <c r="H271">
        <v>25</v>
      </c>
      <c r="I271" t="s">
        <v>1198</v>
      </c>
      <c r="J271" t="s">
        <v>1219</v>
      </c>
      <c r="K271" t="s">
        <v>1234</v>
      </c>
      <c r="L271">
        <v>420</v>
      </c>
    </row>
    <row r="272" spans="1:12" x14ac:dyDescent="0.25">
      <c r="A272" t="s">
        <v>551</v>
      </c>
      <c r="B272" t="s">
        <v>1501</v>
      </c>
      <c r="C272" t="s">
        <v>1222</v>
      </c>
      <c r="F272" s="10">
        <v>31049</v>
      </c>
      <c r="G272">
        <v>39</v>
      </c>
      <c r="H272">
        <v>15</v>
      </c>
      <c r="I272" t="s">
        <v>1198</v>
      </c>
    </row>
    <row r="273" spans="1:12" x14ac:dyDescent="0.25">
      <c r="A273" t="s">
        <v>551</v>
      </c>
      <c r="B273" t="s">
        <v>1502</v>
      </c>
      <c r="C273" t="s">
        <v>1222</v>
      </c>
      <c r="I273" t="s">
        <v>1198</v>
      </c>
    </row>
    <row r="274" spans="1:12" x14ac:dyDescent="0.25">
      <c r="A274" t="s">
        <v>551</v>
      </c>
      <c r="B274" t="s">
        <v>1503</v>
      </c>
      <c r="C274" t="s">
        <v>1262</v>
      </c>
      <c r="I274" t="s">
        <v>1198</v>
      </c>
    </row>
    <row r="275" spans="1:12" x14ac:dyDescent="0.25">
      <c r="A275" t="s">
        <v>551</v>
      </c>
      <c r="B275" t="s">
        <v>1504</v>
      </c>
      <c r="C275" t="s">
        <v>1262</v>
      </c>
      <c r="I275" t="s">
        <v>1198</v>
      </c>
    </row>
    <row r="276" spans="1:12" x14ac:dyDescent="0.25">
      <c r="A276" t="s">
        <v>551</v>
      </c>
      <c r="B276" t="s">
        <v>1505</v>
      </c>
      <c r="C276" t="s">
        <v>1225</v>
      </c>
      <c r="D276" s="13">
        <v>180000</v>
      </c>
      <c r="I276" t="s">
        <v>1198</v>
      </c>
    </row>
    <row r="277" spans="1:12" x14ac:dyDescent="0.25">
      <c r="A277" t="s">
        <v>551</v>
      </c>
      <c r="B277" t="s">
        <v>1506</v>
      </c>
      <c r="C277" t="s">
        <v>1222</v>
      </c>
      <c r="F277" s="10">
        <v>42125</v>
      </c>
      <c r="G277">
        <v>9</v>
      </c>
      <c r="H277">
        <v>15</v>
      </c>
      <c r="I277" t="s">
        <v>1199</v>
      </c>
    </row>
    <row r="278" spans="1:12" x14ac:dyDescent="0.25">
      <c r="A278" t="s">
        <v>551</v>
      </c>
      <c r="B278" t="s">
        <v>1507</v>
      </c>
      <c r="C278" t="s">
        <v>1225</v>
      </c>
      <c r="D278" s="13">
        <v>42000</v>
      </c>
      <c r="F278" s="10">
        <v>42217</v>
      </c>
      <c r="G278">
        <v>9</v>
      </c>
      <c r="H278">
        <v>15</v>
      </c>
      <c r="I278" t="s">
        <v>1199</v>
      </c>
    </row>
    <row r="279" spans="1:12" x14ac:dyDescent="0.25">
      <c r="A279" t="s">
        <v>551</v>
      </c>
      <c r="B279" t="s">
        <v>1508</v>
      </c>
      <c r="C279" t="s">
        <v>1225</v>
      </c>
      <c r="D279" s="13">
        <v>180000</v>
      </c>
      <c r="F279" s="10">
        <v>45566</v>
      </c>
      <c r="I279" t="s">
        <v>1198</v>
      </c>
    </row>
    <row r="280" spans="1:12" x14ac:dyDescent="0.25">
      <c r="A280" t="s">
        <v>551</v>
      </c>
      <c r="B280" t="s">
        <v>1509</v>
      </c>
      <c r="C280" t="s">
        <v>1222</v>
      </c>
      <c r="D280" s="13">
        <v>180000</v>
      </c>
      <c r="F280" s="10">
        <v>45566</v>
      </c>
      <c r="I280" t="s">
        <v>1198</v>
      </c>
    </row>
    <row r="281" spans="1:12" x14ac:dyDescent="0.25">
      <c r="A281" t="s">
        <v>1510</v>
      </c>
      <c r="B281" t="s">
        <v>1511</v>
      </c>
      <c r="C281" t="s">
        <v>1218</v>
      </c>
      <c r="E281">
        <v>550</v>
      </c>
      <c r="I281" t="s">
        <v>1198</v>
      </c>
      <c r="J281" t="s">
        <v>1219</v>
      </c>
      <c r="K281" t="s">
        <v>1234</v>
      </c>
      <c r="L281">
        <v>585.9</v>
      </c>
    </row>
    <row r="282" spans="1:12" x14ac:dyDescent="0.25">
      <c r="A282" t="s">
        <v>1510</v>
      </c>
      <c r="B282" t="s">
        <v>1512</v>
      </c>
      <c r="C282" t="s">
        <v>1218</v>
      </c>
      <c r="E282">
        <v>135</v>
      </c>
      <c r="I282" t="s">
        <v>1198</v>
      </c>
      <c r="J282" t="s">
        <v>1341</v>
      </c>
      <c r="K282" t="s">
        <v>1234</v>
      </c>
      <c r="L282">
        <v>334.8</v>
      </c>
    </row>
    <row r="283" spans="1:12" x14ac:dyDescent="0.25">
      <c r="A283" t="s">
        <v>1510</v>
      </c>
      <c r="B283" t="s">
        <v>1513</v>
      </c>
      <c r="C283" t="s">
        <v>1222</v>
      </c>
      <c r="D283" s="13">
        <v>240000</v>
      </c>
      <c r="F283" s="10">
        <v>38353</v>
      </c>
      <c r="G283">
        <v>19</v>
      </c>
      <c r="H283">
        <v>15</v>
      </c>
      <c r="I283" t="s">
        <v>1198</v>
      </c>
    </row>
    <row r="284" spans="1:12" x14ac:dyDescent="0.25">
      <c r="A284" t="s">
        <v>1510</v>
      </c>
      <c r="B284" t="s">
        <v>1514</v>
      </c>
      <c r="C284" t="s">
        <v>1222</v>
      </c>
      <c r="D284" s="13">
        <v>240000</v>
      </c>
      <c r="F284" s="10">
        <v>38353</v>
      </c>
      <c r="G284">
        <v>19</v>
      </c>
      <c r="H284">
        <v>15</v>
      </c>
      <c r="I284" t="s">
        <v>1198</v>
      </c>
    </row>
    <row r="285" spans="1:12" x14ac:dyDescent="0.25">
      <c r="A285" t="s">
        <v>1510</v>
      </c>
      <c r="B285" t="s">
        <v>1515</v>
      </c>
      <c r="C285" t="s">
        <v>1238</v>
      </c>
      <c r="D285" s="13">
        <v>60000</v>
      </c>
      <c r="F285" s="10">
        <v>41275</v>
      </c>
      <c r="G285">
        <v>11</v>
      </c>
      <c r="H285">
        <v>15</v>
      </c>
      <c r="I285" t="s">
        <v>1199</v>
      </c>
    </row>
    <row r="286" spans="1:12" x14ac:dyDescent="0.25">
      <c r="A286" t="s">
        <v>1510</v>
      </c>
      <c r="B286" t="s">
        <v>1516</v>
      </c>
      <c r="C286" t="s">
        <v>1238</v>
      </c>
      <c r="D286" s="13">
        <v>60000</v>
      </c>
      <c r="F286" s="10">
        <v>42005</v>
      </c>
      <c r="G286">
        <v>9</v>
      </c>
      <c r="H286">
        <v>15</v>
      </c>
      <c r="I286" t="s">
        <v>1199</v>
      </c>
    </row>
    <row r="287" spans="1:12" x14ac:dyDescent="0.25">
      <c r="A287" t="s">
        <v>1510</v>
      </c>
      <c r="B287" t="s">
        <v>1517</v>
      </c>
      <c r="C287" t="s">
        <v>1225</v>
      </c>
      <c r="G287">
        <v>9</v>
      </c>
      <c r="H287">
        <v>15</v>
      </c>
      <c r="I287" t="s">
        <v>1199</v>
      </c>
    </row>
    <row r="288" spans="1:12" x14ac:dyDescent="0.25">
      <c r="A288" t="s">
        <v>1510</v>
      </c>
      <c r="B288" t="s">
        <v>1518</v>
      </c>
      <c r="C288" t="s">
        <v>1225</v>
      </c>
      <c r="D288" s="13">
        <v>60000</v>
      </c>
      <c r="F288" s="10">
        <v>42005</v>
      </c>
      <c r="G288">
        <v>9</v>
      </c>
      <c r="H288">
        <v>15</v>
      </c>
      <c r="I288" t="s">
        <v>1199</v>
      </c>
    </row>
    <row r="289" spans="1:12" x14ac:dyDescent="0.25">
      <c r="A289" t="s">
        <v>1510</v>
      </c>
      <c r="B289" t="s">
        <v>1519</v>
      </c>
      <c r="C289" t="s">
        <v>1225</v>
      </c>
      <c r="D289" s="13">
        <v>90000</v>
      </c>
      <c r="F289" s="10">
        <v>42522</v>
      </c>
      <c r="G289">
        <v>8</v>
      </c>
      <c r="H289">
        <v>15</v>
      </c>
      <c r="I289" t="s">
        <v>1199</v>
      </c>
    </row>
    <row r="290" spans="1:12" x14ac:dyDescent="0.25">
      <c r="A290" t="s">
        <v>1510</v>
      </c>
      <c r="B290" t="s">
        <v>1520</v>
      </c>
      <c r="C290" t="s">
        <v>1222</v>
      </c>
      <c r="D290" s="13">
        <v>80000</v>
      </c>
      <c r="F290" s="10">
        <v>43983</v>
      </c>
      <c r="G290">
        <v>8</v>
      </c>
      <c r="H290">
        <v>15</v>
      </c>
      <c r="I290" t="s">
        <v>1199</v>
      </c>
    </row>
    <row r="291" spans="1:12" x14ac:dyDescent="0.25">
      <c r="A291" t="s">
        <v>1510</v>
      </c>
      <c r="B291" t="s">
        <v>1521</v>
      </c>
      <c r="C291" t="s">
        <v>1222</v>
      </c>
      <c r="D291" s="13">
        <v>150000</v>
      </c>
      <c r="F291" s="10">
        <v>43831</v>
      </c>
      <c r="G291">
        <v>4</v>
      </c>
      <c r="H291">
        <v>15</v>
      </c>
      <c r="I291" t="s">
        <v>1199</v>
      </c>
    </row>
    <row r="292" spans="1:12" x14ac:dyDescent="0.25">
      <c r="A292" t="s">
        <v>1510</v>
      </c>
      <c r="B292" t="s">
        <v>1522</v>
      </c>
      <c r="C292" t="s">
        <v>1225</v>
      </c>
      <c r="D292" s="13">
        <v>180000</v>
      </c>
      <c r="F292" s="10">
        <v>44197</v>
      </c>
      <c r="G292">
        <v>3</v>
      </c>
      <c r="H292">
        <v>15</v>
      </c>
      <c r="I292" t="s">
        <v>1199</v>
      </c>
    </row>
    <row r="293" spans="1:12" x14ac:dyDescent="0.25">
      <c r="A293" t="s">
        <v>1510</v>
      </c>
      <c r="B293" t="s">
        <v>1523</v>
      </c>
      <c r="C293" t="s">
        <v>1222</v>
      </c>
      <c r="D293" s="13">
        <v>180000</v>
      </c>
      <c r="F293" s="10">
        <v>44197</v>
      </c>
      <c r="G293">
        <v>3</v>
      </c>
      <c r="H293">
        <v>15</v>
      </c>
      <c r="I293" t="s">
        <v>1199</v>
      </c>
    </row>
    <row r="294" spans="1:12" x14ac:dyDescent="0.25">
      <c r="A294" t="s">
        <v>1510</v>
      </c>
      <c r="B294" t="s">
        <v>1524</v>
      </c>
      <c r="C294" t="s">
        <v>1225</v>
      </c>
      <c r="D294" s="13">
        <v>240000</v>
      </c>
      <c r="F294" s="10">
        <v>38353</v>
      </c>
      <c r="G294">
        <v>19</v>
      </c>
      <c r="H294">
        <v>15</v>
      </c>
      <c r="I294" t="s">
        <v>1198</v>
      </c>
    </row>
    <row r="295" spans="1:12" x14ac:dyDescent="0.25">
      <c r="A295" t="s">
        <v>1510</v>
      </c>
      <c r="B295" t="s">
        <v>1525</v>
      </c>
      <c r="C295" t="s">
        <v>1222</v>
      </c>
      <c r="D295" s="13">
        <v>360000</v>
      </c>
      <c r="F295" s="10">
        <v>38353</v>
      </c>
      <c r="G295">
        <v>19</v>
      </c>
      <c r="H295">
        <v>15</v>
      </c>
      <c r="I295" t="s">
        <v>1198</v>
      </c>
    </row>
    <row r="296" spans="1:12" x14ac:dyDescent="0.25">
      <c r="A296" t="s">
        <v>1510</v>
      </c>
      <c r="B296" t="s">
        <v>1526</v>
      </c>
      <c r="C296" t="s">
        <v>1222</v>
      </c>
      <c r="D296" s="13">
        <v>180000</v>
      </c>
      <c r="F296" s="10">
        <v>44197</v>
      </c>
      <c r="I296" t="s">
        <v>1198</v>
      </c>
    </row>
    <row r="297" spans="1:12" x14ac:dyDescent="0.25">
      <c r="A297" t="s">
        <v>145</v>
      </c>
      <c r="B297" t="s">
        <v>1527</v>
      </c>
      <c r="C297" t="s">
        <v>1218</v>
      </c>
      <c r="E297">
        <v>125</v>
      </c>
      <c r="F297" s="10">
        <v>42278</v>
      </c>
      <c r="G297">
        <v>9</v>
      </c>
      <c r="H297">
        <v>25</v>
      </c>
      <c r="I297" t="s">
        <v>1199</v>
      </c>
      <c r="J297" t="s">
        <v>1219</v>
      </c>
      <c r="K297" t="s">
        <v>1234</v>
      </c>
      <c r="L297">
        <v>142.6</v>
      </c>
    </row>
    <row r="298" spans="1:12" x14ac:dyDescent="0.25">
      <c r="A298" t="s">
        <v>145</v>
      </c>
      <c r="B298" t="s">
        <v>1528</v>
      </c>
      <c r="C298" t="s">
        <v>1262</v>
      </c>
      <c r="I298" t="s">
        <v>1198</v>
      </c>
    </row>
    <row r="299" spans="1:12" x14ac:dyDescent="0.25">
      <c r="A299" t="s">
        <v>145</v>
      </c>
      <c r="B299" t="s">
        <v>1529</v>
      </c>
      <c r="C299" t="s">
        <v>1222</v>
      </c>
      <c r="D299" s="13">
        <v>60000</v>
      </c>
      <c r="F299" s="10">
        <v>39356</v>
      </c>
      <c r="G299">
        <v>17</v>
      </c>
      <c r="H299">
        <v>15</v>
      </c>
      <c r="I299" t="s">
        <v>1198</v>
      </c>
    </row>
    <row r="300" spans="1:12" x14ac:dyDescent="0.25">
      <c r="A300" t="s">
        <v>145</v>
      </c>
      <c r="B300" t="s">
        <v>1530</v>
      </c>
      <c r="C300" t="s">
        <v>1296</v>
      </c>
      <c r="D300" s="13">
        <v>240000</v>
      </c>
      <c r="F300" s="10">
        <v>38534</v>
      </c>
      <c r="G300">
        <v>19</v>
      </c>
      <c r="H300">
        <v>15</v>
      </c>
      <c r="I300" t="s">
        <v>1198</v>
      </c>
    </row>
    <row r="301" spans="1:12" x14ac:dyDescent="0.25">
      <c r="A301" t="s">
        <v>145</v>
      </c>
      <c r="B301" t="s">
        <v>1531</v>
      </c>
      <c r="C301" t="s">
        <v>1262</v>
      </c>
      <c r="I301" t="s">
        <v>1198</v>
      </c>
    </row>
    <row r="302" spans="1:12" x14ac:dyDescent="0.25">
      <c r="A302" t="s">
        <v>145</v>
      </c>
      <c r="B302" t="s">
        <v>1532</v>
      </c>
      <c r="C302" t="s">
        <v>1222</v>
      </c>
      <c r="I302" t="s">
        <v>1198</v>
      </c>
    </row>
    <row r="303" spans="1:12" x14ac:dyDescent="0.25">
      <c r="A303" t="s">
        <v>145</v>
      </c>
      <c r="B303" t="s">
        <v>1533</v>
      </c>
      <c r="C303" t="s">
        <v>1222</v>
      </c>
      <c r="I303" t="s">
        <v>1198</v>
      </c>
    </row>
    <row r="304" spans="1:12" x14ac:dyDescent="0.25">
      <c r="A304" t="s">
        <v>145</v>
      </c>
      <c r="B304" t="s">
        <v>1534</v>
      </c>
      <c r="C304" t="s">
        <v>1225</v>
      </c>
      <c r="I304" t="s">
        <v>1198</v>
      </c>
    </row>
    <row r="305" spans="1:12" x14ac:dyDescent="0.25">
      <c r="A305" t="s">
        <v>145</v>
      </c>
      <c r="B305" t="s">
        <v>1535</v>
      </c>
      <c r="C305" t="s">
        <v>1225</v>
      </c>
      <c r="I305" t="s">
        <v>1198</v>
      </c>
    </row>
    <row r="306" spans="1:12" x14ac:dyDescent="0.25">
      <c r="A306" t="s">
        <v>145</v>
      </c>
      <c r="B306" t="s">
        <v>1536</v>
      </c>
      <c r="C306" t="s">
        <v>1222</v>
      </c>
      <c r="I306" t="s">
        <v>1198</v>
      </c>
    </row>
    <row r="307" spans="1:12" x14ac:dyDescent="0.25">
      <c r="A307" t="s">
        <v>145</v>
      </c>
      <c r="B307" t="s">
        <v>1537</v>
      </c>
      <c r="C307" t="s">
        <v>1222</v>
      </c>
      <c r="D307" s="13">
        <v>60000</v>
      </c>
      <c r="F307" s="10">
        <v>39356</v>
      </c>
      <c r="I307" t="s">
        <v>1198</v>
      </c>
    </row>
    <row r="308" spans="1:12" x14ac:dyDescent="0.25">
      <c r="A308" t="s">
        <v>367</v>
      </c>
      <c r="B308" t="s">
        <v>1538</v>
      </c>
      <c r="C308" t="s">
        <v>1218</v>
      </c>
      <c r="E308">
        <v>100</v>
      </c>
      <c r="I308" t="s">
        <v>1198</v>
      </c>
      <c r="J308" t="s">
        <v>1219</v>
      </c>
      <c r="K308" t="s">
        <v>1220</v>
      </c>
      <c r="L308">
        <v>429.9</v>
      </c>
    </row>
    <row r="309" spans="1:12" x14ac:dyDescent="0.25">
      <c r="A309" t="s">
        <v>367</v>
      </c>
      <c r="B309" t="s">
        <v>1539</v>
      </c>
      <c r="C309" t="s">
        <v>1225</v>
      </c>
      <c r="D309" s="13">
        <v>120000</v>
      </c>
      <c r="I309" t="s">
        <v>1198</v>
      </c>
    </row>
    <row r="310" spans="1:12" x14ac:dyDescent="0.25">
      <c r="A310" t="s">
        <v>367</v>
      </c>
      <c r="B310" t="s">
        <v>1540</v>
      </c>
      <c r="C310" t="s">
        <v>1222</v>
      </c>
      <c r="I310" t="s">
        <v>1198</v>
      </c>
    </row>
    <row r="311" spans="1:12" x14ac:dyDescent="0.25">
      <c r="A311" t="s">
        <v>367</v>
      </c>
      <c r="B311" t="s">
        <v>1541</v>
      </c>
      <c r="C311" t="s">
        <v>1225</v>
      </c>
      <c r="D311" s="13">
        <v>60000</v>
      </c>
      <c r="F311" s="10">
        <v>37803</v>
      </c>
      <c r="G311">
        <v>21</v>
      </c>
      <c r="H311">
        <v>15</v>
      </c>
      <c r="I311" t="s">
        <v>1198</v>
      </c>
    </row>
    <row r="312" spans="1:12" x14ac:dyDescent="0.25">
      <c r="A312" t="s">
        <v>367</v>
      </c>
      <c r="B312" t="s">
        <v>1542</v>
      </c>
      <c r="C312" t="s">
        <v>1222</v>
      </c>
      <c r="D312" s="13">
        <v>60000</v>
      </c>
      <c r="F312" s="10">
        <v>37773</v>
      </c>
      <c r="G312">
        <v>21</v>
      </c>
      <c r="H312">
        <v>15</v>
      </c>
      <c r="I312" t="s">
        <v>1198</v>
      </c>
    </row>
    <row r="313" spans="1:12" x14ac:dyDescent="0.25">
      <c r="A313" t="s">
        <v>367</v>
      </c>
      <c r="B313" t="s">
        <v>1543</v>
      </c>
      <c r="C313" t="s">
        <v>1225</v>
      </c>
      <c r="D313" s="13">
        <v>60000</v>
      </c>
      <c r="F313" s="10">
        <v>37803</v>
      </c>
      <c r="G313">
        <v>21</v>
      </c>
      <c r="H313">
        <v>15</v>
      </c>
      <c r="I313" t="s">
        <v>1198</v>
      </c>
    </row>
    <row r="314" spans="1:12" x14ac:dyDescent="0.25">
      <c r="A314" t="s">
        <v>367</v>
      </c>
      <c r="B314" t="s">
        <v>1544</v>
      </c>
      <c r="C314" t="s">
        <v>1222</v>
      </c>
      <c r="D314" s="13">
        <v>60000</v>
      </c>
      <c r="F314" s="10">
        <v>37773</v>
      </c>
      <c r="G314">
        <v>21</v>
      </c>
      <c r="H314">
        <v>15</v>
      </c>
      <c r="I314" t="s">
        <v>1198</v>
      </c>
    </row>
    <row r="315" spans="1:12" x14ac:dyDescent="0.25">
      <c r="A315" t="s">
        <v>367</v>
      </c>
      <c r="B315" t="s">
        <v>1545</v>
      </c>
      <c r="C315" t="s">
        <v>1225</v>
      </c>
      <c r="D315" s="13">
        <v>60000</v>
      </c>
      <c r="F315" s="10">
        <v>37773</v>
      </c>
      <c r="G315">
        <v>21</v>
      </c>
      <c r="H315">
        <v>15</v>
      </c>
      <c r="I315" t="s">
        <v>1198</v>
      </c>
    </row>
    <row r="316" spans="1:12" x14ac:dyDescent="0.25">
      <c r="A316" t="s">
        <v>367</v>
      </c>
      <c r="B316" t="s">
        <v>1546</v>
      </c>
      <c r="C316" t="s">
        <v>1222</v>
      </c>
      <c r="D316" s="13">
        <v>60000</v>
      </c>
      <c r="F316" s="10">
        <v>37773</v>
      </c>
      <c r="G316">
        <v>21</v>
      </c>
      <c r="H316">
        <v>15</v>
      </c>
      <c r="I316" t="s">
        <v>1198</v>
      </c>
    </row>
    <row r="317" spans="1:12" x14ac:dyDescent="0.25">
      <c r="A317" t="s">
        <v>367</v>
      </c>
      <c r="B317" t="s">
        <v>1547</v>
      </c>
      <c r="C317" t="s">
        <v>1225</v>
      </c>
      <c r="D317" s="13">
        <v>36000</v>
      </c>
      <c r="F317" s="10">
        <v>36951</v>
      </c>
      <c r="G317">
        <v>23</v>
      </c>
      <c r="H317">
        <v>15</v>
      </c>
      <c r="I317" t="s">
        <v>1198</v>
      </c>
    </row>
    <row r="318" spans="1:12" x14ac:dyDescent="0.25">
      <c r="A318" t="s">
        <v>367</v>
      </c>
      <c r="B318" t="s">
        <v>1548</v>
      </c>
      <c r="C318" t="s">
        <v>1222</v>
      </c>
      <c r="D318" s="13">
        <v>36000</v>
      </c>
      <c r="F318" s="10">
        <v>36951</v>
      </c>
      <c r="G318">
        <v>23</v>
      </c>
      <c r="H318">
        <v>15</v>
      </c>
      <c r="I318" t="s">
        <v>1198</v>
      </c>
    </row>
    <row r="319" spans="1:12" x14ac:dyDescent="0.25">
      <c r="A319" t="s">
        <v>367</v>
      </c>
      <c r="B319" t="s">
        <v>1549</v>
      </c>
      <c r="C319" t="s">
        <v>1225</v>
      </c>
      <c r="D319" s="13">
        <v>120000</v>
      </c>
      <c r="I319" t="s">
        <v>1198</v>
      </c>
    </row>
    <row r="320" spans="1:12" x14ac:dyDescent="0.25">
      <c r="A320" t="s">
        <v>367</v>
      </c>
      <c r="B320" t="s">
        <v>1550</v>
      </c>
      <c r="C320" t="s">
        <v>1222</v>
      </c>
      <c r="I320" t="s">
        <v>1198</v>
      </c>
    </row>
    <row r="321" spans="1:12" x14ac:dyDescent="0.25">
      <c r="A321" t="s">
        <v>660</v>
      </c>
      <c r="B321" t="s">
        <v>1551</v>
      </c>
      <c r="C321" t="s">
        <v>1218</v>
      </c>
      <c r="E321">
        <v>350</v>
      </c>
      <c r="F321" s="10">
        <v>36770</v>
      </c>
      <c r="G321">
        <v>24</v>
      </c>
      <c r="H321">
        <v>25</v>
      </c>
      <c r="I321" t="s">
        <v>1199</v>
      </c>
      <c r="J321" t="s">
        <v>1219</v>
      </c>
      <c r="K321" t="s">
        <v>1234</v>
      </c>
      <c r="L321">
        <v>588</v>
      </c>
    </row>
    <row r="322" spans="1:12" x14ac:dyDescent="0.25">
      <c r="A322" t="s">
        <v>660</v>
      </c>
      <c r="B322" t="s">
        <v>1552</v>
      </c>
      <c r="C322" t="s">
        <v>1225</v>
      </c>
      <c r="D322" s="13">
        <v>180000</v>
      </c>
      <c r="F322" s="10">
        <v>42979</v>
      </c>
      <c r="G322">
        <v>7</v>
      </c>
      <c r="H322">
        <v>15</v>
      </c>
      <c r="I322" t="s">
        <v>1199</v>
      </c>
    </row>
    <row r="323" spans="1:12" x14ac:dyDescent="0.25">
      <c r="A323" t="s">
        <v>660</v>
      </c>
      <c r="B323" t="s">
        <v>1553</v>
      </c>
      <c r="C323" t="s">
        <v>1225</v>
      </c>
      <c r="D323" s="13">
        <v>60000</v>
      </c>
      <c r="F323" s="10">
        <v>42979</v>
      </c>
      <c r="G323">
        <v>7</v>
      </c>
      <c r="H323">
        <v>15</v>
      </c>
      <c r="I323" t="s">
        <v>1199</v>
      </c>
    </row>
    <row r="324" spans="1:12" x14ac:dyDescent="0.25">
      <c r="A324" t="s">
        <v>660</v>
      </c>
      <c r="B324" t="s">
        <v>1554</v>
      </c>
      <c r="C324" t="s">
        <v>1222</v>
      </c>
      <c r="D324" s="13">
        <v>180000</v>
      </c>
      <c r="F324" s="10">
        <v>42979</v>
      </c>
      <c r="G324">
        <v>7</v>
      </c>
      <c r="H324">
        <v>15</v>
      </c>
      <c r="I324" t="s">
        <v>1199</v>
      </c>
    </row>
    <row r="325" spans="1:12" x14ac:dyDescent="0.25">
      <c r="A325" t="s">
        <v>660</v>
      </c>
      <c r="B325" t="s">
        <v>1555</v>
      </c>
      <c r="C325" t="s">
        <v>1222</v>
      </c>
      <c r="D325" s="13">
        <v>60000</v>
      </c>
      <c r="F325" s="10">
        <v>42979</v>
      </c>
      <c r="G325">
        <v>7</v>
      </c>
      <c r="H325">
        <v>15</v>
      </c>
      <c r="I325" t="s">
        <v>1199</v>
      </c>
    </row>
    <row r="326" spans="1:12" x14ac:dyDescent="0.25">
      <c r="A326" t="s">
        <v>660</v>
      </c>
      <c r="B326" t="s">
        <v>1556</v>
      </c>
      <c r="C326" t="s">
        <v>1225</v>
      </c>
      <c r="D326" s="13">
        <v>120000</v>
      </c>
      <c r="F326" s="10">
        <v>43980</v>
      </c>
      <c r="G326">
        <v>4</v>
      </c>
      <c r="H326">
        <v>15</v>
      </c>
      <c r="I326" t="s">
        <v>1199</v>
      </c>
    </row>
    <row r="327" spans="1:12" x14ac:dyDescent="0.25">
      <c r="A327" t="s">
        <v>660</v>
      </c>
      <c r="B327" t="s">
        <v>1557</v>
      </c>
      <c r="C327" t="s">
        <v>1222</v>
      </c>
      <c r="D327" s="13">
        <v>120000</v>
      </c>
      <c r="F327" s="10">
        <v>43873</v>
      </c>
      <c r="G327">
        <v>4</v>
      </c>
      <c r="H327">
        <v>15</v>
      </c>
      <c r="I327" t="s">
        <v>1199</v>
      </c>
    </row>
    <row r="328" spans="1:12" x14ac:dyDescent="0.25">
      <c r="A328" t="s">
        <v>660</v>
      </c>
      <c r="B328" t="s">
        <v>1558</v>
      </c>
      <c r="C328" t="s">
        <v>1222</v>
      </c>
      <c r="I328" t="s">
        <v>1198</v>
      </c>
    </row>
    <row r="329" spans="1:12" x14ac:dyDescent="0.25">
      <c r="A329" t="s">
        <v>660</v>
      </c>
      <c r="B329" t="s">
        <v>1559</v>
      </c>
      <c r="C329" t="s">
        <v>1225</v>
      </c>
      <c r="I329" t="s">
        <v>1198</v>
      </c>
    </row>
    <row r="330" spans="1:12" x14ac:dyDescent="0.25">
      <c r="A330" t="s">
        <v>660</v>
      </c>
      <c r="B330" t="s">
        <v>1560</v>
      </c>
      <c r="C330" t="s">
        <v>1260</v>
      </c>
      <c r="D330" s="13">
        <v>60000</v>
      </c>
      <c r="I330" t="s">
        <v>1198</v>
      </c>
    </row>
    <row r="331" spans="1:12" x14ac:dyDescent="0.25">
      <c r="A331" t="s">
        <v>660</v>
      </c>
      <c r="B331" t="s">
        <v>1561</v>
      </c>
      <c r="C331" t="s">
        <v>1260</v>
      </c>
      <c r="D331" s="13">
        <v>90000</v>
      </c>
      <c r="I331" t="s">
        <v>1198</v>
      </c>
    </row>
    <row r="332" spans="1:12" x14ac:dyDescent="0.25">
      <c r="A332" t="s">
        <v>660</v>
      </c>
      <c r="B332" t="s">
        <v>1562</v>
      </c>
      <c r="C332" t="s">
        <v>1225</v>
      </c>
      <c r="D332" s="13">
        <v>180000</v>
      </c>
      <c r="F332" s="10">
        <v>42979</v>
      </c>
      <c r="I332" t="s">
        <v>1198</v>
      </c>
    </row>
    <row r="333" spans="1:12" x14ac:dyDescent="0.25">
      <c r="A333" t="s">
        <v>660</v>
      </c>
      <c r="B333" t="s">
        <v>1563</v>
      </c>
      <c r="C333" t="s">
        <v>1225</v>
      </c>
      <c r="D333" s="13">
        <v>120000</v>
      </c>
      <c r="F333" s="10">
        <v>43980</v>
      </c>
      <c r="I333" t="s">
        <v>1198</v>
      </c>
    </row>
    <row r="334" spans="1:12" x14ac:dyDescent="0.25">
      <c r="A334" t="s">
        <v>698</v>
      </c>
      <c r="B334" t="s">
        <v>1564</v>
      </c>
      <c r="C334" t="s">
        <v>1296</v>
      </c>
      <c r="D334" s="13">
        <v>144000</v>
      </c>
      <c r="F334" s="10">
        <v>33604</v>
      </c>
      <c r="G334">
        <v>32</v>
      </c>
      <c r="H334">
        <v>15</v>
      </c>
      <c r="I334" t="s">
        <v>1198</v>
      </c>
    </row>
    <row r="335" spans="1:12" x14ac:dyDescent="0.25">
      <c r="A335" t="s">
        <v>698</v>
      </c>
      <c r="B335" t="s">
        <v>1565</v>
      </c>
      <c r="C335" t="s">
        <v>1225</v>
      </c>
      <c r="D335" s="13">
        <v>120000</v>
      </c>
      <c r="F335" s="10">
        <v>31780</v>
      </c>
      <c r="G335">
        <v>37</v>
      </c>
      <c r="H335">
        <v>15</v>
      </c>
      <c r="I335" t="s">
        <v>1198</v>
      </c>
    </row>
    <row r="336" spans="1:12" x14ac:dyDescent="0.25">
      <c r="A336" t="s">
        <v>698</v>
      </c>
      <c r="B336" t="s">
        <v>1566</v>
      </c>
      <c r="C336" t="s">
        <v>1225</v>
      </c>
      <c r="D336" s="13">
        <v>192000</v>
      </c>
      <c r="I336" t="s">
        <v>1198</v>
      </c>
    </row>
    <row r="337" spans="1:12" x14ac:dyDescent="0.25">
      <c r="A337" t="s">
        <v>698</v>
      </c>
      <c r="B337" t="s">
        <v>1567</v>
      </c>
      <c r="C337" t="s">
        <v>1225</v>
      </c>
      <c r="D337" s="13">
        <v>48000</v>
      </c>
      <c r="F337" s="10">
        <v>35796</v>
      </c>
      <c r="G337">
        <v>26</v>
      </c>
      <c r="H337">
        <v>15</v>
      </c>
      <c r="I337" t="s">
        <v>1198</v>
      </c>
    </row>
    <row r="338" spans="1:12" x14ac:dyDescent="0.25">
      <c r="A338" t="s">
        <v>698</v>
      </c>
      <c r="B338" t="s">
        <v>1568</v>
      </c>
      <c r="C338" t="s">
        <v>1225</v>
      </c>
      <c r="D338" s="13">
        <v>48000</v>
      </c>
      <c r="F338" s="10">
        <v>35796</v>
      </c>
      <c r="G338">
        <v>26</v>
      </c>
      <c r="H338">
        <v>15</v>
      </c>
      <c r="I338" t="s">
        <v>1198</v>
      </c>
    </row>
    <row r="339" spans="1:12" x14ac:dyDescent="0.25">
      <c r="A339" t="s">
        <v>698</v>
      </c>
      <c r="B339" t="s">
        <v>1569</v>
      </c>
      <c r="C339" t="s">
        <v>1222</v>
      </c>
      <c r="D339" s="13">
        <v>48000</v>
      </c>
      <c r="F339" s="10">
        <v>40664</v>
      </c>
      <c r="G339">
        <v>13</v>
      </c>
      <c r="H339">
        <v>15</v>
      </c>
      <c r="I339" t="s">
        <v>1199</v>
      </c>
    </row>
    <row r="340" spans="1:12" x14ac:dyDescent="0.25">
      <c r="A340" t="s">
        <v>698</v>
      </c>
      <c r="B340" t="s">
        <v>1570</v>
      </c>
      <c r="C340" t="s">
        <v>1222</v>
      </c>
      <c r="D340" s="13">
        <v>48000</v>
      </c>
      <c r="F340" s="10">
        <v>40299</v>
      </c>
      <c r="G340">
        <v>14</v>
      </c>
      <c r="H340">
        <v>15</v>
      </c>
      <c r="I340" t="s">
        <v>1199</v>
      </c>
    </row>
    <row r="341" spans="1:12" x14ac:dyDescent="0.25">
      <c r="A341" t="s">
        <v>698</v>
      </c>
      <c r="B341" t="s">
        <v>1571</v>
      </c>
      <c r="C341" t="s">
        <v>1262</v>
      </c>
      <c r="I341" t="s">
        <v>1198</v>
      </c>
    </row>
    <row r="342" spans="1:12" x14ac:dyDescent="0.25">
      <c r="A342" t="s">
        <v>698</v>
      </c>
      <c r="B342" t="s">
        <v>1572</v>
      </c>
      <c r="C342" t="s">
        <v>1262</v>
      </c>
      <c r="F342" s="10">
        <v>34335</v>
      </c>
      <c r="G342">
        <v>30</v>
      </c>
      <c r="H342">
        <v>15</v>
      </c>
      <c r="I342" t="s">
        <v>1198</v>
      </c>
    </row>
    <row r="343" spans="1:12" x14ac:dyDescent="0.25">
      <c r="A343" t="s">
        <v>698</v>
      </c>
      <c r="B343" t="s">
        <v>1573</v>
      </c>
      <c r="C343" t="s">
        <v>1218</v>
      </c>
      <c r="E343">
        <v>150</v>
      </c>
      <c r="F343" s="10">
        <v>42258</v>
      </c>
      <c r="G343">
        <v>9</v>
      </c>
      <c r="H343">
        <v>25</v>
      </c>
      <c r="I343" t="s">
        <v>1199</v>
      </c>
      <c r="J343" t="s">
        <v>1219</v>
      </c>
      <c r="K343" t="s">
        <v>1220</v>
      </c>
      <c r="L343">
        <v>402.8</v>
      </c>
    </row>
    <row r="344" spans="1:12" x14ac:dyDescent="0.25">
      <c r="A344" t="s">
        <v>698</v>
      </c>
      <c r="B344" t="s">
        <v>1574</v>
      </c>
      <c r="C344" t="s">
        <v>1225</v>
      </c>
      <c r="I344" t="s">
        <v>1198</v>
      </c>
    </row>
    <row r="345" spans="1:12" x14ac:dyDescent="0.25">
      <c r="A345" t="s">
        <v>698</v>
      </c>
      <c r="B345" t="s">
        <v>1575</v>
      </c>
      <c r="C345" t="s">
        <v>1222</v>
      </c>
      <c r="I345" t="s">
        <v>1198</v>
      </c>
    </row>
    <row r="346" spans="1:12" x14ac:dyDescent="0.25">
      <c r="A346" t="s">
        <v>698</v>
      </c>
      <c r="B346" t="s">
        <v>1576</v>
      </c>
      <c r="C346" t="s">
        <v>1296</v>
      </c>
      <c r="D346" s="13">
        <v>180000</v>
      </c>
      <c r="F346" s="10">
        <v>45566</v>
      </c>
      <c r="I346" t="s">
        <v>1198</v>
      </c>
    </row>
    <row r="347" spans="1:12" x14ac:dyDescent="0.25">
      <c r="A347" t="s">
        <v>698</v>
      </c>
      <c r="B347" t="s">
        <v>1577</v>
      </c>
      <c r="C347" t="s">
        <v>1225</v>
      </c>
      <c r="I347" t="s">
        <v>1198</v>
      </c>
    </row>
    <row r="348" spans="1:12" x14ac:dyDescent="0.25">
      <c r="A348" t="s">
        <v>698</v>
      </c>
      <c r="B348" t="s">
        <v>1578</v>
      </c>
      <c r="C348" t="s">
        <v>1225</v>
      </c>
      <c r="I348" t="s">
        <v>1198</v>
      </c>
    </row>
    <row r="349" spans="1:12" x14ac:dyDescent="0.25">
      <c r="A349" t="s">
        <v>698</v>
      </c>
      <c r="B349" t="s">
        <v>1579</v>
      </c>
      <c r="C349" t="s">
        <v>1222</v>
      </c>
      <c r="D349" s="13">
        <v>180000</v>
      </c>
      <c r="F349" s="10">
        <v>34700</v>
      </c>
      <c r="I349" t="s">
        <v>1198</v>
      </c>
    </row>
    <row r="350" spans="1:12" x14ac:dyDescent="0.25">
      <c r="A350" t="s">
        <v>698</v>
      </c>
      <c r="B350" t="s">
        <v>1580</v>
      </c>
      <c r="C350" t="s">
        <v>1222</v>
      </c>
      <c r="I350" t="s">
        <v>1198</v>
      </c>
    </row>
    <row r="351" spans="1:12" x14ac:dyDescent="0.25">
      <c r="A351" t="s">
        <v>348</v>
      </c>
      <c r="B351" t="s">
        <v>1581</v>
      </c>
      <c r="C351" t="s">
        <v>1218</v>
      </c>
      <c r="E351">
        <v>60</v>
      </c>
      <c r="F351" s="10">
        <v>35156</v>
      </c>
      <c r="G351">
        <v>28</v>
      </c>
      <c r="H351">
        <v>25</v>
      </c>
      <c r="I351" t="s">
        <v>1198</v>
      </c>
      <c r="J351" t="s">
        <v>1341</v>
      </c>
      <c r="K351" t="s">
        <v>1220</v>
      </c>
      <c r="L351">
        <v>642.9</v>
      </c>
    </row>
    <row r="352" spans="1:12" x14ac:dyDescent="0.25">
      <c r="A352" t="s">
        <v>348</v>
      </c>
      <c r="B352" t="s">
        <v>1582</v>
      </c>
      <c r="C352" t="s">
        <v>1225</v>
      </c>
      <c r="D352" s="13">
        <v>180000</v>
      </c>
      <c r="F352" s="10">
        <v>35217</v>
      </c>
      <c r="G352">
        <v>28</v>
      </c>
      <c r="H352">
        <v>15</v>
      </c>
      <c r="I352" t="s">
        <v>1198</v>
      </c>
    </row>
    <row r="353" spans="1:12" x14ac:dyDescent="0.25">
      <c r="A353" t="s">
        <v>348</v>
      </c>
      <c r="B353" t="s">
        <v>1583</v>
      </c>
      <c r="C353" t="s">
        <v>1225</v>
      </c>
      <c r="D353" s="13">
        <v>180000</v>
      </c>
      <c r="F353" s="10">
        <v>35217</v>
      </c>
      <c r="G353">
        <v>28</v>
      </c>
      <c r="H353">
        <v>15</v>
      </c>
      <c r="I353" t="s">
        <v>1198</v>
      </c>
    </row>
    <row r="354" spans="1:12" x14ac:dyDescent="0.25">
      <c r="A354" t="s">
        <v>348</v>
      </c>
      <c r="B354" t="s">
        <v>1584</v>
      </c>
      <c r="C354" t="s">
        <v>1222</v>
      </c>
      <c r="D354" s="13">
        <v>180000</v>
      </c>
      <c r="F354" s="10">
        <v>36039</v>
      </c>
      <c r="G354">
        <v>26</v>
      </c>
      <c r="H354">
        <v>15</v>
      </c>
      <c r="I354" t="s">
        <v>1198</v>
      </c>
    </row>
    <row r="355" spans="1:12" x14ac:dyDescent="0.25">
      <c r="A355" t="s">
        <v>348</v>
      </c>
      <c r="B355" t="s">
        <v>1585</v>
      </c>
      <c r="C355" t="s">
        <v>1222</v>
      </c>
      <c r="F355" s="10">
        <v>36039</v>
      </c>
      <c r="G355">
        <v>26</v>
      </c>
      <c r="H355">
        <v>15</v>
      </c>
      <c r="I355" t="s">
        <v>1198</v>
      </c>
    </row>
    <row r="356" spans="1:12" x14ac:dyDescent="0.25">
      <c r="A356" t="s">
        <v>348</v>
      </c>
      <c r="B356" t="s">
        <v>1586</v>
      </c>
      <c r="C356" t="s">
        <v>1222</v>
      </c>
      <c r="D356" s="13">
        <v>42000</v>
      </c>
      <c r="F356" s="10">
        <v>35977</v>
      </c>
      <c r="G356">
        <v>26</v>
      </c>
      <c r="H356">
        <v>15</v>
      </c>
      <c r="I356" t="s">
        <v>1198</v>
      </c>
    </row>
    <row r="357" spans="1:12" x14ac:dyDescent="0.25">
      <c r="A357" t="s">
        <v>348</v>
      </c>
      <c r="B357" t="s">
        <v>1587</v>
      </c>
      <c r="C357" t="s">
        <v>1225</v>
      </c>
      <c r="D357" s="13">
        <v>42000</v>
      </c>
      <c r="F357" s="10">
        <v>35977</v>
      </c>
      <c r="G357">
        <v>26</v>
      </c>
      <c r="H357">
        <v>15</v>
      </c>
      <c r="I357" t="s">
        <v>1198</v>
      </c>
    </row>
    <row r="358" spans="1:12" x14ac:dyDescent="0.25">
      <c r="A358" t="s">
        <v>348</v>
      </c>
      <c r="B358" t="s">
        <v>1588</v>
      </c>
      <c r="C358" t="s">
        <v>1218</v>
      </c>
      <c r="E358">
        <v>77</v>
      </c>
      <c r="F358" s="10">
        <v>42948</v>
      </c>
      <c r="G358">
        <v>7</v>
      </c>
      <c r="H358">
        <v>25</v>
      </c>
      <c r="I358" t="s">
        <v>1199</v>
      </c>
      <c r="J358" t="s">
        <v>1219</v>
      </c>
      <c r="K358" t="s">
        <v>1220</v>
      </c>
      <c r="L358">
        <v>172.8</v>
      </c>
    </row>
    <row r="359" spans="1:12" x14ac:dyDescent="0.25">
      <c r="A359" t="s">
        <v>348</v>
      </c>
      <c r="B359" t="s">
        <v>1589</v>
      </c>
      <c r="C359" t="s">
        <v>1222</v>
      </c>
      <c r="D359" s="13">
        <v>180000</v>
      </c>
      <c r="I359" t="s">
        <v>1198</v>
      </c>
    </row>
    <row r="360" spans="1:12" x14ac:dyDescent="0.25">
      <c r="A360" t="s">
        <v>348</v>
      </c>
      <c r="B360" t="s">
        <v>1590</v>
      </c>
      <c r="C360" t="s">
        <v>1222</v>
      </c>
      <c r="D360" s="13">
        <v>180000</v>
      </c>
      <c r="I360" t="s">
        <v>1198</v>
      </c>
    </row>
    <row r="361" spans="1:12" x14ac:dyDescent="0.25">
      <c r="A361" t="s">
        <v>348</v>
      </c>
      <c r="B361" t="s">
        <v>1591</v>
      </c>
      <c r="C361" t="s">
        <v>1222</v>
      </c>
      <c r="D361" s="13">
        <v>180000</v>
      </c>
      <c r="F361" s="10">
        <v>36039</v>
      </c>
      <c r="I361" t="s">
        <v>1198</v>
      </c>
    </row>
    <row r="362" spans="1:12" x14ac:dyDescent="0.25">
      <c r="A362" t="s">
        <v>348</v>
      </c>
      <c r="B362" t="s">
        <v>1592</v>
      </c>
      <c r="C362" t="s">
        <v>1260</v>
      </c>
      <c r="D362" s="13">
        <v>60000</v>
      </c>
      <c r="I362" t="s">
        <v>1198</v>
      </c>
    </row>
    <row r="363" spans="1:12" x14ac:dyDescent="0.25">
      <c r="A363" t="s">
        <v>348</v>
      </c>
      <c r="B363" t="s">
        <v>1593</v>
      </c>
      <c r="C363" t="s">
        <v>1225</v>
      </c>
      <c r="I363" t="s">
        <v>1198</v>
      </c>
    </row>
    <row r="364" spans="1:12" x14ac:dyDescent="0.25">
      <c r="A364" t="s">
        <v>859</v>
      </c>
      <c r="B364" t="s">
        <v>1594</v>
      </c>
      <c r="C364" t="s">
        <v>1218</v>
      </c>
      <c r="E364">
        <v>300</v>
      </c>
      <c r="I364" t="s">
        <v>1198</v>
      </c>
      <c r="J364" t="s">
        <v>1219</v>
      </c>
      <c r="K364" t="s">
        <v>1234</v>
      </c>
      <c r="L364">
        <v>751.3</v>
      </c>
    </row>
    <row r="365" spans="1:12" x14ac:dyDescent="0.25">
      <c r="A365" t="s">
        <v>859</v>
      </c>
      <c r="B365" t="s">
        <v>1595</v>
      </c>
      <c r="C365" t="s">
        <v>1225</v>
      </c>
      <c r="D365" s="13">
        <v>54000</v>
      </c>
      <c r="F365" s="10">
        <v>38078</v>
      </c>
      <c r="G365">
        <v>20</v>
      </c>
      <c r="H365">
        <v>15</v>
      </c>
      <c r="I365" t="s">
        <v>1198</v>
      </c>
    </row>
    <row r="366" spans="1:12" x14ac:dyDescent="0.25">
      <c r="A366" t="s">
        <v>859</v>
      </c>
      <c r="B366" t="s">
        <v>1596</v>
      </c>
      <c r="C366" t="s">
        <v>1225</v>
      </c>
      <c r="D366" s="13">
        <v>54000</v>
      </c>
      <c r="F366" s="10">
        <v>38078</v>
      </c>
      <c r="G366">
        <v>20</v>
      </c>
      <c r="H366">
        <v>15</v>
      </c>
      <c r="I366" t="s">
        <v>1198</v>
      </c>
    </row>
    <row r="367" spans="1:12" x14ac:dyDescent="0.25">
      <c r="A367" t="s">
        <v>859</v>
      </c>
      <c r="B367" t="s">
        <v>1597</v>
      </c>
      <c r="C367" t="s">
        <v>1225</v>
      </c>
      <c r="D367" s="13">
        <v>102000</v>
      </c>
      <c r="F367" s="10">
        <v>32721</v>
      </c>
      <c r="G367">
        <v>35</v>
      </c>
      <c r="H367">
        <v>15</v>
      </c>
      <c r="I367" t="s">
        <v>1198</v>
      </c>
    </row>
    <row r="368" spans="1:12" x14ac:dyDescent="0.25">
      <c r="A368" t="s">
        <v>859</v>
      </c>
      <c r="B368" t="s">
        <v>1598</v>
      </c>
      <c r="C368" t="s">
        <v>1225</v>
      </c>
      <c r="D368" s="13">
        <v>24000</v>
      </c>
      <c r="F368" s="10">
        <v>32752</v>
      </c>
      <c r="G368">
        <v>35</v>
      </c>
      <c r="H368">
        <v>15</v>
      </c>
      <c r="I368" t="s">
        <v>1198</v>
      </c>
    </row>
    <row r="369" spans="1:12" x14ac:dyDescent="0.25">
      <c r="A369" t="s">
        <v>859</v>
      </c>
      <c r="B369" t="s">
        <v>1599</v>
      </c>
      <c r="C369" t="s">
        <v>1225</v>
      </c>
      <c r="D369" s="13">
        <v>24000</v>
      </c>
      <c r="I369" t="s">
        <v>1198</v>
      </c>
    </row>
    <row r="370" spans="1:12" x14ac:dyDescent="0.25">
      <c r="A370" t="s">
        <v>859</v>
      </c>
      <c r="B370" t="s">
        <v>1600</v>
      </c>
      <c r="C370" t="s">
        <v>1222</v>
      </c>
      <c r="D370" s="13">
        <v>60000</v>
      </c>
      <c r="I370" t="s">
        <v>1198</v>
      </c>
    </row>
    <row r="371" spans="1:12" x14ac:dyDescent="0.25">
      <c r="A371" t="s">
        <v>859</v>
      </c>
      <c r="B371" t="s">
        <v>1601</v>
      </c>
      <c r="C371" t="s">
        <v>1222</v>
      </c>
      <c r="D371" s="13">
        <v>60000</v>
      </c>
      <c r="I371" t="s">
        <v>1198</v>
      </c>
    </row>
    <row r="372" spans="1:12" x14ac:dyDescent="0.25">
      <c r="A372" t="s">
        <v>859</v>
      </c>
      <c r="B372" t="s">
        <v>1602</v>
      </c>
      <c r="C372" t="s">
        <v>1222</v>
      </c>
      <c r="D372" s="13">
        <v>180000</v>
      </c>
      <c r="I372" t="s">
        <v>1198</v>
      </c>
    </row>
    <row r="373" spans="1:12" x14ac:dyDescent="0.25">
      <c r="A373" t="s">
        <v>859</v>
      </c>
      <c r="B373" t="s">
        <v>1603</v>
      </c>
      <c r="C373" t="s">
        <v>1222</v>
      </c>
      <c r="D373" s="13">
        <v>180000</v>
      </c>
      <c r="I373" t="s">
        <v>1198</v>
      </c>
    </row>
    <row r="374" spans="1:12" x14ac:dyDescent="0.25">
      <c r="A374" t="s">
        <v>160</v>
      </c>
      <c r="B374" t="s">
        <v>1604</v>
      </c>
      <c r="C374" t="s">
        <v>1218</v>
      </c>
      <c r="E374">
        <v>200</v>
      </c>
      <c r="I374" t="s">
        <v>1198</v>
      </c>
      <c r="J374" t="s">
        <v>1219</v>
      </c>
      <c r="K374" t="s">
        <v>1234</v>
      </c>
      <c r="L374">
        <v>871</v>
      </c>
    </row>
    <row r="375" spans="1:12" x14ac:dyDescent="0.25">
      <c r="A375" t="s">
        <v>160</v>
      </c>
      <c r="B375" t="s">
        <v>1605</v>
      </c>
      <c r="C375" t="s">
        <v>1222</v>
      </c>
      <c r="D375" s="13">
        <v>90000</v>
      </c>
      <c r="F375" s="10">
        <v>42644</v>
      </c>
      <c r="G375">
        <v>8</v>
      </c>
      <c r="H375">
        <v>15</v>
      </c>
      <c r="I375" t="s">
        <v>1199</v>
      </c>
    </row>
    <row r="376" spans="1:12" x14ac:dyDescent="0.25">
      <c r="A376" t="s">
        <v>160</v>
      </c>
      <c r="B376" t="s">
        <v>1606</v>
      </c>
      <c r="C376" t="s">
        <v>1222</v>
      </c>
      <c r="D376" s="13">
        <v>240000</v>
      </c>
      <c r="F376" s="10">
        <v>37649</v>
      </c>
      <c r="G376">
        <v>27</v>
      </c>
      <c r="H376">
        <v>15</v>
      </c>
      <c r="I376" t="s">
        <v>1198</v>
      </c>
    </row>
    <row r="377" spans="1:12" x14ac:dyDescent="0.25">
      <c r="A377" t="s">
        <v>160</v>
      </c>
      <c r="B377" t="s">
        <v>1607</v>
      </c>
      <c r="C377" t="s">
        <v>1225</v>
      </c>
      <c r="D377" s="13">
        <v>90000</v>
      </c>
      <c r="F377" s="10">
        <v>43647</v>
      </c>
      <c r="I377" t="s">
        <v>1198</v>
      </c>
    </row>
    <row r="378" spans="1:12" x14ac:dyDescent="0.25">
      <c r="A378" t="s">
        <v>160</v>
      </c>
      <c r="B378" t="s">
        <v>1608</v>
      </c>
      <c r="C378" t="s">
        <v>1225</v>
      </c>
      <c r="D378" s="13">
        <v>90000</v>
      </c>
      <c r="F378" s="10">
        <v>38412</v>
      </c>
      <c r="G378">
        <v>19</v>
      </c>
      <c r="H378">
        <v>15</v>
      </c>
      <c r="I378" t="s">
        <v>1198</v>
      </c>
    </row>
    <row r="379" spans="1:12" x14ac:dyDescent="0.25">
      <c r="A379" t="s">
        <v>160</v>
      </c>
      <c r="B379" t="s">
        <v>1609</v>
      </c>
      <c r="C379" t="s">
        <v>1225</v>
      </c>
      <c r="D379" s="13">
        <v>60000</v>
      </c>
      <c r="F379" s="10">
        <v>34425</v>
      </c>
      <c r="G379">
        <v>30</v>
      </c>
      <c r="H379">
        <v>15</v>
      </c>
      <c r="I379" t="s">
        <v>1198</v>
      </c>
    </row>
    <row r="380" spans="1:12" x14ac:dyDescent="0.25">
      <c r="A380" t="s">
        <v>160</v>
      </c>
      <c r="B380" t="s">
        <v>1610</v>
      </c>
      <c r="C380" t="s">
        <v>1222</v>
      </c>
      <c r="D380" s="13">
        <v>90000</v>
      </c>
      <c r="I380" t="s">
        <v>1198</v>
      </c>
    </row>
    <row r="381" spans="1:12" x14ac:dyDescent="0.25">
      <c r="A381" t="s">
        <v>160</v>
      </c>
      <c r="B381" t="s">
        <v>1611</v>
      </c>
      <c r="C381" t="s">
        <v>1222</v>
      </c>
      <c r="D381">
        <v>90</v>
      </c>
      <c r="F381" s="10">
        <v>45896</v>
      </c>
      <c r="I381" t="s">
        <v>1198</v>
      </c>
    </row>
    <row r="382" spans="1:12" x14ac:dyDescent="0.25">
      <c r="A382" t="s">
        <v>160</v>
      </c>
      <c r="B382" t="s">
        <v>1612</v>
      </c>
      <c r="C382" t="s">
        <v>1225</v>
      </c>
      <c r="D382" s="13">
        <v>90000</v>
      </c>
      <c r="F382" s="10">
        <v>43647</v>
      </c>
      <c r="I382" t="s">
        <v>1198</v>
      </c>
    </row>
    <row r="383" spans="1:12" x14ac:dyDescent="0.25">
      <c r="A383" t="s">
        <v>160</v>
      </c>
      <c r="B383" t="s">
        <v>1613</v>
      </c>
      <c r="C383" t="s">
        <v>1225</v>
      </c>
      <c r="I383" t="s">
        <v>1198</v>
      </c>
    </row>
    <row r="384" spans="1:12" x14ac:dyDescent="0.25">
      <c r="A384" t="s">
        <v>160</v>
      </c>
      <c r="B384" t="s">
        <v>1614</v>
      </c>
      <c r="C384" t="s">
        <v>1222</v>
      </c>
      <c r="I384" t="s">
        <v>1198</v>
      </c>
    </row>
    <row r="385" spans="1:12" x14ac:dyDescent="0.25">
      <c r="A385" t="s">
        <v>917</v>
      </c>
      <c r="B385" t="s">
        <v>1615</v>
      </c>
      <c r="C385" t="s">
        <v>1225</v>
      </c>
      <c r="D385" s="13">
        <v>60000</v>
      </c>
      <c r="F385" s="10">
        <v>36892</v>
      </c>
      <c r="G385">
        <v>23</v>
      </c>
      <c r="H385">
        <v>15</v>
      </c>
      <c r="I385" t="s">
        <v>1198</v>
      </c>
    </row>
    <row r="386" spans="1:12" x14ac:dyDescent="0.25">
      <c r="A386" t="s">
        <v>917</v>
      </c>
      <c r="B386" t="s">
        <v>1616</v>
      </c>
      <c r="C386" t="s">
        <v>1296</v>
      </c>
      <c r="I386" t="s">
        <v>1198</v>
      </c>
    </row>
    <row r="387" spans="1:12" x14ac:dyDescent="0.25">
      <c r="A387" t="s">
        <v>917</v>
      </c>
      <c r="B387" t="s">
        <v>1617</v>
      </c>
      <c r="C387" t="s">
        <v>1222</v>
      </c>
      <c r="D387" s="13">
        <v>36000</v>
      </c>
      <c r="F387" s="10">
        <v>40118</v>
      </c>
      <c r="G387">
        <v>14</v>
      </c>
      <c r="H387">
        <v>15</v>
      </c>
      <c r="I387" t="s">
        <v>1199</v>
      </c>
    </row>
    <row r="388" spans="1:12" x14ac:dyDescent="0.25">
      <c r="A388" t="s">
        <v>917</v>
      </c>
      <c r="B388" t="s">
        <v>1618</v>
      </c>
      <c r="C388" t="s">
        <v>1218</v>
      </c>
      <c r="E388">
        <v>40</v>
      </c>
      <c r="F388" s="10">
        <v>42491</v>
      </c>
      <c r="G388">
        <v>8</v>
      </c>
      <c r="H388">
        <v>25</v>
      </c>
      <c r="I388" t="s">
        <v>1199</v>
      </c>
      <c r="J388" t="s">
        <v>1219</v>
      </c>
      <c r="K388" t="s">
        <v>1619</v>
      </c>
      <c r="L388">
        <v>114.6</v>
      </c>
    </row>
    <row r="389" spans="1:12" x14ac:dyDescent="0.25">
      <c r="A389" t="s">
        <v>917</v>
      </c>
      <c r="B389" t="s">
        <v>1620</v>
      </c>
      <c r="C389" t="s">
        <v>1225</v>
      </c>
      <c r="D389" s="13">
        <v>60000</v>
      </c>
      <c r="F389" s="10">
        <v>36892</v>
      </c>
      <c r="I389" t="s">
        <v>1198</v>
      </c>
    </row>
    <row r="390" spans="1:12" x14ac:dyDescent="0.25">
      <c r="A390" t="s">
        <v>917</v>
      </c>
      <c r="B390" t="s">
        <v>1621</v>
      </c>
      <c r="C390" t="s">
        <v>1222</v>
      </c>
      <c r="D390" s="13">
        <v>36000</v>
      </c>
      <c r="F390" s="10">
        <v>40118</v>
      </c>
      <c r="I390" t="s">
        <v>1198</v>
      </c>
    </row>
    <row r="391" spans="1:12" x14ac:dyDescent="0.25">
      <c r="A391" t="s">
        <v>170</v>
      </c>
      <c r="B391" t="s">
        <v>1622</v>
      </c>
      <c r="C391" t="s">
        <v>1225</v>
      </c>
      <c r="D391" s="13">
        <v>60000</v>
      </c>
      <c r="I391" t="s">
        <v>1198</v>
      </c>
    </row>
    <row r="392" spans="1:12" x14ac:dyDescent="0.25">
      <c r="A392" t="s">
        <v>170</v>
      </c>
      <c r="B392" t="s">
        <v>1623</v>
      </c>
      <c r="C392" t="s">
        <v>1225</v>
      </c>
      <c r="D392" s="13">
        <v>60000</v>
      </c>
      <c r="I392" t="s">
        <v>1198</v>
      </c>
    </row>
    <row r="393" spans="1:12" x14ac:dyDescent="0.25">
      <c r="A393" t="s">
        <v>170</v>
      </c>
      <c r="B393" t="s">
        <v>1624</v>
      </c>
      <c r="C393" t="s">
        <v>1222</v>
      </c>
      <c r="D393" s="13">
        <v>60000</v>
      </c>
      <c r="I393" t="s">
        <v>1198</v>
      </c>
    </row>
    <row r="394" spans="1:12" x14ac:dyDescent="0.25">
      <c r="A394" t="s">
        <v>170</v>
      </c>
      <c r="B394" t="s">
        <v>1625</v>
      </c>
      <c r="C394" t="s">
        <v>1222</v>
      </c>
      <c r="D394" s="13">
        <v>60000</v>
      </c>
      <c r="I394" t="s">
        <v>1198</v>
      </c>
    </row>
    <row r="395" spans="1:12" x14ac:dyDescent="0.25">
      <c r="A395" t="s">
        <v>170</v>
      </c>
      <c r="B395" t="s">
        <v>1626</v>
      </c>
      <c r="C395" t="s">
        <v>1238</v>
      </c>
      <c r="F395" s="10">
        <v>39722</v>
      </c>
      <c r="G395">
        <v>16</v>
      </c>
      <c r="H395">
        <v>15</v>
      </c>
      <c r="I395" t="s">
        <v>1198</v>
      </c>
    </row>
    <row r="396" spans="1:12" x14ac:dyDescent="0.25">
      <c r="A396" t="s">
        <v>170</v>
      </c>
      <c r="B396" t="s">
        <v>1627</v>
      </c>
      <c r="C396" t="s">
        <v>1225</v>
      </c>
      <c r="D396" s="13">
        <v>120000</v>
      </c>
      <c r="I396" t="s">
        <v>1198</v>
      </c>
    </row>
    <row r="397" spans="1:12" x14ac:dyDescent="0.25">
      <c r="A397" t="s">
        <v>170</v>
      </c>
      <c r="B397" t="s">
        <v>1628</v>
      </c>
      <c r="C397" t="s">
        <v>1222</v>
      </c>
      <c r="D397" s="13">
        <v>120000</v>
      </c>
      <c r="I397" t="s">
        <v>1198</v>
      </c>
    </row>
    <row r="398" spans="1:12" x14ac:dyDescent="0.25">
      <c r="A398" t="s">
        <v>170</v>
      </c>
      <c r="B398" t="s">
        <v>1629</v>
      </c>
      <c r="C398" t="s">
        <v>1296</v>
      </c>
      <c r="D398" s="13">
        <v>180000</v>
      </c>
      <c r="F398" s="10">
        <v>39448</v>
      </c>
      <c r="I398" t="s">
        <v>1198</v>
      </c>
    </row>
    <row r="399" spans="1:12" x14ac:dyDescent="0.25">
      <c r="A399" t="s">
        <v>170</v>
      </c>
      <c r="B399" t="s">
        <v>1630</v>
      </c>
      <c r="C399" t="s">
        <v>1296</v>
      </c>
      <c r="D399" s="13">
        <v>60000</v>
      </c>
      <c r="F399" s="10">
        <v>43217</v>
      </c>
      <c r="G399">
        <v>6</v>
      </c>
      <c r="H399">
        <v>15</v>
      </c>
      <c r="I399" t="s">
        <v>1199</v>
      </c>
    </row>
    <row r="400" spans="1:12" x14ac:dyDescent="0.25">
      <c r="A400" t="s">
        <v>170</v>
      </c>
      <c r="B400" t="s">
        <v>1631</v>
      </c>
      <c r="C400" t="s">
        <v>1296</v>
      </c>
      <c r="D400" s="13">
        <v>120000</v>
      </c>
      <c r="F400" s="10">
        <v>43217</v>
      </c>
      <c r="G400">
        <v>6</v>
      </c>
      <c r="H400">
        <v>15</v>
      </c>
      <c r="I400" t="s">
        <v>1199</v>
      </c>
    </row>
    <row r="401" spans="1:12" x14ac:dyDescent="0.25">
      <c r="A401" t="s">
        <v>170</v>
      </c>
      <c r="B401" t="s">
        <v>1632</v>
      </c>
      <c r="C401" t="s">
        <v>1225</v>
      </c>
      <c r="D401" s="13">
        <v>120000</v>
      </c>
      <c r="I401" t="s">
        <v>1198</v>
      </c>
    </row>
    <row r="402" spans="1:12" x14ac:dyDescent="0.25">
      <c r="A402" t="s">
        <v>170</v>
      </c>
      <c r="B402" t="s">
        <v>1633</v>
      </c>
      <c r="C402" t="s">
        <v>1218</v>
      </c>
      <c r="E402">
        <v>250</v>
      </c>
      <c r="F402" s="10">
        <v>44609</v>
      </c>
      <c r="G402">
        <v>2</v>
      </c>
      <c r="H402">
        <v>25</v>
      </c>
      <c r="I402" t="s">
        <v>1199</v>
      </c>
      <c r="J402" t="s">
        <v>1219</v>
      </c>
      <c r="L402">
        <v>424</v>
      </c>
    </row>
    <row r="403" spans="1:12" x14ac:dyDescent="0.25">
      <c r="A403" t="s">
        <v>170</v>
      </c>
      <c r="B403" t="s">
        <v>1634</v>
      </c>
      <c r="C403" t="s">
        <v>1222</v>
      </c>
      <c r="I403" t="s">
        <v>1198</v>
      </c>
    </row>
    <row r="404" spans="1:12" x14ac:dyDescent="0.25">
      <c r="A404" t="s">
        <v>170</v>
      </c>
      <c r="B404" t="s">
        <v>1635</v>
      </c>
      <c r="C404" t="s">
        <v>1296</v>
      </c>
      <c r="I404" t="s">
        <v>1198</v>
      </c>
    </row>
    <row r="405" spans="1:12" x14ac:dyDescent="0.25">
      <c r="A405" t="s">
        <v>170</v>
      </c>
      <c r="B405" t="s">
        <v>1636</v>
      </c>
      <c r="C405" t="s">
        <v>1222</v>
      </c>
      <c r="I405" t="s">
        <v>1198</v>
      </c>
    </row>
    <row r="406" spans="1:12" x14ac:dyDescent="0.25">
      <c r="A406" t="s">
        <v>97</v>
      </c>
      <c r="B406" t="s">
        <v>1637</v>
      </c>
      <c r="C406" t="s">
        <v>1218</v>
      </c>
      <c r="E406">
        <v>60</v>
      </c>
      <c r="I406" t="s">
        <v>1198</v>
      </c>
      <c r="J406" t="s">
        <v>1219</v>
      </c>
      <c r="K406" t="s">
        <v>1234</v>
      </c>
      <c r="L406">
        <v>973.2</v>
      </c>
    </row>
    <row r="407" spans="1:12" x14ac:dyDescent="0.25">
      <c r="A407" t="s">
        <v>97</v>
      </c>
      <c r="B407" t="s">
        <v>1638</v>
      </c>
      <c r="C407" t="s">
        <v>1225</v>
      </c>
      <c r="D407" s="13">
        <v>90000</v>
      </c>
      <c r="I407" t="s">
        <v>1198</v>
      </c>
    </row>
    <row r="408" spans="1:12" x14ac:dyDescent="0.25">
      <c r="A408" t="s">
        <v>97</v>
      </c>
      <c r="B408" t="s">
        <v>1639</v>
      </c>
      <c r="C408" t="s">
        <v>1222</v>
      </c>
      <c r="D408" s="13">
        <v>90000</v>
      </c>
      <c r="F408" s="10">
        <v>39448</v>
      </c>
      <c r="I408" t="s">
        <v>1198</v>
      </c>
    </row>
    <row r="409" spans="1:12" x14ac:dyDescent="0.25">
      <c r="A409" t="s">
        <v>97</v>
      </c>
      <c r="B409" t="s">
        <v>1640</v>
      </c>
      <c r="C409" t="s">
        <v>1225</v>
      </c>
      <c r="D409" s="13">
        <v>180000</v>
      </c>
      <c r="I409" t="s">
        <v>1198</v>
      </c>
    </row>
    <row r="410" spans="1:12" x14ac:dyDescent="0.25">
      <c r="A410" t="s">
        <v>97</v>
      </c>
      <c r="B410" t="s">
        <v>1641</v>
      </c>
      <c r="C410" t="s">
        <v>1222</v>
      </c>
      <c r="D410" s="13">
        <v>180000</v>
      </c>
      <c r="I410" t="s">
        <v>1198</v>
      </c>
    </row>
    <row r="411" spans="1:12" x14ac:dyDescent="0.25">
      <c r="A411" t="s">
        <v>1642</v>
      </c>
      <c r="B411" t="s">
        <v>1643</v>
      </c>
      <c r="C411" t="s">
        <v>1218</v>
      </c>
      <c r="E411">
        <v>30</v>
      </c>
      <c r="F411" s="10">
        <v>30895</v>
      </c>
      <c r="G411">
        <v>40</v>
      </c>
      <c r="H411">
        <v>25</v>
      </c>
      <c r="I411" t="s">
        <v>1198</v>
      </c>
      <c r="J411" t="s">
        <v>1341</v>
      </c>
      <c r="L411">
        <v>406.5</v>
      </c>
    </row>
    <row r="412" spans="1:12" x14ac:dyDescent="0.25">
      <c r="A412" t="s">
        <v>1642</v>
      </c>
      <c r="B412" t="s">
        <v>1644</v>
      </c>
      <c r="C412" t="s">
        <v>1218</v>
      </c>
      <c r="E412">
        <v>60</v>
      </c>
      <c r="F412" s="10">
        <v>35521</v>
      </c>
      <c r="G412">
        <v>27</v>
      </c>
      <c r="H412">
        <v>25</v>
      </c>
      <c r="I412" t="s">
        <v>1198</v>
      </c>
      <c r="J412" t="s">
        <v>1341</v>
      </c>
      <c r="L412">
        <v>253.2</v>
      </c>
    </row>
    <row r="413" spans="1:12" x14ac:dyDescent="0.25">
      <c r="A413" t="s">
        <v>1642</v>
      </c>
      <c r="B413" t="s">
        <v>1645</v>
      </c>
      <c r="C413" t="s">
        <v>1225</v>
      </c>
      <c r="I413" t="s">
        <v>1198</v>
      </c>
    </row>
    <row r="414" spans="1:12" x14ac:dyDescent="0.25">
      <c r="A414" t="s">
        <v>1642</v>
      </c>
      <c r="B414" t="s">
        <v>1646</v>
      </c>
      <c r="C414" t="s">
        <v>1225</v>
      </c>
      <c r="I414" t="s">
        <v>1198</v>
      </c>
    </row>
    <row r="415" spans="1:12" x14ac:dyDescent="0.25">
      <c r="A415" t="s">
        <v>1642</v>
      </c>
      <c r="B415" t="s">
        <v>1647</v>
      </c>
      <c r="C415" t="s">
        <v>1225</v>
      </c>
      <c r="I415" t="s">
        <v>1198</v>
      </c>
    </row>
    <row r="416" spans="1:12" x14ac:dyDescent="0.25">
      <c r="A416" t="s">
        <v>1642</v>
      </c>
      <c r="B416" t="s">
        <v>1648</v>
      </c>
      <c r="C416" t="s">
        <v>1225</v>
      </c>
      <c r="D416" s="13">
        <v>120000</v>
      </c>
      <c r="I416" t="s">
        <v>1198</v>
      </c>
    </row>
    <row r="417" spans="1:12" x14ac:dyDescent="0.25">
      <c r="A417" t="s">
        <v>1642</v>
      </c>
      <c r="B417" t="s">
        <v>1649</v>
      </c>
      <c r="C417" t="s">
        <v>1222</v>
      </c>
      <c r="D417" s="13">
        <v>60000</v>
      </c>
      <c r="I417" t="s">
        <v>1198</v>
      </c>
    </row>
    <row r="418" spans="1:12" x14ac:dyDescent="0.25">
      <c r="A418" t="s">
        <v>353</v>
      </c>
      <c r="B418" t="s">
        <v>1650</v>
      </c>
      <c r="C418" t="s">
        <v>1218</v>
      </c>
      <c r="E418">
        <v>60</v>
      </c>
      <c r="F418" s="10">
        <v>35156</v>
      </c>
      <c r="G418">
        <v>28</v>
      </c>
      <c r="H418">
        <v>25</v>
      </c>
      <c r="I418" t="s">
        <v>1198</v>
      </c>
      <c r="J418" t="s">
        <v>1341</v>
      </c>
      <c r="K418" t="s">
        <v>1234</v>
      </c>
      <c r="L418">
        <v>701.5</v>
      </c>
    </row>
    <row r="419" spans="1:12" x14ac:dyDescent="0.25">
      <c r="A419" t="s">
        <v>353</v>
      </c>
      <c r="B419" t="s">
        <v>1651</v>
      </c>
      <c r="C419" t="s">
        <v>1218</v>
      </c>
      <c r="E419">
        <v>100</v>
      </c>
      <c r="F419" s="10">
        <v>40544</v>
      </c>
      <c r="G419">
        <v>13</v>
      </c>
      <c r="H419">
        <v>25</v>
      </c>
      <c r="I419" t="s">
        <v>1199</v>
      </c>
      <c r="J419" t="s">
        <v>1219</v>
      </c>
      <c r="K419" t="s">
        <v>1220</v>
      </c>
      <c r="L419">
        <v>451</v>
      </c>
    </row>
    <row r="420" spans="1:12" x14ac:dyDescent="0.25">
      <c r="A420" t="s">
        <v>353</v>
      </c>
      <c r="B420" t="s">
        <v>1652</v>
      </c>
      <c r="C420" t="s">
        <v>1222</v>
      </c>
      <c r="D420" s="13">
        <v>205000</v>
      </c>
      <c r="F420" s="10">
        <v>32874</v>
      </c>
      <c r="G420">
        <v>34</v>
      </c>
      <c r="H420">
        <v>15</v>
      </c>
      <c r="I420" t="s">
        <v>1198</v>
      </c>
    </row>
    <row r="421" spans="1:12" x14ac:dyDescent="0.25">
      <c r="A421" t="s">
        <v>353</v>
      </c>
      <c r="B421" t="s">
        <v>1653</v>
      </c>
      <c r="C421" t="s">
        <v>1222</v>
      </c>
      <c r="D421" s="13">
        <v>120000</v>
      </c>
      <c r="F421" s="10">
        <v>33451</v>
      </c>
      <c r="G421">
        <v>33</v>
      </c>
      <c r="H421">
        <v>15</v>
      </c>
      <c r="I421" t="s">
        <v>1198</v>
      </c>
    </row>
    <row r="422" spans="1:12" x14ac:dyDescent="0.25">
      <c r="A422" t="s">
        <v>353</v>
      </c>
      <c r="B422" t="s">
        <v>1654</v>
      </c>
      <c r="C422" t="s">
        <v>1225</v>
      </c>
      <c r="D422" s="13">
        <v>120000</v>
      </c>
      <c r="I422" t="s">
        <v>1198</v>
      </c>
    </row>
    <row r="423" spans="1:12" x14ac:dyDescent="0.25">
      <c r="A423" t="s">
        <v>353</v>
      </c>
      <c r="B423" t="s">
        <v>1655</v>
      </c>
      <c r="C423" t="s">
        <v>1225</v>
      </c>
      <c r="D423" s="13">
        <v>48000</v>
      </c>
      <c r="F423" s="10">
        <v>44784</v>
      </c>
      <c r="G423">
        <v>2</v>
      </c>
      <c r="H423">
        <v>15</v>
      </c>
      <c r="I423" t="s">
        <v>1199</v>
      </c>
    </row>
    <row r="424" spans="1:12" x14ac:dyDescent="0.25">
      <c r="A424" t="s">
        <v>353</v>
      </c>
      <c r="B424" t="s">
        <v>1656</v>
      </c>
      <c r="C424" t="s">
        <v>1222</v>
      </c>
      <c r="D424" s="13">
        <v>48000</v>
      </c>
      <c r="F424" s="10">
        <v>44784</v>
      </c>
      <c r="G424">
        <v>2</v>
      </c>
      <c r="H424">
        <v>15</v>
      </c>
      <c r="I424" t="s">
        <v>1199</v>
      </c>
    </row>
    <row r="425" spans="1:12" x14ac:dyDescent="0.25">
      <c r="A425" t="s">
        <v>353</v>
      </c>
      <c r="B425" t="s">
        <v>1657</v>
      </c>
      <c r="C425" t="s">
        <v>1225</v>
      </c>
      <c r="D425" s="13">
        <v>876500</v>
      </c>
      <c r="I425" t="s">
        <v>1198</v>
      </c>
    </row>
    <row r="426" spans="1:12" x14ac:dyDescent="0.25">
      <c r="A426" t="s">
        <v>353</v>
      </c>
      <c r="B426" t="s">
        <v>1658</v>
      </c>
      <c r="C426" t="s">
        <v>1225</v>
      </c>
      <c r="I426" t="s">
        <v>1198</v>
      </c>
    </row>
    <row r="427" spans="1:12" x14ac:dyDescent="0.25">
      <c r="A427" t="s">
        <v>353</v>
      </c>
      <c r="B427" t="s">
        <v>1659</v>
      </c>
      <c r="C427" t="s">
        <v>1238</v>
      </c>
      <c r="D427" s="13">
        <v>24000</v>
      </c>
      <c r="I427" t="s">
        <v>1198</v>
      </c>
    </row>
    <row r="428" spans="1:12" x14ac:dyDescent="0.25">
      <c r="A428" t="s">
        <v>703</v>
      </c>
      <c r="B428" t="s">
        <v>1660</v>
      </c>
      <c r="C428" t="s">
        <v>1218</v>
      </c>
      <c r="E428">
        <v>150</v>
      </c>
      <c r="I428" t="s">
        <v>1198</v>
      </c>
      <c r="J428" t="s">
        <v>1219</v>
      </c>
      <c r="K428" t="s">
        <v>1234</v>
      </c>
      <c r="L428">
        <v>111.7</v>
      </c>
    </row>
    <row r="429" spans="1:12" x14ac:dyDescent="0.25">
      <c r="A429" t="s">
        <v>703</v>
      </c>
      <c r="B429" t="s">
        <v>1661</v>
      </c>
      <c r="C429" t="s">
        <v>1225</v>
      </c>
      <c r="D429" s="13">
        <v>120000</v>
      </c>
      <c r="F429" s="10">
        <v>32874</v>
      </c>
      <c r="G429">
        <v>34</v>
      </c>
      <c r="H429">
        <v>15</v>
      </c>
      <c r="I429" t="s">
        <v>1198</v>
      </c>
    </row>
    <row r="430" spans="1:12" x14ac:dyDescent="0.25">
      <c r="A430" t="s">
        <v>703</v>
      </c>
      <c r="B430" t="s">
        <v>1662</v>
      </c>
      <c r="C430" t="s">
        <v>1225</v>
      </c>
      <c r="F430" s="10">
        <v>43980</v>
      </c>
      <c r="G430">
        <v>4</v>
      </c>
      <c r="H430">
        <v>15</v>
      </c>
      <c r="I430" t="s">
        <v>1199</v>
      </c>
    </row>
    <row r="431" spans="1:12" x14ac:dyDescent="0.25">
      <c r="A431" t="s">
        <v>703</v>
      </c>
      <c r="B431" t="s">
        <v>1663</v>
      </c>
      <c r="C431" t="s">
        <v>1222</v>
      </c>
      <c r="F431" s="10">
        <v>43980</v>
      </c>
      <c r="G431">
        <v>4</v>
      </c>
      <c r="H431">
        <v>15</v>
      </c>
      <c r="I431" t="s">
        <v>1199</v>
      </c>
    </row>
    <row r="432" spans="1:12" x14ac:dyDescent="0.25">
      <c r="A432" t="s">
        <v>703</v>
      </c>
      <c r="B432" t="s">
        <v>1664</v>
      </c>
      <c r="C432" t="s">
        <v>1222</v>
      </c>
      <c r="I432" t="s">
        <v>1198</v>
      </c>
    </row>
    <row r="433" spans="1:12" x14ac:dyDescent="0.25">
      <c r="A433" t="s">
        <v>703</v>
      </c>
      <c r="B433" t="s">
        <v>1665</v>
      </c>
      <c r="C433" t="s">
        <v>1225</v>
      </c>
      <c r="I433" t="s">
        <v>1198</v>
      </c>
    </row>
    <row r="434" spans="1:12" x14ac:dyDescent="0.25">
      <c r="A434" t="s">
        <v>166</v>
      </c>
      <c r="B434" t="s">
        <v>1666</v>
      </c>
      <c r="C434" t="s">
        <v>1225</v>
      </c>
      <c r="D434" s="13">
        <v>60000</v>
      </c>
      <c r="F434" s="10">
        <v>39965</v>
      </c>
      <c r="G434">
        <v>15</v>
      </c>
      <c r="H434">
        <v>15</v>
      </c>
      <c r="I434" t="s">
        <v>1198</v>
      </c>
    </row>
    <row r="435" spans="1:12" x14ac:dyDescent="0.25">
      <c r="A435" t="s">
        <v>166</v>
      </c>
      <c r="B435" t="s">
        <v>1667</v>
      </c>
      <c r="C435" t="s">
        <v>1222</v>
      </c>
      <c r="D435" s="13">
        <v>60000</v>
      </c>
      <c r="F435" s="10">
        <v>39965</v>
      </c>
      <c r="G435">
        <v>15</v>
      </c>
      <c r="H435">
        <v>15</v>
      </c>
      <c r="I435" t="s">
        <v>1198</v>
      </c>
    </row>
    <row r="436" spans="1:12" x14ac:dyDescent="0.25">
      <c r="A436" t="s">
        <v>166</v>
      </c>
      <c r="B436" t="s">
        <v>1668</v>
      </c>
      <c r="C436" t="s">
        <v>1225</v>
      </c>
      <c r="D436" s="13">
        <v>120000</v>
      </c>
      <c r="F436" s="10">
        <v>39774</v>
      </c>
      <c r="I436" t="s">
        <v>1198</v>
      </c>
    </row>
    <row r="437" spans="1:12" x14ac:dyDescent="0.25">
      <c r="A437" t="s">
        <v>166</v>
      </c>
      <c r="B437" t="s">
        <v>1669</v>
      </c>
      <c r="C437" t="s">
        <v>1222</v>
      </c>
      <c r="D437" s="13">
        <v>120000</v>
      </c>
      <c r="F437" s="10">
        <v>39448</v>
      </c>
      <c r="I437" t="s">
        <v>1198</v>
      </c>
    </row>
    <row r="438" spans="1:12" x14ac:dyDescent="0.25">
      <c r="A438" t="s">
        <v>166</v>
      </c>
      <c r="B438" t="s">
        <v>1670</v>
      </c>
      <c r="C438" t="s">
        <v>1296</v>
      </c>
      <c r="D438" s="13">
        <v>120000</v>
      </c>
      <c r="F438" s="10">
        <v>41275</v>
      </c>
      <c r="I438" t="s">
        <v>1198</v>
      </c>
    </row>
    <row r="439" spans="1:12" x14ac:dyDescent="0.25">
      <c r="A439" t="s">
        <v>166</v>
      </c>
      <c r="B439" t="s">
        <v>1671</v>
      </c>
      <c r="C439" t="s">
        <v>1238</v>
      </c>
      <c r="D439" s="13">
        <v>36000</v>
      </c>
      <c r="I439" t="s">
        <v>1198</v>
      </c>
    </row>
    <row r="440" spans="1:12" x14ac:dyDescent="0.25">
      <c r="A440" t="s">
        <v>166</v>
      </c>
      <c r="B440" t="s">
        <v>1672</v>
      </c>
      <c r="C440" t="s">
        <v>1238</v>
      </c>
      <c r="D440" s="13">
        <v>36000</v>
      </c>
      <c r="F440" s="10">
        <v>36800</v>
      </c>
      <c r="G440">
        <v>24</v>
      </c>
      <c r="H440">
        <v>15</v>
      </c>
      <c r="I440" t="s">
        <v>1198</v>
      </c>
    </row>
    <row r="441" spans="1:12" x14ac:dyDescent="0.25">
      <c r="A441" t="s">
        <v>166</v>
      </c>
      <c r="B441" t="s">
        <v>1673</v>
      </c>
      <c r="C441" t="s">
        <v>1218</v>
      </c>
      <c r="E441">
        <v>150</v>
      </c>
      <c r="I441" t="s">
        <v>1198</v>
      </c>
      <c r="J441" t="s">
        <v>1219</v>
      </c>
      <c r="L441">
        <v>237.5</v>
      </c>
    </row>
    <row r="442" spans="1:12" x14ac:dyDescent="0.25">
      <c r="A442" t="s">
        <v>561</v>
      </c>
      <c r="B442" t="s">
        <v>1674</v>
      </c>
      <c r="C442" t="s">
        <v>1218</v>
      </c>
      <c r="E442">
        <v>80</v>
      </c>
      <c r="F442" s="10">
        <v>34274</v>
      </c>
      <c r="G442">
        <v>30</v>
      </c>
      <c r="H442">
        <v>25</v>
      </c>
      <c r="I442" t="s">
        <v>1198</v>
      </c>
      <c r="J442" t="s">
        <v>1219</v>
      </c>
      <c r="L442">
        <v>672</v>
      </c>
    </row>
    <row r="443" spans="1:12" x14ac:dyDescent="0.25">
      <c r="A443" t="s">
        <v>561</v>
      </c>
      <c r="B443" t="s">
        <v>1675</v>
      </c>
      <c r="C443" t="s">
        <v>1225</v>
      </c>
      <c r="D443" s="13">
        <v>120000</v>
      </c>
      <c r="I443" t="s">
        <v>1198</v>
      </c>
    </row>
    <row r="444" spans="1:12" x14ac:dyDescent="0.25">
      <c r="A444" t="s">
        <v>561</v>
      </c>
      <c r="B444" t="s">
        <v>1676</v>
      </c>
      <c r="C444" t="s">
        <v>1225</v>
      </c>
      <c r="D444" s="13">
        <v>120000</v>
      </c>
      <c r="F444" s="10">
        <v>37622</v>
      </c>
      <c r="G444">
        <v>21</v>
      </c>
      <c r="H444">
        <v>15</v>
      </c>
      <c r="I444" t="s">
        <v>1198</v>
      </c>
    </row>
    <row r="445" spans="1:12" x14ac:dyDescent="0.25">
      <c r="A445" t="s">
        <v>561</v>
      </c>
      <c r="B445" t="s">
        <v>1677</v>
      </c>
      <c r="C445" t="s">
        <v>1222</v>
      </c>
      <c r="I445" t="s">
        <v>1198</v>
      </c>
    </row>
    <row r="446" spans="1:12" x14ac:dyDescent="0.25">
      <c r="A446" t="s">
        <v>561</v>
      </c>
      <c r="B446" t="s">
        <v>1678</v>
      </c>
      <c r="C446" t="s">
        <v>1222</v>
      </c>
      <c r="D446" s="13">
        <v>120000</v>
      </c>
      <c r="F446" s="10">
        <v>37803</v>
      </c>
      <c r="G446">
        <v>21</v>
      </c>
      <c r="H446">
        <v>15</v>
      </c>
      <c r="I446" t="s">
        <v>1198</v>
      </c>
    </row>
    <row r="447" spans="1:12" x14ac:dyDescent="0.25">
      <c r="A447" t="s">
        <v>561</v>
      </c>
      <c r="B447" t="s">
        <v>1679</v>
      </c>
      <c r="C447" t="s">
        <v>1222</v>
      </c>
      <c r="D447" s="13">
        <v>120000</v>
      </c>
      <c r="F447" s="10">
        <v>37803</v>
      </c>
      <c r="G447">
        <v>21</v>
      </c>
      <c r="H447">
        <v>15</v>
      </c>
      <c r="I447" t="s">
        <v>1198</v>
      </c>
    </row>
    <row r="448" spans="1:12" x14ac:dyDescent="0.25">
      <c r="A448" t="s">
        <v>175</v>
      </c>
      <c r="B448" t="s">
        <v>1680</v>
      </c>
      <c r="C448" t="s">
        <v>1296</v>
      </c>
      <c r="D448" s="13">
        <v>120000</v>
      </c>
      <c r="F448" s="10">
        <v>39234</v>
      </c>
      <c r="G448">
        <v>17</v>
      </c>
      <c r="H448">
        <v>15</v>
      </c>
      <c r="I448" t="s">
        <v>1198</v>
      </c>
    </row>
    <row r="449" spans="1:12" x14ac:dyDescent="0.25">
      <c r="A449" t="s">
        <v>175</v>
      </c>
      <c r="B449" t="s">
        <v>1681</v>
      </c>
      <c r="C449" t="s">
        <v>1225</v>
      </c>
      <c r="I449" t="s">
        <v>1198</v>
      </c>
    </row>
    <row r="450" spans="1:12" x14ac:dyDescent="0.25">
      <c r="A450" t="s">
        <v>175</v>
      </c>
      <c r="B450" t="s">
        <v>1682</v>
      </c>
      <c r="C450" t="s">
        <v>1222</v>
      </c>
      <c r="D450" s="13">
        <v>60000</v>
      </c>
      <c r="F450" s="10">
        <v>39479</v>
      </c>
      <c r="I450" t="s">
        <v>1198</v>
      </c>
    </row>
    <row r="451" spans="1:12" x14ac:dyDescent="0.25">
      <c r="A451" t="s">
        <v>175</v>
      </c>
      <c r="B451" t="s">
        <v>1683</v>
      </c>
      <c r="C451" t="s">
        <v>1225</v>
      </c>
      <c r="D451" s="13">
        <v>60000</v>
      </c>
      <c r="F451" s="10">
        <v>45971</v>
      </c>
      <c r="I451" t="s">
        <v>1198</v>
      </c>
    </row>
    <row r="452" spans="1:12" x14ac:dyDescent="0.25">
      <c r="A452" t="s">
        <v>175</v>
      </c>
      <c r="B452" t="s">
        <v>1684</v>
      </c>
      <c r="C452" t="s">
        <v>1222</v>
      </c>
      <c r="D452" s="13">
        <v>60000</v>
      </c>
      <c r="I452" t="s">
        <v>1198</v>
      </c>
    </row>
    <row r="453" spans="1:12" x14ac:dyDescent="0.25">
      <c r="A453" t="s">
        <v>175</v>
      </c>
      <c r="B453" t="s">
        <v>1685</v>
      </c>
      <c r="C453" t="s">
        <v>1225</v>
      </c>
      <c r="D453" s="13">
        <v>30000</v>
      </c>
      <c r="F453" s="10">
        <v>37591</v>
      </c>
      <c r="G453">
        <v>21</v>
      </c>
      <c r="H453">
        <v>15</v>
      </c>
      <c r="I453" t="s">
        <v>1198</v>
      </c>
    </row>
    <row r="454" spans="1:12" x14ac:dyDescent="0.25">
      <c r="A454" t="s">
        <v>175</v>
      </c>
      <c r="B454" t="s">
        <v>1686</v>
      </c>
      <c r="C454" t="s">
        <v>1222</v>
      </c>
      <c r="D454" s="13">
        <v>30000</v>
      </c>
      <c r="F454" s="10">
        <v>45971</v>
      </c>
      <c r="I454" t="s">
        <v>1198</v>
      </c>
    </row>
    <row r="455" spans="1:12" x14ac:dyDescent="0.25">
      <c r="A455" t="s">
        <v>175</v>
      </c>
      <c r="B455" t="s">
        <v>1687</v>
      </c>
      <c r="C455" t="s">
        <v>1225</v>
      </c>
      <c r="D455" s="13">
        <v>120000</v>
      </c>
      <c r="I455" t="s">
        <v>1198</v>
      </c>
    </row>
    <row r="456" spans="1:12" x14ac:dyDescent="0.25">
      <c r="A456" t="s">
        <v>175</v>
      </c>
      <c r="B456" t="s">
        <v>1688</v>
      </c>
      <c r="C456" t="s">
        <v>1225</v>
      </c>
      <c r="D456" s="13">
        <v>60000</v>
      </c>
      <c r="I456" t="s">
        <v>1198</v>
      </c>
    </row>
    <row r="457" spans="1:12" x14ac:dyDescent="0.25">
      <c r="A457" t="s">
        <v>175</v>
      </c>
      <c r="B457" t="s">
        <v>1689</v>
      </c>
      <c r="C457" t="s">
        <v>1225</v>
      </c>
      <c r="D457" s="13">
        <v>90000</v>
      </c>
      <c r="I457" t="s">
        <v>1198</v>
      </c>
    </row>
    <row r="458" spans="1:12" x14ac:dyDescent="0.25">
      <c r="A458" t="s">
        <v>175</v>
      </c>
      <c r="B458" t="s">
        <v>1690</v>
      </c>
      <c r="C458" t="s">
        <v>1222</v>
      </c>
      <c r="D458" s="13">
        <v>90000</v>
      </c>
      <c r="F458" s="10">
        <v>42306</v>
      </c>
      <c r="I458" t="s">
        <v>1198</v>
      </c>
    </row>
    <row r="459" spans="1:12" x14ac:dyDescent="0.25">
      <c r="A459" t="s">
        <v>175</v>
      </c>
      <c r="B459" t="s">
        <v>1691</v>
      </c>
      <c r="C459" t="s">
        <v>1296</v>
      </c>
      <c r="D459" s="13">
        <v>180000</v>
      </c>
      <c r="F459" s="10">
        <v>40118</v>
      </c>
      <c r="G459">
        <v>14</v>
      </c>
      <c r="H459">
        <v>15</v>
      </c>
      <c r="I459" t="s">
        <v>1199</v>
      </c>
    </row>
    <row r="460" spans="1:12" x14ac:dyDescent="0.25">
      <c r="A460" t="s">
        <v>175</v>
      </c>
      <c r="B460" t="s">
        <v>1692</v>
      </c>
      <c r="C460" t="s">
        <v>1225</v>
      </c>
      <c r="D460" s="13">
        <v>120000</v>
      </c>
      <c r="F460" s="10">
        <v>42826</v>
      </c>
      <c r="G460">
        <v>7</v>
      </c>
      <c r="H460">
        <v>15</v>
      </c>
      <c r="I460" t="s">
        <v>1199</v>
      </c>
    </row>
    <row r="461" spans="1:12" x14ac:dyDescent="0.25">
      <c r="A461" t="s">
        <v>175</v>
      </c>
      <c r="B461" t="s">
        <v>1693</v>
      </c>
      <c r="C461" t="s">
        <v>1222</v>
      </c>
      <c r="D461" s="13">
        <v>120000</v>
      </c>
      <c r="F461" s="10">
        <v>42705</v>
      </c>
      <c r="G461">
        <v>7</v>
      </c>
      <c r="H461">
        <v>15</v>
      </c>
      <c r="I461" t="s">
        <v>1199</v>
      </c>
    </row>
    <row r="462" spans="1:12" x14ac:dyDescent="0.25">
      <c r="A462" t="s">
        <v>175</v>
      </c>
      <c r="B462" t="s">
        <v>1694</v>
      </c>
      <c r="C462" t="s">
        <v>1218</v>
      </c>
      <c r="E462">
        <v>450</v>
      </c>
      <c r="F462" s="10">
        <v>42956</v>
      </c>
      <c r="G462">
        <v>7</v>
      </c>
      <c r="H462">
        <v>25</v>
      </c>
      <c r="I462" t="s">
        <v>1199</v>
      </c>
      <c r="J462" t="s">
        <v>1219</v>
      </c>
      <c r="K462" t="s">
        <v>1234</v>
      </c>
      <c r="L462">
        <v>32</v>
      </c>
    </row>
    <row r="463" spans="1:12" x14ac:dyDescent="0.25">
      <c r="A463" t="s">
        <v>175</v>
      </c>
      <c r="B463" t="s">
        <v>1695</v>
      </c>
      <c r="C463" t="s">
        <v>1225</v>
      </c>
      <c r="D463" s="13">
        <v>120000</v>
      </c>
      <c r="F463" s="10">
        <v>42887</v>
      </c>
      <c r="G463">
        <v>7</v>
      </c>
      <c r="H463">
        <v>15</v>
      </c>
      <c r="I463" t="s">
        <v>1199</v>
      </c>
    </row>
    <row r="464" spans="1:12" x14ac:dyDescent="0.25">
      <c r="A464" t="s">
        <v>175</v>
      </c>
      <c r="B464" t="s">
        <v>1696</v>
      </c>
      <c r="C464" t="s">
        <v>1222</v>
      </c>
      <c r="D464" s="13">
        <v>120000</v>
      </c>
      <c r="F464" s="10">
        <v>43009</v>
      </c>
      <c r="G464">
        <v>7</v>
      </c>
      <c r="H464">
        <v>15</v>
      </c>
      <c r="I464" t="s">
        <v>1199</v>
      </c>
    </row>
    <row r="465" spans="1:9" x14ac:dyDescent="0.25">
      <c r="A465" t="s">
        <v>175</v>
      </c>
      <c r="B465" t="s">
        <v>1697</v>
      </c>
      <c r="C465" t="s">
        <v>1296</v>
      </c>
      <c r="D465" s="13">
        <v>20000</v>
      </c>
      <c r="F465" s="10">
        <v>41769</v>
      </c>
      <c r="I465" t="s">
        <v>1198</v>
      </c>
    </row>
    <row r="466" spans="1:9" x14ac:dyDescent="0.25">
      <c r="A466" t="s">
        <v>175</v>
      </c>
      <c r="B466" t="s">
        <v>1698</v>
      </c>
      <c r="C466" t="s">
        <v>1222</v>
      </c>
      <c r="D466" s="13">
        <v>240000</v>
      </c>
      <c r="F466" s="10">
        <v>41821</v>
      </c>
      <c r="I466" t="s">
        <v>1198</v>
      </c>
    </row>
    <row r="467" spans="1:9" x14ac:dyDescent="0.25">
      <c r="A467" t="s">
        <v>175</v>
      </c>
      <c r="B467" t="s">
        <v>1699</v>
      </c>
      <c r="C467" t="s">
        <v>1222</v>
      </c>
      <c r="D467" s="13">
        <v>120000</v>
      </c>
      <c r="F467" s="10">
        <v>41913</v>
      </c>
      <c r="I467" t="s">
        <v>1198</v>
      </c>
    </row>
    <row r="468" spans="1:9" x14ac:dyDescent="0.25">
      <c r="A468" t="s">
        <v>175</v>
      </c>
      <c r="B468" t="s">
        <v>1700</v>
      </c>
      <c r="C468" t="s">
        <v>1225</v>
      </c>
      <c r="D468" s="13">
        <v>120000</v>
      </c>
      <c r="I468" t="s">
        <v>1198</v>
      </c>
    </row>
    <row r="469" spans="1:9" x14ac:dyDescent="0.25">
      <c r="A469" t="s">
        <v>175</v>
      </c>
      <c r="B469" t="s">
        <v>1701</v>
      </c>
      <c r="C469" t="s">
        <v>1225</v>
      </c>
      <c r="D469" s="13">
        <v>60000</v>
      </c>
      <c r="F469" s="10">
        <v>44562</v>
      </c>
      <c r="I469" t="s">
        <v>1198</v>
      </c>
    </row>
    <row r="470" spans="1:9" x14ac:dyDescent="0.25">
      <c r="A470" t="s">
        <v>175</v>
      </c>
      <c r="B470" t="s">
        <v>1702</v>
      </c>
      <c r="C470" t="s">
        <v>1222</v>
      </c>
      <c r="D470" s="13">
        <v>120000</v>
      </c>
      <c r="I470" t="s">
        <v>1198</v>
      </c>
    </row>
    <row r="471" spans="1:9" x14ac:dyDescent="0.25">
      <c r="A471" t="s">
        <v>175</v>
      </c>
      <c r="B471" t="s">
        <v>1703</v>
      </c>
      <c r="C471" t="s">
        <v>1222</v>
      </c>
      <c r="I471" t="s">
        <v>1198</v>
      </c>
    </row>
    <row r="472" spans="1:9" x14ac:dyDescent="0.25">
      <c r="A472" t="s">
        <v>175</v>
      </c>
      <c r="B472" t="s">
        <v>1704</v>
      </c>
      <c r="C472" t="s">
        <v>1296</v>
      </c>
      <c r="I472" t="s">
        <v>1198</v>
      </c>
    </row>
    <row r="473" spans="1:9" x14ac:dyDescent="0.25">
      <c r="A473" t="s">
        <v>175</v>
      </c>
      <c r="B473" t="s">
        <v>1705</v>
      </c>
      <c r="C473" t="s">
        <v>1222</v>
      </c>
      <c r="D473" s="13">
        <v>120000</v>
      </c>
      <c r="I473" t="s">
        <v>1198</v>
      </c>
    </row>
    <row r="474" spans="1:9" x14ac:dyDescent="0.25">
      <c r="A474" t="s">
        <v>175</v>
      </c>
      <c r="B474" t="s">
        <v>1706</v>
      </c>
      <c r="C474" t="s">
        <v>1225</v>
      </c>
      <c r="D474" s="13">
        <v>60000</v>
      </c>
      <c r="F474" s="10">
        <v>44986</v>
      </c>
      <c r="I474" t="s">
        <v>1198</v>
      </c>
    </row>
    <row r="475" spans="1:9" x14ac:dyDescent="0.25">
      <c r="A475" t="s">
        <v>175</v>
      </c>
      <c r="B475" t="s">
        <v>1707</v>
      </c>
      <c r="C475" t="s">
        <v>1225</v>
      </c>
      <c r="D475" s="13">
        <v>60000</v>
      </c>
      <c r="F475" s="10">
        <v>45007</v>
      </c>
      <c r="G475">
        <v>1</v>
      </c>
      <c r="H475">
        <v>15</v>
      </c>
      <c r="I475" t="s">
        <v>1199</v>
      </c>
    </row>
    <row r="476" spans="1:9" x14ac:dyDescent="0.25">
      <c r="A476" t="s">
        <v>175</v>
      </c>
      <c r="B476" t="s">
        <v>1708</v>
      </c>
      <c r="C476" t="s">
        <v>1222</v>
      </c>
      <c r="D476" s="13">
        <v>60000</v>
      </c>
      <c r="F476" s="10">
        <v>44805</v>
      </c>
      <c r="G476">
        <v>1</v>
      </c>
      <c r="H476">
        <v>15</v>
      </c>
      <c r="I476" t="s">
        <v>1199</v>
      </c>
    </row>
    <row r="477" spans="1:9" x14ac:dyDescent="0.25">
      <c r="A477" t="s">
        <v>175</v>
      </c>
      <c r="B477" t="s">
        <v>1709</v>
      </c>
      <c r="C477" t="s">
        <v>1225</v>
      </c>
      <c r="D477" s="13">
        <v>60000</v>
      </c>
      <c r="I477" t="s">
        <v>1198</v>
      </c>
    </row>
    <row r="478" spans="1:9" x14ac:dyDescent="0.25">
      <c r="A478" t="s">
        <v>175</v>
      </c>
      <c r="B478" t="s">
        <v>1710</v>
      </c>
      <c r="C478" t="s">
        <v>1222</v>
      </c>
      <c r="I478" t="s">
        <v>1198</v>
      </c>
    </row>
    <row r="479" spans="1:9" x14ac:dyDescent="0.25">
      <c r="A479" t="s">
        <v>175</v>
      </c>
      <c r="B479" t="s">
        <v>1711</v>
      </c>
      <c r="C479" t="s">
        <v>1222</v>
      </c>
      <c r="D479" s="13">
        <v>60000</v>
      </c>
      <c r="F479" s="10">
        <v>39083</v>
      </c>
      <c r="I479" t="s">
        <v>1198</v>
      </c>
    </row>
    <row r="480" spans="1:9" x14ac:dyDescent="0.25">
      <c r="A480" t="s">
        <v>175</v>
      </c>
      <c r="B480" t="s">
        <v>1712</v>
      </c>
      <c r="C480" t="s">
        <v>1222</v>
      </c>
      <c r="I480" t="s">
        <v>1198</v>
      </c>
    </row>
    <row r="481" spans="1:12" x14ac:dyDescent="0.25">
      <c r="A481" t="s">
        <v>557</v>
      </c>
      <c r="B481" t="s">
        <v>1713</v>
      </c>
      <c r="C481" t="s">
        <v>1218</v>
      </c>
      <c r="E481">
        <v>210</v>
      </c>
      <c r="I481" t="s">
        <v>1198</v>
      </c>
      <c r="J481" t="s">
        <v>1219</v>
      </c>
      <c r="K481" t="s">
        <v>1234</v>
      </c>
      <c r="L481">
        <v>834</v>
      </c>
    </row>
    <row r="482" spans="1:12" x14ac:dyDescent="0.25">
      <c r="A482" t="s">
        <v>557</v>
      </c>
      <c r="B482" t="s">
        <v>1714</v>
      </c>
      <c r="C482" t="s">
        <v>1222</v>
      </c>
      <c r="D482" s="13">
        <v>72000</v>
      </c>
      <c r="F482" s="10">
        <v>39966</v>
      </c>
      <c r="G482">
        <v>15</v>
      </c>
      <c r="H482">
        <v>15</v>
      </c>
      <c r="I482" t="s">
        <v>1198</v>
      </c>
    </row>
    <row r="483" spans="1:12" x14ac:dyDescent="0.25">
      <c r="A483" t="s">
        <v>557</v>
      </c>
      <c r="B483" t="s">
        <v>1715</v>
      </c>
      <c r="C483" t="s">
        <v>1222</v>
      </c>
      <c r="D483" s="13">
        <v>72000</v>
      </c>
      <c r="F483" s="10">
        <v>39754</v>
      </c>
      <c r="G483">
        <v>15</v>
      </c>
      <c r="H483">
        <v>15</v>
      </c>
      <c r="I483" t="s">
        <v>1198</v>
      </c>
    </row>
    <row r="484" spans="1:12" x14ac:dyDescent="0.25">
      <c r="A484" t="s">
        <v>557</v>
      </c>
      <c r="B484" t="s">
        <v>1716</v>
      </c>
      <c r="C484" t="s">
        <v>1222</v>
      </c>
      <c r="D484" s="13">
        <v>42000</v>
      </c>
      <c r="I484" t="s">
        <v>1198</v>
      </c>
    </row>
    <row r="485" spans="1:12" x14ac:dyDescent="0.25">
      <c r="A485" t="s">
        <v>557</v>
      </c>
      <c r="B485" t="s">
        <v>1717</v>
      </c>
      <c r="C485" t="s">
        <v>1222</v>
      </c>
      <c r="D485" s="13">
        <v>150000</v>
      </c>
      <c r="I485" t="s">
        <v>1198</v>
      </c>
    </row>
    <row r="486" spans="1:12" x14ac:dyDescent="0.25">
      <c r="A486" t="s">
        <v>557</v>
      </c>
      <c r="B486" t="s">
        <v>1718</v>
      </c>
      <c r="C486" t="s">
        <v>1225</v>
      </c>
      <c r="D486" s="13">
        <v>180000</v>
      </c>
      <c r="I486" t="s">
        <v>1198</v>
      </c>
    </row>
    <row r="487" spans="1:12" x14ac:dyDescent="0.25">
      <c r="A487" t="s">
        <v>557</v>
      </c>
      <c r="B487" t="s">
        <v>1719</v>
      </c>
      <c r="C487" t="s">
        <v>1225</v>
      </c>
      <c r="D487" s="13">
        <v>180000</v>
      </c>
      <c r="F487" s="10">
        <v>36379</v>
      </c>
      <c r="I487" t="s">
        <v>1198</v>
      </c>
    </row>
    <row r="488" spans="1:12" x14ac:dyDescent="0.25">
      <c r="A488" t="s">
        <v>557</v>
      </c>
      <c r="B488" t="s">
        <v>1720</v>
      </c>
      <c r="C488" t="s">
        <v>1225</v>
      </c>
      <c r="D488" s="13">
        <v>90000</v>
      </c>
      <c r="I488" t="s">
        <v>1198</v>
      </c>
    </row>
    <row r="489" spans="1:12" x14ac:dyDescent="0.25">
      <c r="A489" t="s">
        <v>557</v>
      </c>
      <c r="B489" t="s">
        <v>1721</v>
      </c>
      <c r="C489" t="s">
        <v>1225</v>
      </c>
      <c r="D489" s="13">
        <v>42000</v>
      </c>
      <c r="I489" t="s">
        <v>1198</v>
      </c>
    </row>
    <row r="490" spans="1:12" x14ac:dyDescent="0.25">
      <c r="A490" t="s">
        <v>557</v>
      </c>
      <c r="B490" t="s">
        <v>1722</v>
      </c>
      <c r="C490" t="s">
        <v>1222</v>
      </c>
      <c r="D490" s="13">
        <v>180000</v>
      </c>
      <c r="F490" s="10">
        <v>36309</v>
      </c>
      <c r="G490">
        <v>6</v>
      </c>
      <c r="H490">
        <v>15</v>
      </c>
      <c r="I490" t="s">
        <v>1199</v>
      </c>
    </row>
    <row r="491" spans="1:12" x14ac:dyDescent="0.25">
      <c r="A491" t="s">
        <v>557</v>
      </c>
      <c r="B491" t="s">
        <v>1723</v>
      </c>
      <c r="C491" t="s">
        <v>1222</v>
      </c>
      <c r="D491" s="13">
        <v>60000</v>
      </c>
      <c r="I491" t="s">
        <v>1198</v>
      </c>
    </row>
    <row r="492" spans="1:12" x14ac:dyDescent="0.25">
      <c r="A492" t="s">
        <v>557</v>
      </c>
      <c r="B492" t="s">
        <v>1724</v>
      </c>
      <c r="C492" t="s">
        <v>1225</v>
      </c>
      <c r="D492">
        <v>7.5</v>
      </c>
      <c r="I492" t="s">
        <v>1198</v>
      </c>
    </row>
    <row r="493" spans="1:12" x14ac:dyDescent="0.25">
      <c r="A493" t="s">
        <v>557</v>
      </c>
      <c r="B493" t="s">
        <v>1725</v>
      </c>
      <c r="C493" t="s">
        <v>1222</v>
      </c>
      <c r="D493">
        <v>7.5</v>
      </c>
      <c r="I493" t="s">
        <v>1198</v>
      </c>
    </row>
    <row r="494" spans="1:12" x14ac:dyDescent="0.25">
      <c r="A494" t="s">
        <v>557</v>
      </c>
      <c r="B494" t="s">
        <v>1726</v>
      </c>
      <c r="C494" t="s">
        <v>1225</v>
      </c>
      <c r="I494" t="s">
        <v>1198</v>
      </c>
    </row>
    <row r="495" spans="1:12" x14ac:dyDescent="0.25">
      <c r="A495" t="s">
        <v>557</v>
      </c>
      <c r="B495" t="s">
        <v>1727</v>
      </c>
      <c r="C495" t="s">
        <v>1225</v>
      </c>
      <c r="I495" t="s">
        <v>1198</v>
      </c>
    </row>
    <row r="496" spans="1:12" x14ac:dyDescent="0.25">
      <c r="A496" t="s">
        <v>557</v>
      </c>
      <c r="B496" t="s">
        <v>1728</v>
      </c>
      <c r="C496" t="s">
        <v>1225</v>
      </c>
      <c r="I496" t="s">
        <v>1198</v>
      </c>
    </row>
    <row r="497" spans="1:9" x14ac:dyDescent="0.25">
      <c r="A497" t="s">
        <v>557</v>
      </c>
      <c r="B497" t="s">
        <v>1729</v>
      </c>
      <c r="C497" t="s">
        <v>1222</v>
      </c>
      <c r="I497" t="s">
        <v>1198</v>
      </c>
    </row>
    <row r="498" spans="1:9" x14ac:dyDescent="0.25">
      <c r="A498" t="s">
        <v>557</v>
      </c>
      <c r="B498" t="s">
        <v>1730</v>
      </c>
      <c r="C498" t="s">
        <v>1225</v>
      </c>
      <c r="D498" s="13">
        <v>60000</v>
      </c>
      <c r="F498" s="10">
        <v>32143</v>
      </c>
      <c r="G498">
        <v>36</v>
      </c>
      <c r="H498">
        <v>15</v>
      </c>
      <c r="I498" t="s">
        <v>1198</v>
      </c>
    </row>
    <row r="499" spans="1:9" x14ac:dyDescent="0.25">
      <c r="A499" t="s">
        <v>557</v>
      </c>
      <c r="B499" t="s">
        <v>1731</v>
      </c>
      <c r="C499" t="s">
        <v>1225</v>
      </c>
      <c r="I499" t="s">
        <v>1198</v>
      </c>
    </row>
    <row r="500" spans="1:9" x14ac:dyDescent="0.25">
      <c r="A500" t="s">
        <v>557</v>
      </c>
      <c r="B500" t="s">
        <v>1732</v>
      </c>
      <c r="C500" t="s">
        <v>1225</v>
      </c>
      <c r="F500" s="10">
        <v>45755</v>
      </c>
      <c r="I500" t="s">
        <v>1198</v>
      </c>
    </row>
    <row r="501" spans="1:9" x14ac:dyDescent="0.25">
      <c r="A501" t="s">
        <v>557</v>
      </c>
      <c r="B501" t="s">
        <v>1733</v>
      </c>
      <c r="C501" t="s">
        <v>1222</v>
      </c>
      <c r="D501" s="13">
        <v>60000</v>
      </c>
      <c r="F501" s="10">
        <v>45755</v>
      </c>
      <c r="I501" t="s">
        <v>1198</v>
      </c>
    </row>
    <row r="502" spans="1:9" x14ac:dyDescent="0.25">
      <c r="A502" t="s">
        <v>557</v>
      </c>
      <c r="B502" t="s">
        <v>1734</v>
      </c>
      <c r="C502" t="s">
        <v>1225</v>
      </c>
      <c r="D502" s="13">
        <v>42000</v>
      </c>
      <c r="F502" s="10">
        <v>46082</v>
      </c>
      <c r="I502" t="s">
        <v>1198</v>
      </c>
    </row>
    <row r="503" spans="1:9" x14ac:dyDescent="0.25">
      <c r="A503" t="s">
        <v>557</v>
      </c>
      <c r="B503" t="s">
        <v>1735</v>
      </c>
      <c r="C503" t="s">
        <v>1222</v>
      </c>
      <c r="D503" s="13">
        <v>42000</v>
      </c>
      <c r="F503" s="10">
        <v>46082</v>
      </c>
      <c r="I503" t="s">
        <v>1198</v>
      </c>
    </row>
    <row r="504" spans="1:9" x14ac:dyDescent="0.25">
      <c r="A504" t="s">
        <v>557</v>
      </c>
      <c r="B504" t="s">
        <v>1736</v>
      </c>
      <c r="C504" t="s">
        <v>1222</v>
      </c>
      <c r="D504" s="13">
        <v>60000</v>
      </c>
      <c r="F504" s="10">
        <v>46082</v>
      </c>
      <c r="I504" t="s">
        <v>1198</v>
      </c>
    </row>
    <row r="505" spans="1:9" x14ac:dyDescent="0.25">
      <c r="A505" t="s">
        <v>557</v>
      </c>
      <c r="B505" t="s">
        <v>1737</v>
      </c>
      <c r="C505" t="s">
        <v>1225</v>
      </c>
      <c r="D505" s="13">
        <v>60000</v>
      </c>
      <c r="F505" s="10">
        <v>46082</v>
      </c>
      <c r="I505" t="s">
        <v>1198</v>
      </c>
    </row>
    <row r="506" spans="1:9" x14ac:dyDescent="0.25">
      <c r="A506" t="s">
        <v>151</v>
      </c>
      <c r="B506" t="s">
        <v>1738</v>
      </c>
      <c r="C506" t="s">
        <v>1225</v>
      </c>
      <c r="D506" s="13">
        <v>90000</v>
      </c>
      <c r="F506" s="10">
        <v>41414</v>
      </c>
      <c r="G506">
        <v>11</v>
      </c>
      <c r="H506">
        <v>15</v>
      </c>
      <c r="I506" t="s">
        <v>1199</v>
      </c>
    </row>
    <row r="507" spans="1:9" x14ac:dyDescent="0.25">
      <c r="A507" t="s">
        <v>151</v>
      </c>
      <c r="B507" t="s">
        <v>1739</v>
      </c>
      <c r="C507" t="s">
        <v>1225</v>
      </c>
      <c r="D507" s="13">
        <v>180000</v>
      </c>
      <c r="F507" s="10">
        <v>31155</v>
      </c>
      <c r="I507" t="s">
        <v>1198</v>
      </c>
    </row>
    <row r="508" spans="1:9" x14ac:dyDescent="0.25">
      <c r="A508" t="s">
        <v>151</v>
      </c>
      <c r="B508" t="s">
        <v>1740</v>
      </c>
      <c r="C508" t="s">
        <v>1225</v>
      </c>
      <c r="D508" s="13">
        <v>240000</v>
      </c>
      <c r="I508" t="s">
        <v>1198</v>
      </c>
    </row>
    <row r="509" spans="1:9" x14ac:dyDescent="0.25">
      <c r="A509" t="s">
        <v>151</v>
      </c>
      <c r="B509" t="s">
        <v>1741</v>
      </c>
      <c r="C509" t="s">
        <v>1225</v>
      </c>
      <c r="D509" s="13">
        <v>120000</v>
      </c>
      <c r="F509" s="10">
        <v>37012</v>
      </c>
      <c r="G509">
        <v>23</v>
      </c>
      <c r="H509">
        <v>15</v>
      </c>
      <c r="I509" t="s">
        <v>1198</v>
      </c>
    </row>
    <row r="510" spans="1:9" x14ac:dyDescent="0.25">
      <c r="A510" t="s">
        <v>151</v>
      </c>
      <c r="B510" t="s">
        <v>1742</v>
      </c>
      <c r="C510" t="s">
        <v>1225</v>
      </c>
      <c r="D510" s="13">
        <v>36000</v>
      </c>
      <c r="F510" s="10">
        <v>41657</v>
      </c>
      <c r="I510" t="s">
        <v>1198</v>
      </c>
    </row>
    <row r="511" spans="1:9" x14ac:dyDescent="0.25">
      <c r="A511" t="s">
        <v>151</v>
      </c>
      <c r="B511" t="s">
        <v>1743</v>
      </c>
      <c r="C511" t="s">
        <v>1225</v>
      </c>
      <c r="D511" s="13">
        <v>120000</v>
      </c>
      <c r="I511" t="s">
        <v>1198</v>
      </c>
    </row>
    <row r="512" spans="1:9" x14ac:dyDescent="0.25">
      <c r="A512" t="s">
        <v>151</v>
      </c>
      <c r="B512" t="s">
        <v>1744</v>
      </c>
      <c r="C512" t="s">
        <v>1222</v>
      </c>
      <c r="D512" s="13">
        <v>210000</v>
      </c>
      <c r="F512" s="10">
        <v>31139</v>
      </c>
      <c r="I512" t="s">
        <v>1198</v>
      </c>
    </row>
    <row r="513" spans="1:12" x14ac:dyDescent="0.25">
      <c r="A513" t="s">
        <v>151</v>
      </c>
      <c r="B513" t="s">
        <v>1745</v>
      </c>
      <c r="C513" t="s">
        <v>1225</v>
      </c>
      <c r="D513" s="13">
        <v>240000</v>
      </c>
      <c r="F513" s="10">
        <v>42614</v>
      </c>
      <c r="G513">
        <v>7</v>
      </c>
      <c r="H513">
        <v>15</v>
      </c>
      <c r="I513" t="s">
        <v>1199</v>
      </c>
    </row>
    <row r="514" spans="1:12" x14ac:dyDescent="0.25">
      <c r="A514" t="s">
        <v>151</v>
      </c>
      <c r="B514" t="s">
        <v>1746</v>
      </c>
      <c r="C514" t="s">
        <v>1222</v>
      </c>
      <c r="D514" s="13">
        <v>240000</v>
      </c>
      <c r="F514" s="10">
        <v>42615</v>
      </c>
      <c r="G514">
        <v>7</v>
      </c>
      <c r="H514">
        <v>15</v>
      </c>
      <c r="I514" t="s">
        <v>1199</v>
      </c>
    </row>
    <row r="515" spans="1:12" x14ac:dyDescent="0.25">
      <c r="A515" t="s">
        <v>151</v>
      </c>
      <c r="B515" t="s">
        <v>1747</v>
      </c>
      <c r="C515" t="s">
        <v>1225</v>
      </c>
      <c r="D515" s="13">
        <v>240000</v>
      </c>
      <c r="F515" s="10">
        <v>42675</v>
      </c>
      <c r="G515">
        <v>7</v>
      </c>
      <c r="H515">
        <v>15</v>
      </c>
      <c r="I515" t="s">
        <v>1199</v>
      </c>
    </row>
    <row r="516" spans="1:12" x14ac:dyDescent="0.25">
      <c r="A516" t="s">
        <v>151</v>
      </c>
      <c r="B516" t="s">
        <v>1748</v>
      </c>
      <c r="C516" t="s">
        <v>1222</v>
      </c>
      <c r="D516" s="13">
        <v>240000</v>
      </c>
      <c r="F516" s="10">
        <v>42736</v>
      </c>
      <c r="G516">
        <v>7</v>
      </c>
      <c r="H516">
        <v>15</v>
      </c>
      <c r="I516" t="s">
        <v>1199</v>
      </c>
    </row>
    <row r="517" spans="1:12" x14ac:dyDescent="0.25">
      <c r="A517" t="s">
        <v>151</v>
      </c>
      <c r="B517" t="s">
        <v>1749</v>
      </c>
      <c r="C517" t="s">
        <v>1218</v>
      </c>
      <c r="E517">
        <v>750</v>
      </c>
      <c r="F517" s="10">
        <v>35612</v>
      </c>
      <c r="G517">
        <v>27</v>
      </c>
      <c r="H517">
        <v>25</v>
      </c>
      <c r="I517" t="s">
        <v>1198</v>
      </c>
      <c r="J517" t="s">
        <v>1219</v>
      </c>
      <c r="K517" t="s">
        <v>1234</v>
      </c>
      <c r="L517">
        <v>940</v>
      </c>
    </row>
    <row r="518" spans="1:12" x14ac:dyDescent="0.25">
      <c r="A518" t="s">
        <v>151</v>
      </c>
      <c r="B518" t="s">
        <v>1750</v>
      </c>
      <c r="C518" t="s">
        <v>1225</v>
      </c>
      <c r="D518" s="13">
        <v>90000</v>
      </c>
      <c r="F518" s="10">
        <v>43238</v>
      </c>
      <c r="I518" t="s">
        <v>1198</v>
      </c>
    </row>
    <row r="519" spans="1:12" x14ac:dyDescent="0.25">
      <c r="A519" t="s">
        <v>151</v>
      </c>
      <c r="B519" t="s">
        <v>1751</v>
      </c>
      <c r="C519" t="s">
        <v>1222</v>
      </c>
      <c r="D519" s="13">
        <v>90000</v>
      </c>
      <c r="F519" s="10">
        <v>45918</v>
      </c>
      <c r="I519" t="s">
        <v>1198</v>
      </c>
    </row>
    <row r="520" spans="1:12" x14ac:dyDescent="0.25">
      <c r="A520" t="s">
        <v>151</v>
      </c>
      <c r="B520" t="s">
        <v>1752</v>
      </c>
      <c r="C520" t="s">
        <v>1222</v>
      </c>
      <c r="D520" s="13">
        <v>36000</v>
      </c>
      <c r="F520" s="10">
        <v>41549</v>
      </c>
      <c r="I520" t="s">
        <v>1198</v>
      </c>
    </row>
    <row r="521" spans="1:12" x14ac:dyDescent="0.25">
      <c r="A521" t="s">
        <v>151</v>
      </c>
      <c r="B521" t="s">
        <v>1753</v>
      </c>
      <c r="C521" t="s">
        <v>1222</v>
      </c>
      <c r="I521" t="s">
        <v>1198</v>
      </c>
    </row>
    <row r="522" spans="1:12" x14ac:dyDescent="0.25">
      <c r="A522" t="s">
        <v>151</v>
      </c>
      <c r="B522" t="s">
        <v>1754</v>
      </c>
      <c r="C522" t="s">
        <v>1225</v>
      </c>
      <c r="D522" s="13">
        <v>120000</v>
      </c>
      <c r="F522" s="10">
        <v>42006</v>
      </c>
      <c r="I522" t="s">
        <v>1198</v>
      </c>
    </row>
    <row r="523" spans="1:12" x14ac:dyDescent="0.25">
      <c r="A523" t="s">
        <v>151</v>
      </c>
      <c r="B523" t="s">
        <v>1755</v>
      </c>
      <c r="C523" t="s">
        <v>1222</v>
      </c>
      <c r="I523" t="s">
        <v>1198</v>
      </c>
    </row>
    <row r="524" spans="1:12" x14ac:dyDescent="0.25">
      <c r="A524" t="s">
        <v>151</v>
      </c>
      <c r="B524" t="s">
        <v>1756</v>
      </c>
      <c r="C524" t="s">
        <v>1222</v>
      </c>
      <c r="I524" t="s">
        <v>1198</v>
      </c>
    </row>
    <row r="525" spans="1:12" x14ac:dyDescent="0.25">
      <c r="A525" t="s">
        <v>151</v>
      </c>
      <c r="B525" t="s">
        <v>1757</v>
      </c>
      <c r="C525" t="s">
        <v>1225</v>
      </c>
      <c r="I525" t="s">
        <v>1198</v>
      </c>
    </row>
    <row r="526" spans="1:12" x14ac:dyDescent="0.25">
      <c r="A526" t="s">
        <v>151</v>
      </c>
      <c r="B526" t="s">
        <v>1758</v>
      </c>
      <c r="C526" t="s">
        <v>1225</v>
      </c>
      <c r="D526" s="13">
        <v>120000</v>
      </c>
      <c r="F526" s="10">
        <v>45809</v>
      </c>
      <c r="I526" t="s">
        <v>1198</v>
      </c>
    </row>
    <row r="527" spans="1:12" x14ac:dyDescent="0.25">
      <c r="A527" t="s">
        <v>151</v>
      </c>
      <c r="B527" t="s">
        <v>1759</v>
      </c>
      <c r="C527" t="s">
        <v>1222</v>
      </c>
      <c r="D527" s="13">
        <v>120000</v>
      </c>
      <c r="F527" s="10">
        <v>45539</v>
      </c>
      <c r="I527" t="s">
        <v>1198</v>
      </c>
    </row>
    <row r="528" spans="1:12" x14ac:dyDescent="0.25">
      <c r="A528" t="s">
        <v>155</v>
      </c>
      <c r="B528" t="s">
        <v>1760</v>
      </c>
      <c r="C528" t="s">
        <v>1222</v>
      </c>
      <c r="D528" s="13">
        <v>24000</v>
      </c>
      <c r="F528" s="10">
        <v>37895</v>
      </c>
      <c r="G528">
        <v>21</v>
      </c>
      <c r="H528">
        <v>15</v>
      </c>
      <c r="I528" t="s">
        <v>1198</v>
      </c>
    </row>
    <row r="529" spans="1:12" x14ac:dyDescent="0.25">
      <c r="A529" t="s">
        <v>155</v>
      </c>
      <c r="B529" t="s">
        <v>1761</v>
      </c>
      <c r="C529" t="s">
        <v>1225</v>
      </c>
      <c r="D529" s="13">
        <v>24000</v>
      </c>
      <c r="I529" t="s">
        <v>1198</v>
      </c>
    </row>
    <row r="530" spans="1:12" x14ac:dyDescent="0.25">
      <c r="A530" t="s">
        <v>155</v>
      </c>
      <c r="B530" t="s">
        <v>1762</v>
      </c>
      <c r="C530" t="s">
        <v>1218</v>
      </c>
      <c r="E530">
        <v>100</v>
      </c>
      <c r="I530" t="s">
        <v>1198</v>
      </c>
      <c r="J530" t="s">
        <v>1219</v>
      </c>
      <c r="K530" t="s">
        <v>1234</v>
      </c>
      <c r="L530">
        <v>48</v>
      </c>
    </row>
    <row r="531" spans="1:12" x14ac:dyDescent="0.25">
      <c r="A531" t="s">
        <v>155</v>
      </c>
      <c r="B531" t="s">
        <v>1763</v>
      </c>
      <c r="C531" t="s">
        <v>1238</v>
      </c>
      <c r="D531" s="13">
        <v>60000</v>
      </c>
      <c r="F531" s="10">
        <v>37987</v>
      </c>
      <c r="G531">
        <v>20</v>
      </c>
      <c r="H531">
        <v>15</v>
      </c>
      <c r="I531" t="s">
        <v>1198</v>
      </c>
    </row>
    <row r="532" spans="1:12" x14ac:dyDescent="0.25">
      <c r="A532" t="s">
        <v>155</v>
      </c>
      <c r="B532" t="s">
        <v>1764</v>
      </c>
      <c r="C532" t="s">
        <v>1238</v>
      </c>
      <c r="D532" s="13">
        <v>60000</v>
      </c>
      <c r="F532" s="10">
        <v>37987</v>
      </c>
      <c r="G532">
        <v>20</v>
      </c>
      <c r="H532">
        <v>15</v>
      </c>
      <c r="I532" t="s">
        <v>1198</v>
      </c>
    </row>
    <row r="533" spans="1:12" x14ac:dyDescent="0.25">
      <c r="A533" t="s">
        <v>155</v>
      </c>
      <c r="B533" t="s">
        <v>1765</v>
      </c>
      <c r="C533" t="s">
        <v>1296</v>
      </c>
      <c r="I533" t="s">
        <v>1198</v>
      </c>
    </row>
    <row r="534" spans="1:12" x14ac:dyDescent="0.25">
      <c r="A534" t="s">
        <v>155</v>
      </c>
      <c r="B534" t="s">
        <v>1766</v>
      </c>
      <c r="C534" t="s">
        <v>1222</v>
      </c>
      <c r="D534" s="13">
        <v>24000</v>
      </c>
      <c r="F534" s="10">
        <v>37895</v>
      </c>
      <c r="I534" t="s">
        <v>1198</v>
      </c>
    </row>
    <row r="535" spans="1:12" x14ac:dyDescent="0.25">
      <c r="A535" t="s">
        <v>344</v>
      </c>
      <c r="B535" t="s">
        <v>1767</v>
      </c>
      <c r="C535" t="s">
        <v>1218</v>
      </c>
      <c r="E535">
        <v>100</v>
      </c>
      <c r="F535" s="10">
        <v>31503</v>
      </c>
      <c r="G535">
        <v>38</v>
      </c>
      <c r="H535">
        <v>25</v>
      </c>
      <c r="I535" t="s">
        <v>1198</v>
      </c>
      <c r="J535" t="s">
        <v>1219</v>
      </c>
      <c r="K535" t="s">
        <v>1220</v>
      </c>
      <c r="L535">
        <v>1082.9000000000001</v>
      </c>
    </row>
    <row r="536" spans="1:12" x14ac:dyDescent="0.25">
      <c r="A536" t="s">
        <v>344</v>
      </c>
      <c r="B536" t="s">
        <v>1768</v>
      </c>
      <c r="C536" t="s">
        <v>1222</v>
      </c>
      <c r="D536" s="13">
        <v>42000</v>
      </c>
      <c r="F536" s="10">
        <v>37408</v>
      </c>
      <c r="G536">
        <v>22</v>
      </c>
      <c r="H536">
        <v>15</v>
      </c>
      <c r="I536" t="s">
        <v>1198</v>
      </c>
    </row>
    <row r="537" spans="1:12" x14ac:dyDescent="0.25">
      <c r="A537" t="s">
        <v>344</v>
      </c>
      <c r="B537" t="s">
        <v>1769</v>
      </c>
      <c r="C537" t="s">
        <v>1222</v>
      </c>
      <c r="D537" s="13">
        <v>80000</v>
      </c>
      <c r="F537" s="10">
        <v>37288</v>
      </c>
      <c r="G537">
        <v>22</v>
      </c>
      <c r="H537">
        <v>15</v>
      </c>
      <c r="I537" t="s">
        <v>1198</v>
      </c>
    </row>
    <row r="538" spans="1:12" x14ac:dyDescent="0.25">
      <c r="A538" t="s">
        <v>344</v>
      </c>
      <c r="B538" t="s">
        <v>1770</v>
      </c>
      <c r="C538" t="s">
        <v>1222</v>
      </c>
      <c r="D538" s="13">
        <v>42000</v>
      </c>
      <c r="F538" s="10">
        <v>37500</v>
      </c>
      <c r="G538">
        <v>22</v>
      </c>
      <c r="H538">
        <v>15</v>
      </c>
      <c r="I538" t="s">
        <v>1198</v>
      </c>
    </row>
    <row r="539" spans="1:12" x14ac:dyDescent="0.25">
      <c r="A539" t="s">
        <v>344</v>
      </c>
      <c r="B539" t="s">
        <v>1771</v>
      </c>
      <c r="C539" t="s">
        <v>1222</v>
      </c>
      <c r="D539" s="13">
        <v>30000</v>
      </c>
      <c r="F539" s="10">
        <v>36220</v>
      </c>
      <c r="G539">
        <v>25</v>
      </c>
      <c r="H539">
        <v>15</v>
      </c>
      <c r="I539" t="s">
        <v>1198</v>
      </c>
    </row>
    <row r="540" spans="1:12" x14ac:dyDescent="0.25">
      <c r="A540" t="s">
        <v>344</v>
      </c>
      <c r="B540" t="s">
        <v>1772</v>
      </c>
      <c r="C540" t="s">
        <v>1225</v>
      </c>
      <c r="D540" s="13">
        <v>80000</v>
      </c>
      <c r="F540" s="10">
        <v>37347</v>
      </c>
      <c r="G540">
        <v>22</v>
      </c>
      <c r="H540">
        <v>15</v>
      </c>
      <c r="I540" t="s">
        <v>1198</v>
      </c>
    </row>
    <row r="541" spans="1:12" x14ac:dyDescent="0.25">
      <c r="A541" t="s">
        <v>344</v>
      </c>
      <c r="B541" t="s">
        <v>1773</v>
      </c>
      <c r="C541" t="s">
        <v>1225</v>
      </c>
      <c r="D541" s="13">
        <v>80000</v>
      </c>
      <c r="F541" s="10">
        <v>37288</v>
      </c>
      <c r="G541">
        <v>22</v>
      </c>
      <c r="H541">
        <v>15</v>
      </c>
      <c r="I541" t="s">
        <v>1198</v>
      </c>
    </row>
    <row r="542" spans="1:12" x14ac:dyDescent="0.25">
      <c r="A542" t="s">
        <v>344</v>
      </c>
      <c r="B542" t="s">
        <v>1774</v>
      </c>
      <c r="C542" t="s">
        <v>1225</v>
      </c>
      <c r="D542" s="13">
        <v>80000</v>
      </c>
      <c r="F542" s="10">
        <v>37408</v>
      </c>
      <c r="G542">
        <v>22</v>
      </c>
      <c r="H542">
        <v>15</v>
      </c>
      <c r="I542" t="s">
        <v>1198</v>
      </c>
    </row>
    <row r="543" spans="1:12" x14ac:dyDescent="0.25">
      <c r="A543" t="s">
        <v>344</v>
      </c>
      <c r="B543" t="s">
        <v>1775</v>
      </c>
      <c r="C543" t="s">
        <v>1225</v>
      </c>
      <c r="D543" s="13">
        <v>60000</v>
      </c>
      <c r="F543" s="10">
        <v>36434</v>
      </c>
      <c r="G543">
        <v>25</v>
      </c>
      <c r="H543">
        <v>15</v>
      </c>
      <c r="I543" t="s">
        <v>1198</v>
      </c>
    </row>
    <row r="544" spans="1:12" x14ac:dyDescent="0.25">
      <c r="A544" t="s">
        <v>344</v>
      </c>
      <c r="B544" t="s">
        <v>1776</v>
      </c>
      <c r="C544" t="s">
        <v>1222</v>
      </c>
      <c r="D544" s="13">
        <v>42000</v>
      </c>
      <c r="F544" s="10">
        <v>37408</v>
      </c>
      <c r="I544" t="s">
        <v>1198</v>
      </c>
    </row>
    <row r="545" spans="1:12" x14ac:dyDescent="0.25">
      <c r="A545" t="s">
        <v>344</v>
      </c>
      <c r="B545" t="s">
        <v>1777</v>
      </c>
      <c r="C545" t="s">
        <v>1222</v>
      </c>
      <c r="D545" s="13">
        <v>42000</v>
      </c>
      <c r="F545" s="10">
        <v>37500</v>
      </c>
      <c r="I545" t="s">
        <v>1198</v>
      </c>
    </row>
    <row r="546" spans="1:12" x14ac:dyDescent="0.25">
      <c r="A546" t="s">
        <v>344</v>
      </c>
      <c r="B546" t="s">
        <v>1778</v>
      </c>
      <c r="C546" t="s">
        <v>1225</v>
      </c>
      <c r="D546" s="13">
        <v>80000</v>
      </c>
      <c r="F546" s="10">
        <v>37408</v>
      </c>
      <c r="I546" t="s">
        <v>1198</v>
      </c>
    </row>
    <row r="547" spans="1:12" x14ac:dyDescent="0.25">
      <c r="A547" t="s">
        <v>344</v>
      </c>
      <c r="B547" t="s">
        <v>1779</v>
      </c>
      <c r="C547" t="s">
        <v>1225</v>
      </c>
      <c r="I547" t="s">
        <v>1198</v>
      </c>
    </row>
    <row r="548" spans="1:12" x14ac:dyDescent="0.25">
      <c r="A548" t="s">
        <v>344</v>
      </c>
      <c r="B548" t="s">
        <v>1780</v>
      </c>
      <c r="C548" t="s">
        <v>1222</v>
      </c>
      <c r="I548" t="s">
        <v>1198</v>
      </c>
    </row>
    <row r="549" spans="1:12" x14ac:dyDescent="0.25">
      <c r="A549" t="s">
        <v>344</v>
      </c>
      <c r="B549" t="s">
        <v>1781</v>
      </c>
      <c r="C549" t="s">
        <v>1238</v>
      </c>
      <c r="I549" t="s">
        <v>1198</v>
      </c>
    </row>
    <row r="550" spans="1:12" x14ac:dyDescent="0.25">
      <c r="A550" t="s">
        <v>344</v>
      </c>
      <c r="B550" t="s">
        <v>1782</v>
      </c>
      <c r="C550" t="s">
        <v>1238</v>
      </c>
      <c r="I550" t="s">
        <v>1198</v>
      </c>
    </row>
    <row r="551" spans="1:12" x14ac:dyDescent="0.25">
      <c r="A551" t="s">
        <v>863</v>
      </c>
      <c r="B551" t="s">
        <v>1783</v>
      </c>
      <c r="C551" t="s">
        <v>1218</v>
      </c>
      <c r="E551">
        <v>350</v>
      </c>
      <c r="I551" t="s">
        <v>1198</v>
      </c>
      <c r="J551" t="s">
        <v>1219</v>
      </c>
      <c r="K551" t="s">
        <v>1234</v>
      </c>
      <c r="L551">
        <v>4898</v>
      </c>
    </row>
    <row r="552" spans="1:12" x14ac:dyDescent="0.25">
      <c r="A552" t="s">
        <v>863</v>
      </c>
      <c r="B552" t="s">
        <v>1784</v>
      </c>
      <c r="C552" t="s">
        <v>1222</v>
      </c>
      <c r="F552" s="10">
        <v>31048</v>
      </c>
      <c r="G552">
        <v>39</v>
      </c>
      <c r="H552">
        <v>15</v>
      </c>
      <c r="I552" t="s">
        <v>1198</v>
      </c>
    </row>
    <row r="553" spans="1:12" x14ac:dyDescent="0.25">
      <c r="A553" t="s">
        <v>863</v>
      </c>
      <c r="B553" t="s">
        <v>1785</v>
      </c>
      <c r="C553" t="s">
        <v>1238</v>
      </c>
      <c r="F553" s="10">
        <v>35796</v>
      </c>
      <c r="G553">
        <v>26</v>
      </c>
      <c r="H553">
        <v>15</v>
      </c>
      <c r="I553" t="s">
        <v>1198</v>
      </c>
    </row>
    <row r="554" spans="1:12" x14ac:dyDescent="0.25">
      <c r="A554" t="s">
        <v>863</v>
      </c>
      <c r="B554" t="s">
        <v>1786</v>
      </c>
      <c r="C554" t="s">
        <v>1222</v>
      </c>
      <c r="F554" s="10">
        <v>39814</v>
      </c>
      <c r="G554">
        <v>15</v>
      </c>
      <c r="H554">
        <v>15</v>
      </c>
      <c r="I554" t="s">
        <v>1198</v>
      </c>
    </row>
    <row r="555" spans="1:12" x14ac:dyDescent="0.25">
      <c r="A555" t="s">
        <v>863</v>
      </c>
      <c r="B555" t="s">
        <v>1787</v>
      </c>
      <c r="C555" t="s">
        <v>1222</v>
      </c>
      <c r="F555" s="10">
        <v>40909</v>
      </c>
      <c r="G555">
        <v>12</v>
      </c>
      <c r="H555">
        <v>15</v>
      </c>
      <c r="I555" t="s">
        <v>1199</v>
      </c>
    </row>
    <row r="556" spans="1:12" x14ac:dyDescent="0.25">
      <c r="A556" t="s">
        <v>863</v>
      </c>
      <c r="B556" t="s">
        <v>1788</v>
      </c>
      <c r="C556" t="s">
        <v>1222</v>
      </c>
      <c r="I556" t="s">
        <v>1198</v>
      </c>
    </row>
    <row r="557" spans="1:12" x14ac:dyDescent="0.25">
      <c r="A557" t="s">
        <v>863</v>
      </c>
      <c r="B557" t="s">
        <v>1789</v>
      </c>
      <c r="C557" t="s">
        <v>1225</v>
      </c>
      <c r="D557" s="13">
        <v>240000</v>
      </c>
      <c r="F557" s="10">
        <v>31048</v>
      </c>
      <c r="G557">
        <v>39</v>
      </c>
      <c r="H557">
        <v>15</v>
      </c>
      <c r="I557" t="s">
        <v>1198</v>
      </c>
    </row>
    <row r="558" spans="1:12" x14ac:dyDescent="0.25">
      <c r="A558" t="s">
        <v>863</v>
      </c>
      <c r="B558" t="s">
        <v>1790</v>
      </c>
      <c r="C558" t="s">
        <v>1222</v>
      </c>
      <c r="I558" t="s">
        <v>1198</v>
      </c>
    </row>
    <row r="559" spans="1:12" x14ac:dyDescent="0.25">
      <c r="A559" t="s">
        <v>863</v>
      </c>
      <c r="B559" t="s">
        <v>1791</v>
      </c>
      <c r="C559" t="s">
        <v>1225</v>
      </c>
      <c r="F559" s="10">
        <v>39814</v>
      </c>
      <c r="G559">
        <v>15</v>
      </c>
      <c r="H559">
        <v>15</v>
      </c>
      <c r="I559" t="s">
        <v>1198</v>
      </c>
    </row>
    <row r="560" spans="1:12" x14ac:dyDescent="0.25">
      <c r="A560" t="s">
        <v>863</v>
      </c>
      <c r="B560" t="s">
        <v>1792</v>
      </c>
      <c r="C560" t="s">
        <v>1225</v>
      </c>
      <c r="F560" s="10">
        <v>40909</v>
      </c>
      <c r="G560">
        <v>12</v>
      </c>
      <c r="H560">
        <v>15</v>
      </c>
      <c r="I560" t="s">
        <v>1199</v>
      </c>
    </row>
    <row r="561" spans="1:12" x14ac:dyDescent="0.25">
      <c r="A561" t="s">
        <v>863</v>
      </c>
      <c r="B561" t="s">
        <v>1793</v>
      </c>
      <c r="C561" t="s">
        <v>1222</v>
      </c>
      <c r="D561" s="13">
        <v>24000</v>
      </c>
      <c r="F561" s="10">
        <v>31048</v>
      </c>
      <c r="I561" t="s">
        <v>1198</v>
      </c>
    </row>
    <row r="562" spans="1:12" x14ac:dyDescent="0.25">
      <c r="A562" t="s">
        <v>863</v>
      </c>
      <c r="B562" t="s">
        <v>1794</v>
      </c>
      <c r="C562" t="s">
        <v>1225</v>
      </c>
      <c r="D562" s="13">
        <v>24000</v>
      </c>
      <c r="F562" s="10">
        <v>45589</v>
      </c>
      <c r="I562" t="s">
        <v>1198</v>
      </c>
    </row>
    <row r="563" spans="1:12" x14ac:dyDescent="0.25">
      <c r="A563" t="s">
        <v>863</v>
      </c>
      <c r="B563" t="s">
        <v>1795</v>
      </c>
      <c r="C563" t="s">
        <v>1222</v>
      </c>
      <c r="D563" s="13">
        <v>24000</v>
      </c>
      <c r="F563" s="10">
        <v>45611</v>
      </c>
      <c r="I563" t="s">
        <v>1198</v>
      </c>
    </row>
    <row r="564" spans="1:12" x14ac:dyDescent="0.25">
      <c r="A564" t="s">
        <v>362</v>
      </c>
      <c r="B564" t="s">
        <v>1796</v>
      </c>
      <c r="C564" t="s">
        <v>1218</v>
      </c>
      <c r="E564">
        <v>100</v>
      </c>
      <c r="F564" s="10">
        <v>39448</v>
      </c>
      <c r="G564">
        <v>16</v>
      </c>
      <c r="H564">
        <v>25</v>
      </c>
      <c r="I564" t="s">
        <v>1199</v>
      </c>
      <c r="J564" t="s">
        <v>1219</v>
      </c>
      <c r="K564" t="s">
        <v>1220</v>
      </c>
      <c r="L564">
        <v>404.2</v>
      </c>
    </row>
    <row r="565" spans="1:12" x14ac:dyDescent="0.25">
      <c r="A565" t="s">
        <v>362</v>
      </c>
      <c r="B565" t="s">
        <v>1797</v>
      </c>
      <c r="C565" t="s">
        <v>1225</v>
      </c>
      <c r="D565" s="13">
        <v>72000</v>
      </c>
      <c r="I565" t="s">
        <v>1198</v>
      </c>
    </row>
    <row r="566" spans="1:12" x14ac:dyDescent="0.25">
      <c r="A566" t="s">
        <v>362</v>
      </c>
      <c r="B566" t="s">
        <v>1798</v>
      </c>
      <c r="C566" t="s">
        <v>1222</v>
      </c>
      <c r="D566" s="13">
        <v>18000</v>
      </c>
      <c r="I566" t="s">
        <v>1198</v>
      </c>
    </row>
    <row r="567" spans="1:12" x14ac:dyDescent="0.25">
      <c r="A567" t="s">
        <v>362</v>
      </c>
      <c r="B567" t="s">
        <v>1799</v>
      </c>
      <c r="C567" t="s">
        <v>1225</v>
      </c>
      <c r="D567" s="13">
        <v>72000</v>
      </c>
      <c r="I567" t="s">
        <v>1198</v>
      </c>
    </row>
    <row r="568" spans="1:12" x14ac:dyDescent="0.25">
      <c r="A568" t="s">
        <v>362</v>
      </c>
      <c r="B568" t="s">
        <v>1800</v>
      </c>
      <c r="C568" t="s">
        <v>1222</v>
      </c>
      <c r="D568" s="13">
        <v>18000</v>
      </c>
      <c r="F568" s="10">
        <v>35065</v>
      </c>
      <c r="G568">
        <v>28</v>
      </c>
      <c r="H568">
        <v>15</v>
      </c>
      <c r="I568" t="s">
        <v>1198</v>
      </c>
    </row>
    <row r="569" spans="1:12" x14ac:dyDescent="0.25">
      <c r="A569" t="s">
        <v>362</v>
      </c>
      <c r="B569" t="s">
        <v>1801</v>
      </c>
      <c r="C569" t="s">
        <v>1238</v>
      </c>
      <c r="D569" s="13">
        <v>36000</v>
      </c>
      <c r="F569" s="10">
        <v>44550</v>
      </c>
      <c r="G569">
        <v>2</v>
      </c>
      <c r="H569">
        <v>15</v>
      </c>
      <c r="I569" t="s">
        <v>1199</v>
      </c>
    </row>
    <row r="570" spans="1:12" x14ac:dyDescent="0.25">
      <c r="A570" t="s">
        <v>362</v>
      </c>
      <c r="B570" t="s">
        <v>1802</v>
      </c>
      <c r="C570" t="s">
        <v>1225</v>
      </c>
      <c r="D570" s="13">
        <v>80000</v>
      </c>
      <c r="I570" t="s">
        <v>1198</v>
      </c>
    </row>
    <row r="571" spans="1:12" x14ac:dyDescent="0.25">
      <c r="A571" t="s">
        <v>362</v>
      </c>
      <c r="B571" t="s">
        <v>1803</v>
      </c>
      <c r="C571" t="s">
        <v>1222</v>
      </c>
      <c r="D571" s="13">
        <v>80000</v>
      </c>
      <c r="I571" t="s">
        <v>1198</v>
      </c>
    </row>
    <row r="572" spans="1:12" x14ac:dyDescent="0.25">
      <c r="A572" t="s">
        <v>362</v>
      </c>
      <c r="B572" t="s">
        <v>1804</v>
      </c>
      <c r="C572" t="s">
        <v>1225</v>
      </c>
      <c r="D572" s="13">
        <v>60000</v>
      </c>
      <c r="I572" t="s">
        <v>1198</v>
      </c>
    </row>
    <row r="573" spans="1:12" x14ac:dyDescent="0.25">
      <c r="A573" t="s">
        <v>362</v>
      </c>
      <c r="B573" t="s">
        <v>1805</v>
      </c>
      <c r="C573" t="s">
        <v>1222</v>
      </c>
      <c r="F573" s="10">
        <v>44927</v>
      </c>
      <c r="I573" t="s">
        <v>1198</v>
      </c>
    </row>
    <row r="574" spans="1:12" x14ac:dyDescent="0.25">
      <c r="A574" t="s">
        <v>362</v>
      </c>
      <c r="B574" t="s">
        <v>1806</v>
      </c>
      <c r="C574" t="s">
        <v>1218</v>
      </c>
      <c r="E574">
        <v>45</v>
      </c>
      <c r="F574" s="10">
        <v>28703</v>
      </c>
      <c r="I574" t="s">
        <v>1198</v>
      </c>
      <c r="J574" t="s">
        <v>1341</v>
      </c>
      <c r="K574" t="s">
        <v>1342</v>
      </c>
      <c r="L574">
        <v>375.7</v>
      </c>
    </row>
    <row r="575" spans="1:12" x14ac:dyDescent="0.25">
      <c r="A575" t="s">
        <v>128</v>
      </c>
      <c r="B575" t="s">
        <v>1807</v>
      </c>
      <c r="C575" t="s">
        <v>1218</v>
      </c>
      <c r="E575">
        <v>200</v>
      </c>
      <c r="F575" s="10">
        <v>36161</v>
      </c>
      <c r="G575">
        <v>25</v>
      </c>
      <c r="H575">
        <v>25</v>
      </c>
      <c r="I575" t="s">
        <v>1198</v>
      </c>
      <c r="J575" t="s">
        <v>1219</v>
      </c>
      <c r="K575" t="s">
        <v>1234</v>
      </c>
      <c r="L575">
        <v>11.5</v>
      </c>
    </row>
    <row r="576" spans="1:12" x14ac:dyDescent="0.25">
      <c r="A576" t="s">
        <v>128</v>
      </c>
      <c r="B576" t="s">
        <v>1808</v>
      </c>
      <c r="C576" t="s">
        <v>1218</v>
      </c>
      <c r="E576">
        <v>250</v>
      </c>
      <c r="F576" s="10">
        <v>36831</v>
      </c>
      <c r="G576">
        <v>23</v>
      </c>
      <c r="H576">
        <v>25</v>
      </c>
      <c r="I576" t="s">
        <v>1199</v>
      </c>
      <c r="J576" t="s">
        <v>1219</v>
      </c>
      <c r="K576" t="s">
        <v>1234</v>
      </c>
      <c r="L576">
        <v>724.1</v>
      </c>
    </row>
    <row r="577" spans="1:9" x14ac:dyDescent="0.25">
      <c r="A577" t="s">
        <v>128</v>
      </c>
      <c r="B577" t="s">
        <v>1809</v>
      </c>
      <c r="C577" t="s">
        <v>1225</v>
      </c>
      <c r="D577" s="13">
        <v>48000</v>
      </c>
      <c r="F577" s="10">
        <v>34547</v>
      </c>
      <c r="G577">
        <v>30</v>
      </c>
      <c r="H577">
        <v>15</v>
      </c>
      <c r="I577" t="s">
        <v>1198</v>
      </c>
    </row>
    <row r="578" spans="1:9" x14ac:dyDescent="0.25">
      <c r="A578" t="s">
        <v>128</v>
      </c>
      <c r="B578" t="s">
        <v>1810</v>
      </c>
      <c r="C578" t="s">
        <v>1225</v>
      </c>
      <c r="D578" s="13">
        <v>90000</v>
      </c>
      <c r="I578" t="s">
        <v>1198</v>
      </c>
    </row>
    <row r="579" spans="1:9" x14ac:dyDescent="0.25">
      <c r="A579" t="s">
        <v>128</v>
      </c>
      <c r="B579" t="s">
        <v>1811</v>
      </c>
      <c r="C579" t="s">
        <v>1225</v>
      </c>
      <c r="D579" s="13">
        <v>90000</v>
      </c>
      <c r="I579" t="s">
        <v>1198</v>
      </c>
    </row>
    <row r="580" spans="1:9" x14ac:dyDescent="0.25">
      <c r="A580" t="s">
        <v>128</v>
      </c>
      <c r="B580" t="s">
        <v>1812</v>
      </c>
      <c r="C580" t="s">
        <v>1225</v>
      </c>
      <c r="F580" s="10">
        <v>38991</v>
      </c>
      <c r="G580">
        <v>18</v>
      </c>
      <c r="H580">
        <v>15</v>
      </c>
      <c r="I580" t="s">
        <v>1198</v>
      </c>
    </row>
    <row r="581" spans="1:9" x14ac:dyDescent="0.25">
      <c r="A581" t="s">
        <v>128</v>
      </c>
      <c r="B581" t="s">
        <v>1813</v>
      </c>
      <c r="C581" t="s">
        <v>1225</v>
      </c>
      <c r="D581" s="13">
        <v>60000</v>
      </c>
      <c r="F581" s="10">
        <v>37226</v>
      </c>
      <c r="G581">
        <v>22</v>
      </c>
      <c r="H581">
        <v>15</v>
      </c>
      <c r="I581" t="s">
        <v>1198</v>
      </c>
    </row>
    <row r="582" spans="1:9" x14ac:dyDescent="0.25">
      <c r="A582" t="s">
        <v>128</v>
      </c>
      <c r="B582" t="s">
        <v>1814</v>
      </c>
      <c r="C582" t="s">
        <v>1225</v>
      </c>
      <c r="D582" s="13">
        <v>48000</v>
      </c>
      <c r="F582" s="10">
        <v>36192</v>
      </c>
      <c r="G582">
        <v>25</v>
      </c>
      <c r="H582">
        <v>15</v>
      </c>
      <c r="I582" t="s">
        <v>1198</v>
      </c>
    </row>
    <row r="583" spans="1:9" x14ac:dyDescent="0.25">
      <c r="A583" t="s">
        <v>128</v>
      </c>
      <c r="B583" t="s">
        <v>1815</v>
      </c>
      <c r="C583" t="s">
        <v>1225</v>
      </c>
      <c r="D583" s="13">
        <v>30000</v>
      </c>
      <c r="F583" s="10">
        <v>40330</v>
      </c>
      <c r="G583">
        <v>14</v>
      </c>
      <c r="H583">
        <v>15</v>
      </c>
      <c r="I583" t="s">
        <v>1199</v>
      </c>
    </row>
    <row r="584" spans="1:9" x14ac:dyDescent="0.25">
      <c r="A584" t="s">
        <v>128</v>
      </c>
      <c r="B584" t="s">
        <v>1816</v>
      </c>
      <c r="C584" t="s">
        <v>1225</v>
      </c>
      <c r="F584" s="10">
        <v>39845</v>
      </c>
      <c r="G584">
        <v>15</v>
      </c>
      <c r="H584">
        <v>15</v>
      </c>
      <c r="I584" t="s">
        <v>1198</v>
      </c>
    </row>
    <row r="585" spans="1:9" x14ac:dyDescent="0.25">
      <c r="A585" t="s">
        <v>128</v>
      </c>
      <c r="B585" t="s">
        <v>1817</v>
      </c>
      <c r="C585" t="s">
        <v>1225</v>
      </c>
      <c r="D585" s="13">
        <v>18000</v>
      </c>
      <c r="F585" s="10">
        <v>39934</v>
      </c>
      <c r="G585">
        <v>15</v>
      </c>
      <c r="H585">
        <v>15</v>
      </c>
      <c r="I585" t="s">
        <v>1198</v>
      </c>
    </row>
    <row r="586" spans="1:9" x14ac:dyDescent="0.25">
      <c r="A586" t="s">
        <v>128</v>
      </c>
      <c r="B586" t="s">
        <v>1818</v>
      </c>
      <c r="C586" t="s">
        <v>1225</v>
      </c>
      <c r="F586" s="10">
        <v>36892</v>
      </c>
      <c r="G586">
        <v>23</v>
      </c>
      <c r="H586">
        <v>15</v>
      </c>
      <c r="I586" t="s">
        <v>1198</v>
      </c>
    </row>
    <row r="587" spans="1:9" x14ac:dyDescent="0.25">
      <c r="A587" t="s">
        <v>128</v>
      </c>
      <c r="B587" t="s">
        <v>1819</v>
      </c>
      <c r="C587" t="s">
        <v>1225</v>
      </c>
      <c r="D587" s="13">
        <v>48000</v>
      </c>
      <c r="F587" s="10">
        <v>39264</v>
      </c>
      <c r="G587">
        <v>17</v>
      </c>
      <c r="H587">
        <v>15</v>
      </c>
      <c r="I587" t="s">
        <v>1198</v>
      </c>
    </row>
    <row r="588" spans="1:9" x14ac:dyDescent="0.25">
      <c r="A588" t="s">
        <v>128</v>
      </c>
      <c r="B588" t="s">
        <v>1820</v>
      </c>
      <c r="C588" t="s">
        <v>1225</v>
      </c>
      <c r="D588" s="13">
        <v>48000</v>
      </c>
      <c r="F588" s="10">
        <v>32660</v>
      </c>
      <c r="G588">
        <v>35</v>
      </c>
      <c r="H588">
        <v>15</v>
      </c>
      <c r="I588" t="s">
        <v>1198</v>
      </c>
    </row>
    <row r="589" spans="1:9" x14ac:dyDescent="0.25">
      <c r="A589" t="s">
        <v>128</v>
      </c>
      <c r="B589" t="s">
        <v>1821</v>
      </c>
      <c r="C589" t="s">
        <v>1225</v>
      </c>
      <c r="D589" s="13">
        <v>24000</v>
      </c>
      <c r="F589" s="10">
        <v>32478</v>
      </c>
      <c r="G589">
        <v>35</v>
      </c>
      <c r="H589">
        <v>15</v>
      </c>
      <c r="I589" t="s">
        <v>1198</v>
      </c>
    </row>
    <row r="590" spans="1:9" x14ac:dyDescent="0.25">
      <c r="A590" t="s">
        <v>128</v>
      </c>
      <c r="B590" t="s">
        <v>1822</v>
      </c>
      <c r="C590" t="s">
        <v>1225</v>
      </c>
      <c r="D590" s="13">
        <v>48000</v>
      </c>
      <c r="F590" s="10">
        <v>34669</v>
      </c>
      <c r="G590">
        <v>29</v>
      </c>
      <c r="H590">
        <v>15</v>
      </c>
      <c r="I590" t="s">
        <v>1198</v>
      </c>
    </row>
    <row r="591" spans="1:9" x14ac:dyDescent="0.25">
      <c r="A591" t="s">
        <v>128</v>
      </c>
      <c r="B591" t="s">
        <v>1823</v>
      </c>
      <c r="C591" t="s">
        <v>1225</v>
      </c>
      <c r="I591" t="s">
        <v>1198</v>
      </c>
    </row>
    <row r="592" spans="1:9" x14ac:dyDescent="0.25">
      <c r="A592" t="s">
        <v>128</v>
      </c>
      <c r="B592" t="s">
        <v>1824</v>
      </c>
      <c r="C592" t="s">
        <v>1225</v>
      </c>
      <c r="D592" s="13">
        <v>48000</v>
      </c>
      <c r="F592" s="10">
        <v>32478</v>
      </c>
      <c r="G592">
        <v>35</v>
      </c>
      <c r="H592">
        <v>15</v>
      </c>
      <c r="I592" t="s">
        <v>1198</v>
      </c>
    </row>
    <row r="593" spans="1:9" x14ac:dyDescent="0.25">
      <c r="A593" t="s">
        <v>128</v>
      </c>
      <c r="B593" t="s">
        <v>1825</v>
      </c>
      <c r="C593" t="s">
        <v>1225</v>
      </c>
      <c r="D593" s="13">
        <v>60000</v>
      </c>
      <c r="F593" s="10">
        <v>42064</v>
      </c>
      <c r="G593">
        <v>9</v>
      </c>
      <c r="H593">
        <v>15</v>
      </c>
      <c r="I593" t="s">
        <v>1199</v>
      </c>
    </row>
    <row r="594" spans="1:9" x14ac:dyDescent="0.25">
      <c r="A594" t="s">
        <v>128</v>
      </c>
      <c r="B594" t="s">
        <v>1826</v>
      </c>
      <c r="C594" t="s">
        <v>1225</v>
      </c>
      <c r="I594" t="s">
        <v>1198</v>
      </c>
    </row>
    <row r="595" spans="1:9" x14ac:dyDescent="0.25">
      <c r="A595" t="s">
        <v>128</v>
      </c>
      <c r="B595" t="s">
        <v>1827</v>
      </c>
      <c r="C595" t="s">
        <v>1222</v>
      </c>
      <c r="D595" s="13">
        <v>36000</v>
      </c>
      <c r="F595" s="10">
        <v>39083</v>
      </c>
      <c r="I595" t="s">
        <v>1198</v>
      </c>
    </row>
    <row r="596" spans="1:9" x14ac:dyDescent="0.25">
      <c r="A596" t="s">
        <v>128</v>
      </c>
      <c r="B596" t="s">
        <v>1828</v>
      </c>
      <c r="C596" t="s">
        <v>1222</v>
      </c>
      <c r="D596" s="13">
        <v>36000</v>
      </c>
      <c r="F596" s="10">
        <v>34243</v>
      </c>
      <c r="G596">
        <v>31</v>
      </c>
      <c r="H596">
        <v>15</v>
      </c>
      <c r="I596" t="s">
        <v>1198</v>
      </c>
    </row>
    <row r="597" spans="1:9" x14ac:dyDescent="0.25">
      <c r="A597" t="s">
        <v>128</v>
      </c>
      <c r="B597" t="s">
        <v>1829</v>
      </c>
      <c r="C597" t="s">
        <v>1222</v>
      </c>
      <c r="D597" s="13">
        <v>60000</v>
      </c>
      <c r="F597" s="10">
        <v>39814</v>
      </c>
      <c r="G597">
        <v>15</v>
      </c>
      <c r="H597">
        <v>15</v>
      </c>
      <c r="I597" t="s">
        <v>1198</v>
      </c>
    </row>
    <row r="598" spans="1:9" x14ac:dyDescent="0.25">
      <c r="A598" t="s">
        <v>128</v>
      </c>
      <c r="B598" t="s">
        <v>1830</v>
      </c>
      <c r="C598" t="s">
        <v>1222</v>
      </c>
      <c r="D598" s="13">
        <v>3000</v>
      </c>
      <c r="F598" s="10">
        <v>34243</v>
      </c>
      <c r="G598">
        <v>31</v>
      </c>
      <c r="H598">
        <v>15</v>
      </c>
      <c r="I598" t="s">
        <v>1198</v>
      </c>
    </row>
    <row r="599" spans="1:9" x14ac:dyDescent="0.25">
      <c r="A599" t="s">
        <v>128</v>
      </c>
      <c r="B599" t="s">
        <v>1831</v>
      </c>
      <c r="C599" t="s">
        <v>1222</v>
      </c>
      <c r="D599" s="13">
        <v>3000</v>
      </c>
      <c r="F599" s="10">
        <v>34243</v>
      </c>
      <c r="G599">
        <v>31</v>
      </c>
      <c r="H599">
        <v>15</v>
      </c>
      <c r="I599" t="s">
        <v>1198</v>
      </c>
    </row>
    <row r="600" spans="1:9" x14ac:dyDescent="0.25">
      <c r="A600" t="s">
        <v>128</v>
      </c>
      <c r="B600" t="s">
        <v>1832</v>
      </c>
      <c r="C600" t="s">
        <v>1222</v>
      </c>
      <c r="D600" s="13">
        <v>60000</v>
      </c>
      <c r="F600" s="10">
        <v>41640</v>
      </c>
      <c r="G600">
        <v>10</v>
      </c>
      <c r="H600">
        <v>15</v>
      </c>
      <c r="I600" t="s">
        <v>1199</v>
      </c>
    </row>
    <row r="601" spans="1:9" x14ac:dyDescent="0.25">
      <c r="A601" t="s">
        <v>128</v>
      </c>
      <c r="B601" t="s">
        <v>1833</v>
      </c>
      <c r="C601" t="s">
        <v>1222</v>
      </c>
      <c r="D601" s="13">
        <v>90000</v>
      </c>
      <c r="F601" s="10">
        <v>37165</v>
      </c>
      <c r="G601">
        <v>23</v>
      </c>
      <c r="H601">
        <v>15</v>
      </c>
      <c r="I601" t="s">
        <v>1198</v>
      </c>
    </row>
    <row r="602" spans="1:9" x14ac:dyDescent="0.25">
      <c r="A602" t="s">
        <v>128</v>
      </c>
      <c r="B602" t="s">
        <v>1834</v>
      </c>
      <c r="C602" t="s">
        <v>1222</v>
      </c>
      <c r="D602" s="13">
        <v>9000</v>
      </c>
      <c r="F602" s="10">
        <v>37377</v>
      </c>
      <c r="G602">
        <v>22</v>
      </c>
      <c r="H602">
        <v>15</v>
      </c>
      <c r="I602" t="s">
        <v>1198</v>
      </c>
    </row>
    <row r="603" spans="1:9" x14ac:dyDescent="0.25">
      <c r="A603" t="s">
        <v>128</v>
      </c>
      <c r="B603" t="s">
        <v>1835</v>
      </c>
      <c r="C603" t="s">
        <v>1222</v>
      </c>
      <c r="D603" s="13">
        <v>18000</v>
      </c>
      <c r="I603" t="s">
        <v>1198</v>
      </c>
    </row>
    <row r="604" spans="1:9" x14ac:dyDescent="0.25">
      <c r="A604" t="s">
        <v>128</v>
      </c>
      <c r="B604" t="s">
        <v>1836</v>
      </c>
      <c r="C604" t="s">
        <v>1222</v>
      </c>
      <c r="D604" s="13">
        <v>24000</v>
      </c>
      <c r="F604" s="10">
        <v>39934</v>
      </c>
      <c r="G604">
        <v>15</v>
      </c>
      <c r="H604">
        <v>15</v>
      </c>
      <c r="I604" t="s">
        <v>1198</v>
      </c>
    </row>
    <row r="605" spans="1:9" x14ac:dyDescent="0.25">
      <c r="A605" t="s">
        <v>128</v>
      </c>
      <c r="B605" t="s">
        <v>1837</v>
      </c>
      <c r="C605" t="s">
        <v>1222</v>
      </c>
      <c r="F605" s="10">
        <v>36861</v>
      </c>
      <c r="G605">
        <v>23</v>
      </c>
      <c r="H605">
        <v>15</v>
      </c>
      <c r="I605" t="s">
        <v>1198</v>
      </c>
    </row>
    <row r="606" spans="1:9" x14ac:dyDescent="0.25">
      <c r="A606" t="s">
        <v>128</v>
      </c>
      <c r="B606" t="s">
        <v>1838</v>
      </c>
      <c r="C606" t="s">
        <v>1222</v>
      </c>
      <c r="D606" s="13">
        <v>48000</v>
      </c>
      <c r="F606" s="10">
        <v>37165</v>
      </c>
      <c r="G606">
        <v>23</v>
      </c>
      <c r="H606">
        <v>15</v>
      </c>
      <c r="I606" t="s">
        <v>1198</v>
      </c>
    </row>
    <row r="607" spans="1:9" x14ac:dyDescent="0.25">
      <c r="A607" t="s">
        <v>128</v>
      </c>
      <c r="B607" t="s">
        <v>1839</v>
      </c>
      <c r="C607" t="s">
        <v>1222</v>
      </c>
      <c r="D607" s="13">
        <v>30000</v>
      </c>
      <c r="F607" s="10">
        <v>40513</v>
      </c>
      <c r="G607">
        <v>13</v>
      </c>
      <c r="H607">
        <v>15</v>
      </c>
      <c r="I607" t="s">
        <v>1199</v>
      </c>
    </row>
    <row r="608" spans="1:9" x14ac:dyDescent="0.25">
      <c r="A608" t="s">
        <v>128</v>
      </c>
      <c r="B608" t="s">
        <v>1840</v>
      </c>
      <c r="C608" t="s">
        <v>1222</v>
      </c>
      <c r="F608" s="10">
        <v>32782</v>
      </c>
      <c r="G608">
        <v>35</v>
      </c>
      <c r="H608">
        <v>15</v>
      </c>
      <c r="I608" t="s">
        <v>1198</v>
      </c>
    </row>
    <row r="609" spans="1:9" x14ac:dyDescent="0.25">
      <c r="A609" t="s">
        <v>128</v>
      </c>
      <c r="B609" t="s">
        <v>1841</v>
      </c>
      <c r="C609" t="s">
        <v>1222</v>
      </c>
      <c r="D609" s="13">
        <v>60000</v>
      </c>
      <c r="F609" s="10">
        <v>37469</v>
      </c>
      <c r="G609">
        <v>22</v>
      </c>
      <c r="H609">
        <v>15</v>
      </c>
      <c r="I609" t="s">
        <v>1198</v>
      </c>
    </row>
    <row r="610" spans="1:9" x14ac:dyDescent="0.25">
      <c r="A610" t="s">
        <v>128</v>
      </c>
      <c r="B610" t="s">
        <v>1842</v>
      </c>
      <c r="C610" t="s">
        <v>1222</v>
      </c>
      <c r="D610" s="13">
        <v>60000</v>
      </c>
      <c r="F610" s="10">
        <v>37469</v>
      </c>
      <c r="G610">
        <v>22</v>
      </c>
      <c r="H610">
        <v>15</v>
      </c>
      <c r="I610" t="s">
        <v>1198</v>
      </c>
    </row>
    <row r="611" spans="1:9" x14ac:dyDescent="0.25">
      <c r="A611" t="s">
        <v>128</v>
      </c>
      <c r="B611" t="s">
        <v>1843</v>
      </c>
      <c r="C611" t="s">
        <v>1222</v>
      </c>
      <c r="D611" s="13">
        <v>60000</v>
      </c>
      <c r="I611" t="s">
        <v>1198</v>
      </c>
    </row>
    <row r="612" spans="1:9" x14ac:dyDescent="0.25">
      <c r="A612" t="s">
        <v>128</v>
      </c>
      <c r="B612" t="s">
        <v>1844</v>
      </c>
      <c r="C612" t="s">
        <v>1222</v>
      </c>
      <c r="D612" s="13">
        <v>60000</v>
      </c>
      <c r="I612" t="s">
        <v>1198</v>
      </c>
    </row>
    <row r="613" spans="1:9" x14ac:dyDescent="0.25">
      <c r="A613" t="s">
        <v>128</v>
      </c>
      <c r="B613" t="s">
        <v>1845</v>
      </c>
      <c r="C613" t="s">
        <v>1238</v>
      </c>
      <c r="D613" s="13">
        <v>36000</v>
      </c>
      <c r="I613" t="s">
        <v>1198</v>
      </c>
    </row>
    <row r="614" spans="1:9" x14ac:dyDescent="0.25">
      <c r="A614" t="s">
        <v>128</v>
      </c>
      <c r="B614" t="s">
        <v>1846</v>
      </c>
      <c r="C614" t="s">
        <v>1225</v>
      </c>
      <c r="D614" s="13">
        <v>90000</v>
      </c>
      <c r="F614" s="10">
        <v>43217</v>
      </c>
      <c r="G614">
        <v>6</v>
      </c>
      <c r="H614">
        <v>15</v>
      </c>
      <c r="I614" t="s">
        <v>1199</v>
      </c>
    </row>
    <row r="615" spans="1:9" x14ac:dyDescent="0.25">
      <c r="A615" t="s">
        <v>128</v>
      </c>
      <c r="B615" t="s">
        <v>1847</v>
      </c>
      <c r="C615" t="s">
        <v>1222</v>
      </c>
      <c r="D615" s="13">
        <v>90000</v>
      </c>
      <c r="F615" s="10">
        <v>43217</v>
      </c>
      <c r="G615">
        <v>6</v>
      </c>
      <c r="H615">
        <v>15</v>
      </c>
      <c r="I615" t="s">
        <v>1199</v>
      </c>
    </row>
    <row r="616" spans="1:9" x14ac:dyDescent="0.25">
      <c r="A616" t="s">
        <v>128</v>
      </c>
      <c r="B616" t="s">
        <v>1848</v>
      </c>
      <c r="C616" t="s">
        <v>1225</v>
      </c>
      <c r="D616" s="13">
        <v>60000</v>
      </c>
      <c r="F616" s="10">
        <v>43252</v>
      </c>
      <c r="G616">
        <v>6</v>
      </c>
      <c r="H616">
        <v>15</v>
      </c>
      <c r="I616" t="s">
        <v>1199</v>
      </c>
    </row>
    <row r="617" spans="1:9" x14ac:dyDescent="0.25">
      <c r="A617" t="s">
        <v>128</v>
      </c>
      <c r="B617" t="s">
        <v>1849</v>
      </c>
      <c r="C617" t="s">
        <v>1222</v>
      </c>
      <c r="D617" s="13">
        <v>60000</v>
      </c>
      <c r="F617" s="10">
        <v>43252</v>
      </c>
      <c r="G617">
        <v>6</v>
      </c>
      <c r="H617">
        <v>15</v>
      </c>
      <c r="I617" t="s">
        <v>1199</v>
      </c>
    </row>
    <row r="618" spans="1:9" x14ac:dyDescent="0.25">
      <c r="A618" t="s">
        <v>128</v>
      </c>
      <c r="B618" t="s">
        <v>1850</v>
      </c>
      <c r="C618" t="s">
        <v>1222</v>
      </c>
      <c r="D618" s="13">
        <v>60000</v>
      </c>
      <c r="F618" s="10">
        <v>43494</v>
      </c>
      <c r="G618">
        <v>5</v>
      </c>
      <c r="H618">
        <v>15</v>
      </c>
      <c r="I618" t="s">
        <v>1199</v>
      </c>
    </row>
    <row r="619" spans="1:9" x14ac:dyDescent="0.25">
      <c r="A619" t="s">
        <v>128</v>
      </c>
      <c r="B619" t="s">
        <v>1851</v>
      </c>
      <c r="C619" t="s">
        <v>1225</v>
      </c>
      <c r="D619" s="13">
        <v>60000</v>
      </c>
      <c r="F619" s="10">
        <v>43617</v>
      </c>
      <c r="G619">
        <v>5</v>
      </c>
      <c r="H619">
        <v>15</v>
      </c>
      <c r="I619" t="s">
        <v>1199</v>
      </c>
    </row>
    <row r="620" spans="1:9" x14ac:dyDescent="0.25">
      <c r="A620" t="s">
        <v>128</v>
      </c>
      <c r="B620" t="s">
        <v>1852</v>
      </c>
      <c r="C620" t="s">
        <v>1222</v>
      </c>
      <c r="D620" s="13">
        <v>60000</v>
      </c>
      <c r="F620" s="10">
        <v>43617</v>
      </c>
      <c r="G620">
        <v>5</v>
      </c>
      <c r="H620">
        <v>15</v>
      </c>
      <c r="I620" t="s">
        <v>1199</v>
      </c>
    </row>
    <row r="621" spans="1:9" x14ac:dyDescent="0.25">
      <c r="A621" t="s">
        <v>128</v>
      </c>
      <c r="B621" t="s">
        <v>1853</v>
      </c>
      <c r="C621" t="s">
        <v>1225</v>
      </c>
      <c r="D621" s="13">
        <v>60000</v>
      </c>
      <c r="F621" s="10">
        <v>37347</v>
      </c>
      <c r="I621" t="s">
        <v>1198</v>
      </c>
    </row>
    <row r="622" spans="1:9" x14ac:dyDescent="0.25">
      <c r="A622" t="s">
        <v>128</v>
      </c>
      <c r="B622" t="s">
        <v>1854</v>
      </c>
      <c r="C622" t="s">
        <v>1222</v>
      </c>
      <c r="D622" s="13">
        <v>60000</v>
      </c>
      <c r="F622" s="10">
        <v>37226</v>
      </c>
      <c r="I622" t="s">
        <v>1198</v>
      </c>
    </row>
    <row r="623" spans="1:9" x14ac:dyDescent="0.25">
      <c r="A623" t="s">
        <v>128</v>
      </c>
      <c r="B623" t="s">
        <v>1855</v>
      </c>
      <c r="C623" t="s">
        <v>1225</v>
      </c>
      <c r="I623" t="s">
        <v>1198</v>
      </c>
    </row>
    <row r="624" spans="1:9" x14ac:dyDescent="0.25">
      <c r="A624" t="s">
        <v>181</v>
      </c>
      <c r="B624" t="s">
        <v>1856</v>
      </c>
      <c r="C624" t="s">
        <v>1296</v>
      </c>
      <c r="F624" s="10">
        <v>34943</v>
      </c>
      <c r="G624">
        <v>29</v>
      </c>
      <c r="H624">
        <v>15</v>
      </c>
      <c r="I624" t="s">
        <v>1198</v>
      </c>
    </row>
    <row r="625" spans="1:12" x14ac:dyDescent="0.25">
      <c r="A625" t="s">
        <v>181</v>
      </c>
      <c r="B625" t="s">
        <v>1857</v>
      </c>
      <c r="C625" t="s">
        <v>1222</v>
      </c>
      <c r="D625" s="13">
        <v>120000</v>
      </c>
      <c r="F625" s="10">
        <v>39450</v>
      </c>
      <c r="G625">
        <v>16</v>
      </c>
      <c r="H625">
        <v>15</v>
      </c>
      <c r="I625" t="s">
        <v>1198</v>
      </c>
    </row>
    <row r="626" spans="1:12" x14ac:dyDescent="0.25">
      <c r="A626" t="s">
        <v>181</v>
      </c>
      <c r="B626" t="s">
        <v>1858</v>
      </c>
      <c r="C626" t="s">
        <v>1296</v>
      </c>
      <c r="D626" s="13">
        <v>120000</v>
      </c>
      <c r="F626" s="10">
        <v>39085</v>
      </c>
      <c r="G626">
        <v>17</v>
      </c>
      <c r="H626">
        <v>15</v>
      </c>
      <c r="I626" t="s">
        <v>1198</v>
      </c>
    </row>
    <row r="627" spans="1:12" x14ac:dyDescent="0.25">
      <c r="A627" t="s">
        <v>181</v>
      </c>
      <c r="B627" t="s">
        <v>1859</v>
      </c>
      <c r="C627" t="s">
        <v>1218</v>
      </c>
      <c r="E627">
        <v>200</v>
      </c>
      <c r="I627" t="s">
        <v>1198</v>
      </c>
      <c r="J627" t="s">
        <v>1219</v>
      </c>
      <c r="K627" t="s">
        <v>1220</v>
      </c>
      <c r="L627">
        <v>1757</v>
      </c>
    </row>
    <row r="628" spans="1:12" x14ac:dyDescent="0.25">
      <c r="A628" t="s">
        <v>181</v>
      </c>
      <c r="B628" t="s">
        <v>1860</v>
      </c>
      <c r="C628" t="s">
        <v>1296</v>
      </c>
      <c r="D628" s="13">
        <v>240000</v>
      </c>
      <c r="F628" s="10">
        <v>34943</v>
      </c>
      <c r="G628">
        <v>29</v>
      </c>
      <c r="H628">
        <v>15</v>
      </c>
      <c r="I628" t="s">
        <v>1198</v>
      </c>
    </row>
    <row r="629" spans="1:12" x14ac:dyDescent="0.25">
      <c r="A629" t="s">
        <v>181</v>
      </c>
      <c r="B629" t="s">
        <v>1861</v>
      </c>
      <c r="C629" t="s">
        <v>1296</v>
      </c>
      <c r="D629" s="13">
        <v>150000</v>
      </c>
      <c r="F629" s="10">
        <v>32964</v>
      </c>
      <c r="G629">
        <v>34</v>
      </c>
      <c r="H629">
        <v>15</v>
      </c>
      <c r="I629" t="s">
        <v>1198</v>
      </c>
    </row>
    <row r="630" spans="1:12" x14ac:dyDescent="0.25">
      <c r="A630" t="s">
        <v>181</v>
      </c>
      <c r="B630" t="s">
        <v>1862</v>
      </c>
      <c r="C630" t="s">
        <v>1296</v>
      </c>
      <c r="D630" s="13">
        <v>150000</v>
      </c>
      <c r="F630" s="10">
        <v>32876</v>
      </c>
      <c r="G630">
        <v>34</v>
      </c>
      <c r="H630">
        <v>15</v>
      </c>
      <c r="I630" t="s">
        <v>1198</v>
      </c>
    </row>
    <row r="631" spans="1:12" x14ac:dyDescent="0.25">
      <c r="A631" t="s">
        <v>181</v>
      </c>
      <c r="B631" t="s">
        <v>1863</v>
      </c>
      <c r="C631" t="s">
        <v>1225</v>
      </c>
      <c r="D631" s="13">
        <v>150000</v>
      </c>
      <c r="F631" s="10">
        <v>32876</v>
      </c>
      <c r="G631">
        <v>34</v>
      </c>
      <c r="H631">
        <v>15</v>
      </c>
      <c r="I631" t="s">
        <v>1198</v>
      </c>
    </row>
    <row r="632" spans="1:12" x14ac:dyDescent="0.25">
      <c r="A632" t="s">
        <v>181</v>
      </c>
      <c r="B632" t="s">
        <v>1864</v>
      </c>
      <c r="C632" t="s">
        <v>1296</v>
      </c>
      <c r="F632" s="10">
        <v>36528</v>
      </c>
      <c r="G632">
        <v>24</v>
      </c>
      <c r="H632">
        <v>15</v>
      </c>
      <c r="I632" t="s">
        <v>1198</v>
      </c>
    </row>
    <row r="633" spans="1:12" x14ac:dyDescent="0.25">
      <c r="A633" t="s">
        <v>181</v>
      </c>
      <c r="B633" t="s">
        <v>1865</v>
      </c>
      <c r="C633" t="s">
        <v>1225</v>
      </c>
      <c r="F633" s="10">
        <v>43468</v>
      </c>
      <c r="G633">
        <v>5</v>
      </c>
      <c r="H633">
        <v>15</v>
      </c>
      <c r="I633" t="s">
        <v>1199</v>
      </c>
    </row>
    <row r="634" spans="1:12" x14ac:dyDescent="0.25">
      <c r="A634" t="s">
        <v>181</v>
      </c>
      <c r="B634" t="s">
        <v>1866</v>
      </c>
      <c r="C634" t="s">
        <v>1296</v>
      </c>
      <c r="F634" s="10">
        <v>43103</v>
      </c>
      <c r="G634">
        <v>6</v>
      </c>
      <c r="H634">
        <v>15</v>
      </c>
      <c r="I634" t="s">
        <v>1199</v>
      </c>
    </row>
    <row r="635" spans="1:12" x14ac:dyDescent="0.25">
      <c r="A635" t="s">
        <v>181</v>
      </c>
      <c r="B635" t="s">
        <v>1867</v>
      </c>
      <c r="C635" t="s">
        <v>1222</v>
      </c>
      <c r="F635" s="10">
        <v>43468</v>
      </c>
      <c r="G635">
        <v>0</v>
      </c>
      <c r="H635">
        <v>15</v>
      </c>
      <c r="I635" t="s">
        <v>1199</v>
      </c>
    </row>
    <row r="636" spans="1:12" x14ac:dyDescent="0.25">
      <c r="A636" t="s">
        <v>181</v>
      </c>
      <c r="B636" t="s">
        <v>1868</v>
      </c>
      <c r="C636" t="s">
        <v>1296</v>
      </c>
      <c r="F636" s="10">
        <v>44929</v>
      </c>
      <c r="G636">
        <v>1</v>
      </c>
      <c r="H636">
        <v>15</v>
      </c>
      <c r="I636" t="s">
        <v>1199</v>
      </c>
    </row>
    <row r="637" spans="1:12" x14ac:dyDescent="0.25">
      <c r="A637" t="s">
        <v>181</v>
      </c>
      <c r="B637" t="s">
        <v>1869</v>
      </c>
      <c r="C637" t="s">
        <v>1296</v>
      </c>
      <c r="F637" s="10">
        <v>44929</v>
      </c>
      <c r="G637">
        <v>1</v>
      </c>
      <c r="H637">
        <v>15</v>
      </c>
      <c r="I637" t="s">
        <v>1199</v>
      </c>
    </row>
    <row r="638" spans="1:12" x14ac:dyDescent="0.25">
      <c r="A638" t="s">
        <v>181</v>
      </c>
      <c r="B638" t="s">
        <v>1870</v>
      </c>
      <c r="C638" t="s">
        <v>1296</v>
      </c>
      <c r="I638" t="s">
        <v>1198</v>
      </c>
    </row>
    <row r="639" spans="1:12" x14ac:dyDescent="0.25">
      <c r="A639" t="s">
        <v>181</v>
      </c>
      <c r="B639" t="s">
        <v>1871</v>
      </c>
      <c r="C639" t="s">
        <v>1296</v>
      </c>
      <c r="F639" s="10">
        <v>43468</v>
      </c>
      <c r="G639">
        <v>5</v>
      </c>
      <c r="H639">
        <v>15</v>
      </c>
      <c r="I639" t="s">
        <v>1199</v>
      </c>
    </row>
    <row r="640" spans="1:12" x14ac:dyDescent="0.25">
      <c r="A640" t="s">
        <v>181</v>
      </c>
      <c r="B640" t="s">
        <v>1872</v>
      </c>
      <c r="C640" t="s">
        <v>1296</v>
      </c>
      <c r="F640" s="10">
        <v>43468</v>
      </c>
      <c r="G640">
        <v>5</v>
      </c>
      <c r="H640">
        <v>15</v>
      </c>
      <c r="I640" t="s">
        <v>1199</v>
      </c>
    </row>
    <row r="641" spans="1:12" x14ac:dyDescent="0.25">
      <c r="A641" t="s">
        <v>181</v>
      </c>
      <c r="B641" t="s">
        <v>1873</v>
      </c>
      <c r="C641" t="s">
        <v>1222</v>
      </c>
      <c r="D641" s="13">
        <v>120000</v>
      </c>
      <c r="I641" t="s">
        <v>1198</v>
      </c>
    </row>
    <row r="642" spans="1:12" x14ac:dyDescent="0.25">
      <c r="A642" t="s">
        <v>181</v>
      </c>
      <c r="B642" t="s">
        <v>1874</v>
      </c>
      <c r="C642" t="s">
        <v>1296</v>
      </c>
      <c r="D642" s="13">
        <v>120000</v>
      </c>
      <c r="F642" s="10">
        <v>46002</v>
      </c>
      <c r="I642" t="s">
        <v>1198</v>
      </c>
    </row>
    <row r="643" spans="1:12" x14ac:dyDescent="0.25">
      <c r="A643" t="s">
        <v>39</v>
      </c>
      <c r="B643" t="s">
        <v>1875</v>
      </c>
      <c r="C643" t="s">
        <v>1218</v>
      </c>
      <c r="E643">
        <v>100</v>
      </c>
      <c r="F643" s="10">
        <v>42221</v>
      </c>
      <c r="G643">
        <v>9</v>
      </c>
      <c r="H643">
        <v>25</v>
      </c>
      <c r="I643" t="s">
        <v>1199</v>
      </c>
      <c r="J643" t="s">
        <v>1219</v>
      </c>
      <c r="K643" t="s">
        <v>1220</v>
      </c>
      <c r="L643">
        <v>143.80000000000001</v>
      </c>
    </row>
    <row r="644" spans="1:12" x14ac:dyDescent="0.25">
      <c r="A644" t="s">
        <v>39</v>
      </c>
      <c r="B644" t="s">
        <v>1876</v>
      </c>
      <c r="C644" t="s">
        <v>1238</v>
      </c>
      <c r="D644" s="13">
        <v>42000</v>
      </c>
      <c r="F644" s="10">
        <v>35065</v>
      </c>
      <c r="G644">
        <v>28</v>
      </c>
      <c r="H644">
        <v>15</v>
      </c>
      <c r="I644" t="s">
        <v>1198</v>
      </c>
    </row>
    <row r="645" spans="1:12" x14ac:dyDescent="0.25">
      <c r="A645" t="s">
        <v>39</v>
      </c>
      <c r="B645" t="s">
        <v>1877</v>
      </c>
      <c r="C645" t="s">
        <v>1225</v>
      </c>
      <c r="D645" s="13">
        <v>60000</v>
      </c>
      <c r="F645" s="10">
        <v>41852</v>
      </c>
      <c r="G645">
        <v>10</v>
      </c>
      <c r="H645">
        <v>15</v>
      </c>
      <c r="I645" t="s">
        <v>1199</v>
      </c>
    </row>
    <row r="646" spans="1:12" x14ac:dyDescent="0.25">
      <c r="A646" t="s">
        <v>39</v>
      </c>
      <c r="B646" t="s">
        <v>1878</v>
      </c>
      <c r="C646" t="s">
        <v>1225</v>
      </c>
      <c r="D646" s="13">
        <v>75000</v>
      </c>
      <c r="F646" s="10">
        <v>41944</v>
      </c>
      <c r="G646">
        <v>9</v>
      </c>
      <c r="H646">
        <v>15</v>
      </c>
      <c r="I646" t="s">
        <v>1199</v>
      </c>
    </row>
    <row r="647" spans="1:12" x14ac:dyDescent="0.25">
      <c r="A647" t="s">
        <v>39</v>
      </c>
      <c r="B647" t="s">
        <v>1879</v>
      </c>
      <c r="C647" t="s">
        <v>1225</v>
      </c>
      <c r="D647" s="13">
        <v>125000</v>
      </c>
      <c r="F647" s="10">
        <v>41852</v>
      </c>
      <c r="G647">
        <v>10</v>
      </c>
      <c r="H647">
        <v>15</v>
      </c>
      <c r="I647" t="s">
        <v>1199</v>
      </c>
    </row>
    <row r="648" spans="1:12" x14ac:dyDescent="0.25">
      <c r="A648" t="s">
        <v>39</v>
      </c>
      <c r="B648" t="s">
        <v>1880</v>
      </c>
      <c r="C648" t="s">
        <v>1222</v>
      </c>
      <c r="D648" s="13">
        <v>60000</v>
      </c>
      <c r="F648" s="10">
        <v>42125</v>
      </c>
      <c r="G648">
        <v>9</v>
      </c>
      <c r="H648">
        <v>15</v>
      </c>
      <c r="I648" t="s">
        <v>1199</v>
      </c>
    </row>
    <row r="649" spans="1:12" x14ac:dyDescent="0.25">
      <c r="A649" t="s">
        <v>39</v>
      </c>
      <c r="B649" t="s">
        <v>1881</v>
      </c>
      <c r="C649" t="s">
        <v>1222</v>
      </c>
      <c r="D649" s="13">
        <v>36000</v>
      </c>
      <c r="F649" s="10">
        <v>42095</v>
      </c>
      <c r="G649">
        <v>9</v>
      </c>
      <c r="H649">
        <v>15</v>
      </c>
      <c r="I649" t="s">
        <v>1199</v>
      </c>
    </row>
    <row r="650" spans="1:12" x14ac:dyDescent="0.25">
      <c r="A650" t="s">
        <v>39</v>
      </c>
      <c r="B650" t="s">
        <v>1882</v>
      </c>
      <c r="C650" t="s">
        <v>1222</v>
      </c>
      <c r="D650" s="13">
        <v>60000</v>
      </c>
      <c r="F650" s="10">
        <v>42125</v>
      </c>
      <c r="G650">
        <v>9</v>
      </c>
      <c r="H650">
        <v>15</v>
      </c>
      <c r="I650" t="s">
        <v>1199</v>
      </c>
    </row>
    <row r="651" spans="1:12" x14ac:dyDescent="0.25">
      <c r="A651" t="s">
        <v>39</v>
      </c>
      <c r="B651" t="s">
        <v>1883</v>
      </c>
      <c r="C651" t="s">
        <v>1222</v>
      </c>
      <c r="D651" s="13">
        <v>60000</v>
      </c>
      <c r="F651" s="10">
        <v>41944</v>
      </c>
      <c r="G651">
        <v>9</v>
      </c>
      <c r="H651">
        <v>15</v>
      </c>
      <c r="I651" t="s">
        <v>1199</v>
      </c>
    </row>
    <row r="652" spans="1:12" x14ac:dyDescent="0.25">
      <c r="A652" t="s">
        <v>39</v>
      </c>
      <c r="B652" t="s">
        <v>1884</v>
      </c>
      <c r="C652" t="s">
        <v>1296</v>
      </c>
      <c r="D652" s="13">
        <v>120000</v>
      </c>
      <c r="F652" s="10">
        <v>38718</v>
      </c>
      <c r="G652">
        <v>18</v>
      </c>
      <c r="H652">
        <v>15</v>
      </c>
      <c r="I652" t="s">
        <v>1198</v>
      </c>
    </row>
    <row r="653" spans="1:12" x14ac:dyDescent="0.25">
      <c r="A653" t="s">
        <v>39</v>
      </c>
      <c r="B653" t="s">
        <v>1885</v>
      </c>
      <c r="C653" t="s">
        <v>1296</v>
      </c>
      <c r="D653" s="13">
        <v>150000</v>
      </c>
      <c r="F653" s="10">
        <v>44094</v>
      </c>
      <c r="G653">
        <v>4</v>
      </c>
      <c r="H653">
        <v>15</v>
      </c>
      <c r="I653" t="s">
        <v>1199</v>
      </c>
    </row>
    <row r="654" spans="1:12" x14ac:dyDescent="0.25">
      <c r="A654" t="s">
        <v>39</v>
      </c>
      <c r="B654" t="s">
        <v>1886</v>
      </c>
      <c r="C654" t="s">
        <v>1238</v>
      </c>
      <c r="D654" s="13">
        <v>42000</v>
      </c>
      <c r="F654" s="10">
        <v>44390</v>
      </c>
      <c r="G654">
        <v>3</v>
      </c>
      <c r="H654">
        <v>15</v>
      </c>
      <c r="I654" t="s">
        <v>1199</v>
      </c>
    </row>
    <row r="655" spans="1:12" x14ac:dyDescent="0.25">
      <c r="A655" t="s">
        <v>39</v>
      </c>
      <c r="B655" t="s">
        <v>1887</v>
      </c>
      <c r="C655" t="s">
        <v>1296</v>
      </c>
      <c r="I655" t="s">
        <v>1198</v>
      </c>
    </row>
    <row r="656" spans="1:12" x14ac:dyDescent="0.25">
      <c r="A656" t="s">
        <v>39</v>
      </c>
      <c r="B656" t="s">
        <v>1888</v>
      </c>
      <c r="C656" t="s">
        <v>1238</v>
      </c>
      <c r="D656" s="13">
        <v>42000</v>
      </c>
      <c r="I656" t="s">
        <v>1198</v>
      </c>
    </row>
    <row r="657" spans="1:12" x14ac:dyDescent="0.25">
      <c r="A657" t="s">
        <v>39</v>
      </c>
      <c r="B657" t="s">
        <v>1889</v>
      </c>
      <c r="C657" t="s">
        <v>1225</v>
      </c>
      <c r="D657" s="13">
        <v>60000</v>
      </c>
      <c r="I657" t="s">
        <v>1198</v>
      </c>
    </row>
    <row r="658" spans="1:12" x14ac:dyDescent="0.25">
      <c r="A658" t="s">
        <v>708</v>
      </c>
      <c r="B658" t="s">
        <v>1890</v>
      </c>
      <c r="C658" t="s">
        <v>1218</v>
      </c>
      <c r="E658">
        <v>75</v>
      </c>
      <c r="I658" t="s">
        <v>1198</v>
      </c>
      <c r="J658" t="s">
        <v>1219</v>
      </c>
      <c r="K658" t="s">
        <v>1234</v>
      </c>
      <c r="L658">
        <v>1456.7</v>
      </c>
    </row>
    <row r="659" spans="1:12" x14ac:dyDescent="0.25">
      <c r="A659" t="s">
        <v>708</v>
      </c>
      <c r="B659" t="s">
        <v>1891</v>
      </c>
      <c r="C659" t="s">
        <v>1222</v>
      </c>
      <c r="D659" s="13">
        <v>90000</v>
      </c>
      <c r="F659" s="10">
        <v>38353</v>
      </c>
      <c r="G659">
        <v>19</v>
      </c>
      <c r="H659">
        <v>15</v>
      </c>
      <c r="I659" t="s">
        <v>1198</v>
      </c>
    </row>
    <row r="660" spans="1:12" x14ac:dyDescent="0.25">
      <c r="A660" t="s">
        <v>708</v>
      </c>
      <c r="B660" t="s">
        <v>1892</v>
      </c>
      <c r="C660" t="s">
        <v>1225</v>
      </c>
      <c r="F660" s="10">
        <v>38353</v>
      </c>
      <c r="G660">
        <v>19</v>
      </c>
      <c r="H660">
        <v>15</v>
      </c>
      <c r="I660" t="s">
        <v>1198</v>
      </c>
    </row>
    <row r="661" spans="1:12" x14ac:dyDescent="0.25">
      <c r="A661" t="s">
        <v>708</v>
      </c>
      <c r="B661" t="s">
        <v>1893</v>
      </c>
      <c r="C661" t="s">
        <v>1225</v>
      </c>
      <c r="F661" s="10">
        <v>37257</v>
      </c>
      <c r="G661">
        <v>22</v>
      </c>
      <c r="H661">
        <v>15</v>
      </c>
      <c r="I661" t="s">
        <v>1198</v>
      </c>
    </row>
    <row r="662" spans="1:12" x14ac:dyDescent="0.25">
      <c r="A662" t="s">
        <v>708</v>
      </c>
      <c r="B662" t="s">
        <v>1894</v>
      </c>
      <c r="C662" t="s">
        <v>1222</v>
      </c>
      <c r="D662" s="13">
        <v>60000</v>
      </c>
      <c r="F662" s="10">
        <v>30317</v>
      </c>
      <c r="G662">
        <v>41</v>
      </c>
      <c r="H662">
        <v>15</v>
      </c>
      <c r="I662" t="s">
        <v>1198</v>
      </c>
    </row>
    <row r="663" spans="1:12" x14ac:dyDescent="0.25">
      <c r="A663" t="s">
        <v>708</v>
      </c>
      <c r="B663" t="s">
        <v>1895</v>
      </c>
      <c r="C663" t="s">
        <v>1225</v>
      </c>
      <c r="F663" s="10">
        <v>30317</v>
      </c>
      <c r="G663">
        <v>41</v>
      </c>
      <c r="H663">
        <v>15</v>
      </c>
      <c r="I663" t="s">
        <v>1198</v>
      </c>
    </row>
    <row r="664" spans="1:12" x14ac:dyDescent="0.25">
      <c r="A664" t="s">
        <v>708</v>
      </c>
      <c r="B664" t="s">
        <v>1896</v>
      </c>
      <c r="C664" t="s">
        <v>1225</v>
      </c>
      <c r="D664" s="13">
        <v>36000</v>
      </c>
      <c r="F664" s="10">
        <v>38353</v>
      </c>
      <c r="G664">
        <v>19</v>
      </c>
      <c r="H664">
        <v>15</v>
      </c>
      <c r="I664" t="s">
        <v>1198</v>
      </c>
    </row>
    <row r="665" spans="1:12" x14ac:dyDescent="0.25">
      <c r="A665" t="s">
        <v>708</v>
      </c>
      <c r="B665" t="s">
        <v>1897</v>
      </c>
      <c r="C665" t="s">
        <v>1222</v>
      </c>
      <c r="I665" t="s">
        <v>1198</v>
      </c>
    </row>
    <row r="666" spans="1:12" x14ac:dyDescent="0.25">
      <c r="A666" t="s">
        <v>708</v>
      </c>
      <c r="B666" t="s">
        <v>1898</v>
      </c>
      <c r="C666" t="s">
        <v>1225</v>
      </c>
      <c r="I666" t="s">
        <v>1198</v>
      </c>
    </row>
    <row r="667" spans="1:12" x14ac:dyDescent="0.25">
      <c r="A667" t="s">
        <v>708</v>
      </c>
      <c r="B667" t="s">
        <v>1899</v>
      </c>
      <c r="C667" t="s">
        <v>1222</v>
      </c>
      <c r="I667" t="s">
        <v>1198</v>
      </c>
    </row>
    <row r="668" spans="1:12" x14ac:dyDescent="0.25">
      <c r="A668" t="s">
        <v>708</v>
      </c>
      <c r="B668" t="s">
        <v>1900</v>
      </c>
      <c r="C668" t="s">
        <v>1222</v>
      </c>
      <c r="I668" t="s">
        <v>1198</v>
      </c>
    </row>
    <row r="669" spans="1:12" x14ac:dyDescent="0.25">
      <c r="A669" t="s">
        <v>708</v>
      </c>
      <c r="B669" t="s">
        <v>1901</v>
      </c>
      <c r="C669" t="s">
        <v>1225</v>
      </c>
      <c r="F669" s="10">
        <v>37257</v>
      </c>
      <c r="I669" t="s">
        <v>1198</v>
      </c>
    </row>
    <row r="670" spans="1:12" x14ac:dyDescent="0.25">
      <c r="A670" t="s">
        <v>708</v>
      </c>
      <c r="B670" t="s">
        <v>1902</v>
      </c>
      <c r="C670" t="s">
        <v>1225</v>
      </c>
      <c r="D670" s="13">
        <v>36000</v>
      </c>
      <c r="F670" s="10">
        <v>38353</v>
      </c>
      <c r="I670" t="s">
        <v>1198</v>
      </c>
    </row>
    <row r="671" spans="1:12" x14ac:dyDescent="0.25">
      <c r="A671" t="s">
        <v>708</v>
      </c>
      <c r="B671" t="s">
        <v>1903</v>
      </c>
      <c r="C671" t="s">
        <v>1225</v>
      </c>
      <c r="I671" t="s">
        <v>1198</v>
      </c>
    </row>
    <row r="672" spans="1:12" x14ac:dyDescent="0.25">
      <c r="A672" t="s">
        <v>708</v>
      </c>
      <c r="B672" t="s">
        <v>1904</v>
      </c>
      <c r="C672" t="s">
        <v>1222</v>
      </c>
      <c r="I672" t="s">
        <v>1198</v>
      </c>
    </row>
    <row r="673" spans="1:12" x14ac:dyDescent="0.25">
      <c r="A673" t="s">
        <v>708</v>
      </c>
      <c r="B673" t="s">
        <v>1905</v>
      </c>
      <c r="C673" t="s">
        <v>1222</v>
      </c>
      <c r="I673" t="s">
        <v>1198</v>
      </c>
    </row>
    <row r="674" spans="1:12" x14ac:dyDescent="0.25">
      <c r="A674" t="s">
        <v>186</v>
      </c>
      <c r="B674" t="s">
        <v>1906</v>
      </c>
      <c r="C674" t="s">
        <v>1218</v>
      </c>
      <c r="E674">
        <v>150</v>
      </c>
      <c r="F674" s="10">
        <v>33635</v>
      </c>
      <c r="G674">
        <v>32</v>
      </c>
      <c r="H674">
        <v>25</v>
      </c>
      <c r="I674" t="s">
        <v>1198</v>
      </c>
      <c r="J674" t="s">
        <v>1219</v>
      </c>
      <c r="K674" t="s">
        <v>1220</v>
      </c>
      <c r="L674">
        <v>1253</v>
      </c>
    </row>
    <row r="675" spans="1:12" x14ac:dyDescent="0.25">
      <c r="A675" t="s">
        <v>186</v>
      </c>
      <c r="B675" t="s">
        <v>1907</v>
      </c>
      <c r="C675" t="s">
        <v>1296</v>
      </c>
      <c r="D675" s="13">
        <v>180000</v>
      </c>
      <c r="F675" s="10">
        <v>42370</v>
      </c>
      <c r="G675">
        <v>8</v>
      </c>
      <c r="H675">
        <v>15</v>
      </c>
      <c r="I675" t="s">
        <v>1199</v>
      </c>
    </row>
    <row r="676" spans="1:12" x14ac:dyDescent="0.25">
      <c r="A676" t="s">
        <v>186</v>
      </c>
      <c r="B676" t="s">
        <v>1908</v>
      </c>
      <c r="C676" t="s">
        <v>1225</v>
      </c>
      <c r="F676" s="10">
        <v>31929</v>
      </c>
      <c r="G676">
        <v>37</v>
      </c>
      <c r="H676">
        <v>15</v>
      </c>
      <c r="I676" t="s">
        <v>1198</v>
      </c>
    </row>
    <row r="677" spans="1:12" x14ac:dyDescent="0.25">
      <c r="A677" t="s">
        <v>186</v>
      </c>
      <c r="B677" t="s">
        <v>1909</v>
      </c>
      <c r="C677" t="s">
        <v>1222</v>
      </c>
      <c r="D677" s="13">
        <v>65000</v>
      </c>
      <c r="F677" s="10">
        <v>31929</v>
      </c>
      <c r="G677">
        <v>37</v>
      </c>
      <c r="H677">
        <v>15</v>
      </c>
      <c r="I677" t="s">
        <v>1198</v>
      </c>
    </row>
    <row r="678" spans="1:12" x14ac:dyDescent="0.25">
      <c r="A678" t="s">
        <v>186</v>
      </c>
      <c r="B678" t="s">
        <v>1910</v>
      </c>
      <c r="C678" t="s">
        <v>1225</v>
      </c>
      <c r="D678" s="13">
        <v>120000</v>
      </c>
      <c r="I678" t="s">
        <v>1198</v>
      </c>
    </row>
    <row r="679" spans="1:12" x14ac:dyDescent="0.25">
      <c r="A679" t="s">
        <v>186</v>
      </c>
      <c r="B679" t="s">
        <v>1911</v>
      </c>
      <c r="C679" t="s">
        <v>1296</v>
      </c>
      <c r="D679" s="13">
        <v>118000</v>
      </c>
      <c r="F679" s="10">
        <v>43491</v>
      </c>
      <c r="I679" t="s">
        <v>1198</v>
      </c>
    </row>
    <row r="680" spans="1:12" x14ac:dyDescent="0.25">
      <c r="A680" t="s">
        <v>186</v>
      </c>
      <c r="B680" t="s">
        <v>1912</v>
      </c>
      <c r="C680" t="s">
        <v>1296</v>
      </c>
      <c r="D680" s="13">
        <v>60000</v>
      </c>
      <c r="F680" s="10">
        <v>32874</v>
      </c>
      <c r="G680">
        <v>34</v>
      </c>
      <c r="H680">
        <v>15</v>
      </c>
      <c r="I680" t="s">
        <v>1198</v>
      </c>
    </row>
    <row r="681" spans="1:12" x14ac:dyDescent="0.25">
      <c r="A681" t="s">
        <v>186</v>
      </c>
      <c r="B681" t="s">
        <v>1913</v>
      </c>
      <c r="C681" t="s">
        <v>1296</v>
      </c>
      <c r="I681" t="s">
        <v>1198</v>
      </c>
    </row>
    <row r="682" spans="1:12" x14ac:dyDescent="0.25">
      <c r="A682" t="s">
        <v>186</v>
      </c>
      <c r="B682" t="s">
        <v>1914</v>
      </c>
      <c r="C682" t="s">
        <v>1296</v>
      </c>
      <c r="I682" t="s">
        <v>1198</v>
      </c>
    </row>
    <row r="683" spans="1:12" x14ac:dyDescent="0.25">
      <c r="A683" t="s">
        <v>186</v>
      </c>
      <c r="B683" t="s">
        <v>1915</v>
      </c>
      <c r="C683" t="s">
        <v>1296</v>
      </c>
      <c r="I683" t="s">
        <v>1198</v>
      </c>
    </row>
    <row r="684" spans="1:12" x14ac:dyDescent="0.25">
      <c r="A684" t="s">
        <v>186</v>
      </c>
      <c r="B684" t="s">
        <v>1916</v>
      </c>
      <c r="C684" t="s">
        <v>1222</v>
      </c>
      <c r="D684" s="13">
        <v>120000</v>
      </c>
      <c r="F684" s="10">
        <v>44281</v>
      </c>
      <c r="I684" t="s">
        <v>1198</v>
      </c>
    </row>
    <row r="685" spans="1:12" x14ac:dyDescent="0.25">
      <c r="A685" t="s">
        <v>186</v>
      </c>
      <c r="B685" t="s">
        <v>1917</v>
      </c>
      <c r="C685" t="s">
        <v>1296</v>
      </c>
      <c r="D685" s="13">
        <v>180000</v>
      </c>
      <c r="I685" t="s">
        <v>1198</v>
      </c>
    </row>
    <row r="686" spans="1:12" x14ac:dyDescent="0.25">
      <c r="A686" t="s">
        <v>186</v>
      </c>
      <c r="B686" t="s">
        <v>1918</v>
      </c>
      <c r="C686" t="s">
        <v>1296</v>
      </c>
      <c r="I686" t="s">
        <v>1198</v>
      </c>
    </row>
    <row r="687" spans="1:12" x14ac:dyDescent="0.25">
      <c r="A687" t="s">
        <v>186</v>
      </c>
      <c r="B687" t="s">
        <v>1919</v>
      </c>
      <c r="C687" t="s">
        <v>1222</v>
      </c>
      <c r="D687" s="13">
        <v>60000</v>
      </c>
      <c r="F687" s="10">
        <v>45870</v>
      </c>
      <c r="I687" t="s">
        <v>1198</v>
      </c>
    </row>
    <row r="688" spans="1:12" x14ac:dyDescent="0.25">
      <c r="A688" t="s">
        <v>186</v>
      </c>
      <c r="B688" t="s">
        <v>1920</v>
      </c>
      <c r="C688" t="s">
        <v>1225</v>
      </c>
      <c r="D688" s="13">
        <v>60000</v>
      </c>
      <c r="F688" s="10">
        <v>45870</v>
      </c>
      <c r="I688" t="s">
        <v>1198</v>
      </c>
    </row>
    <row r="689" spans="1:12" x14ac:dyDescent="0.25">
      <c r="A689" t="s">
        <v>922</v>
      </c>
      <c r="B689" t="s">
        <v>1921</v>
      </c>
      <c r="C689" t="s">
        <v>1238</v>
      </c>
      <c r="D689" s="13">
        <v>49000</v>
      </c>
      <c r="F689" s="10">
        <v>33604</v>
      </c>
      <c r="G689">
        <v>32</v>
      </c>
      <c r="H689">
        <v>15</v>
      </c>
      <c r="I689" t="s">
        <v>1198</v>
      </c>
    </row>
    <row r="690" spans="1:12" x14ac:dyDescent="0.25">
      <c r="A690" t="s">
        <v>922</v>
      </c>
      <c r="B690" t="s">
        <v>1922</v>
      </c>
      <c r="C690" t="s">
        <v>1238</v>
      </c>
      <c r="D690" s="13">
        <v>49000</v>
      </c>
      <c r="F690" s="10">
        <v>33604</v>
      </c>
      <c r="G690">
        <v>32</v>
      </c>
      <c r="H690">
        <v>15</v>
      </c>
      <c r="I690" t="s">
        <v>1198</v>
      </c>
    </row>
    <row r="691" spans="1:12" x14ac:dyDescent="0.25">
      <c r="A691" t="s">
        <v>922</v>
      </c>
      <c r="B691" t="s">
        <v>1923</v>
      </c>
      <c r="C691" t="s">
        <v>1238</v>
      </c>
      <c r="D691" s="13">
        <v>49000</v>
      </c>
      <c r="F691" s="10">
        <v>33604</v>
      </c>
      <c r="G691">
        <v>32</v>
      </c>
      <c r="H691">
        <v>15</v>
      </c>
      <c r="I691" t="s">
        <v>1198</v>
      </c>
    </row>
    <row r="692" spans="1:12" x14ac:dyDescent="0.25">
      <c r="A692" t="s">
        <v>922</v>
      </c>
      <c r="B692" t="s">
        <v>1924</v>
      </c>
      <c r="C692" t="s">
        <v>1238</v>
      </c>
      <c r="D692" s="13">
        <v>49000</v>
      </c>
      <c r="F692" s="10">
        <v>33604</v>
      </c>
      <c r="G692">
        <v>32</v>
      </c>
      <c r="H692">
        <v>15</v>
      </c>
      <c r="I692" t="s">
        <v>1198</v>
      </c>
    </row>
    <row r="693" spans="1:12" x14ac:dyDescent="0.25">
      <c r="A693" t="s">
        <v>922</v>
      </c>
      <c r="B693" t="s">
        <v>1925</v>
      </c>
      <c r="C693" t="s">
        <v>1238</v>
      </c>
      <c r="D693" s="13">
        <v>90000</v>
      </c>
      <c r="F693" s="10">
        <v>41640</v>
      </c>
      <c r="G693">
        <v>10</v>
      </c>
      <c r="H693">
        <v>15</v>
      </c>
      <c r="I693" t="s">
        <v>1199</v>
      </c>
    </row>
    <row r="694" spans="1:12" x14ac:dyDescent="0.25">
      <c r="A694" t="s">
        <v>44</v>
      </c>
      <c r="B694" t="s">
        <v>1926</v>
      </c>
      <c r="C694" t="s">
        <v>1218</v>
      </c>
      <c r="E694">
        <v>6</v>
      </c>
      <c r="I694" t="s">
        <v>1198</v>
      </c>
      <c r="J694" t="s">
        <v>1219</v>
      </c>
      <c r="K694" t="s">
        <v>1487</v>
      </c>
      <c r="L694">
        <v>577.12</v>
      </c>
    </row>
    <row r="695" spans="1:12" x14ac:dyDescent="0.25">
      <c r="A695" t="s">
        <v>44</v>
      </c>
      <c r="B695" t="s">
        <v>1927</v>
      </c>
      <c r="C695" t="s">
        <v>1238</v>
      </c>
      <c r="D695" s="13">
        <v>36000</v>
      </c>
      <c r="F695" s="10">
        <v>42522</v>
      </c>
      <c r="G695">
        <v>8</v>
      </c>
      <c r="H695">
        <v>15</v>
      </c>
      <c r="I695" t="s">
        <v>1199</v>
      </c>
    </row>
    <row r="696" spans="1:12" x14ac:dyDescent="0.25">
      <c r="A696" t="s">
        <v>44</v>
      </c>
      <c r="B696" t="s">
        <v>1928</v>
      </c>
      <c r="C696" t="s">
        <v>1238</v>
      </c>
      <c r="D696" s="13">
        <v>36000</v>
      </c>
      <c r="F696" s="10">
        <v>42522</v>
      </c>
      <c r="G696">
        <v>8</v>
      </c>
      <c r="H696">
        <v>15</v>
      </c>
      <c r="I696" t="s">
        <v>1199</v>
      </c>
    </row>
    <row r="697" spans="1:12" x14ac:dyDescent="0.25">
      <c r="A697" t="s">
        <v>191</v>
      </c>
      <c r="B697" t="s">
        <v>1929</v>
      </c>
      <c r="C697" t="s">
        <v>1218</v>
      </c>
      <c r="E697">
        <v>150</v>
      </c>
      <c r="I697" t="s">
        <v>1198</v>
      </c>
      <c r="J697" t="s">
        <v>1219</v>
      </c>
      <c r="K697" t="s">
        <v>1234</v>
      </c>
    </row>
    <row r="698" spans="1:12" x14ac:dyDescent="0.25">
      <c r="A698" t="s">
        <v>191</v>
      </c>
      <c r="B698" t="s">
        <v>1930</v>
      </c>
      <c r="C698" t="s">
        <v>1225</v>
      </c>
      <c r="I698" t="s">
        <v>1198</v>
      </c>
    </row>
    <row r="699" spans="1:12" x14ac:dyDescent="0.25">
      <c r="A699" t="s">
        <v>191</v>
      </c>
      <c r="B699" t="s">
        <v>1931</v>
      </c>
      <c r="C699" t="s">
        <v>1225</v>
      </c>
      <c r="I699" t="s">
        <v>1198</v>
      </c>
    </row>
    <row r="700" spans="1:12" x14ac:dyDescent="0.25">
      <c r="A700" t="s">
        <v>191</v>
      </c>
      <c r="B700" t="s">
        <v>1932</v>
      </c>
      <c r="C700" t="s">
        <v>1225</v>
      </c>
      <c r="D700" s="13">
        <v>20000</v>
      </c>
      <c r="I700" t="s">
        <v>1198</v>
      </c>
    </row>
    <row r="701" spans="1:12" x14ac:dyDescent="0.25">
      <c r="A701" t="s">
        <v>191</v>
      </c>
      <c r="B701" t="s">
        <v>1933</v>
      </c>
      <c r="C701" t="s">
        <v>1222</v>
      </c>
      <c r="I701" t="s">
        <v>1198</v>
      </c>
    </row>
    <row r="702" spans="1:12" x14ac:dyDescent="0.25">
      <c r="A702" t="s">
        <v>191</v>
      </c>
      <c r="B702" t="s">
        <v>1934</v>
      </c>
      <c r="C702" t="s">
        <v>1222</v>
      </c>
      <c r="I702" t="s">
        <v>1198</v>
      </c>
    </row>
    <row r="703" spans="1:12" x14ac:dyDescent="0.25">
      <c r="A703" t="s">
        <v>191</v>
      </c>
      <c r="B703" t="s">
        <v>1935</v>
      </c>
      <c r="C703" t="s">
        <v>1222</v>
      </c>
      <c r="I703" t="s">
        <v>1198</v>
      </c>
    </row>
    <row r="704" spans="1:12" x14ac:dyDescent="0.25">
      <c r="A704" t="s">
        <v>191</v>
      </c>
      <c r="B704" t="s">
        <v>1936</v>
      </c>
      <c r="C704" t="s">
        <v>1218</v>
      </c>
      <c r="E704">
        <v>100</v>
      </c>
      <c r="F704" s="10">
        <v>45947</v>
      </c>
      <c r="I704" t="s">
        <v>1198</v>
      </c>
      <c r="J704" t="s">
        <v>1219</v>
      </c>
      <c r="K704" t="s">
        <v>1220</v>
      </c>
    </row>
    <row r="705" spans="1:12" x14ac:dyDescent="0.25">
      <c r="A705" t="s">
        <v>927</v>
      </c>
      <c r="B705" t="s">
        <v>1937</v>
      </c>
      <c r="C705" t="s">
        <v>1218</v>
      </c>
      <c r="E705">
        <v>150</v>
      </c>
      <c r="F705" s="10">
        <v>42461</v>
      </c>
      <c r="G705">
        <v>8</v>
      </c>
      <c r="H705">
        <v>25</v>
      </c>
      <c r="I705" t="s">
        <v>1199</v>
      </c>
      <c r="J705" t="s">
        <v>1219</v>
      </c>
      <c r="K705" t="s">
        <v>1220</v>
      </c>
      <c r="L705">
        <v>58.3</v>
      </c>
    </row>
    <row r="706" spans="1:12" x14ac:dyDescent="0.25">
      <c r="A706" t="s">
        <v>927</v>
      </c>
      <c r="B706" t="s">
        <v>1938</v>
      </c>
      <c r="C706" t="s">
        <v>1225</v>
      </c>
      <c r="D706" s="13">
        <v>36000</v>
      </c>
      <c r="F706" s="10">
        <v>33604</v>
      </c>
      <c r="G706">
        <v>32</v>
      </c>
      <c r="H706">
        <v>15</v>
      </c>
      <c r="I706" t="s">
        <v>1198</v>
      </c>
    </row>
    <row r="707" spans="1:12" x14ac:dyDescent="0.25">
      <c r="A707" t="s">
        <v>927</v>
      </c>
      <c r="B707" t="s">
        <v>1939</v>
      </c>
      <c r="C707" t="s">
        <v>1222</v>
      </c>
      <c r="D707" s="13">
        <v>60000</v>
      </c>
      <c r="F707" s="10">
        <v>41791</v>
      </c>
      <c r="G707">
        <v>10</v>
      </c>
      <c r="H707">
        <v>15</v>
      </c>
      <c r="I707" t="s">
        <v>1199</v>
      </c>
    </row>
    <row r="708" spans="1:12" x14ac:dyDescent="0.25">
      <c r="A708" t="s">
        <v>927</v>
      </c>
      <c r="B708" t="s">
        <v>1940</v>
      </c>
      <c r="C708" t="s">
        <v>1225</v>
      </c>
      <c r="D708" s="13">
        <v>90000</v>
      </c>
      <c r="F708" s="10">
        <v>28277</v>
      </c>
      <c r="G708">
        <v>47</v>
      </c>
      <c r="H708">
        <v>15</v>
      </c>
      <c r="I708" t="s">
        <v>1198</v>
      </c>
    </row>
    <row r="709" spans="1:12" x14ac:dyDescent="0.25">
      <c r="A709" t="s">
        <v>927</v>
      </c>
      <c r="B709" t="s">
        <v>1941</v>
      </c>
      <c r="C709" t="s">
        <v>1222</v>
      </c>
      <c r="D709" s="13">
        <v>90000</v>
      </c>
      <c r="F709" s="10">
        <v>39448</v>
      </c>
      <c r="G709">
        <v>16</v>
      </c>
      <c r="H709">
        <v>15</v>
      </c>
      <c r="I709" t="s">
        <v>1198</v>
      </c>
    </row>
    <row r="710" spans="1:12" x14ac:dyDescent="0.25">
      <c r="A710" t="s">
        <v>927</v>
      </c>
      <c r="B710" t="s">
        <v>1942</v>
      </c>
      <c r="C710" t="s">
        <v>1225</v>
      </c>
      <c r="D710" s="13">
        <v>100000</v>
      </c>
      <c r="F710" s="10">
        <v>41699</v>
      </c>
      <c r="G710">
        <v>10</v>
      </c>
      <c r="H710">
        <v>15</v>
      </c>
      <c r="I710" t="s">
        <v>1199</v>
      </c>
    </row>
    <row r="711" spans="1:12" x14ac:dyDescent="0.25">
      <c r="A711" t="s">
        <v>927</v>
      </c>
      <c r="B711" t="s">
        <v>1943</v>
      </c>
      <c r="C711" t="s">
        <v>1222</v>
      </c>
      <c r="D711" s="13">
        <v>36000</v>
      </c>
      <c r="F711" s="10">
        <v>42370</v>
      </c>
      <c r="G711">
        <v>8</v>
      </c>
      <c r="H711">
        <v>15</v>
      </c>
      <c r="I711" t="s">
        <v>1199</v>
      </c>
    </row>
    <row r="712" spans="1:12" x14ac:dyDescent="0.25">
      <c r="A712" t="s">
        <v>927</v>
      </c>
      <c r="B712" t="s">
        <v>1944</v>
      </c>
      <c r="C712" t="s">
        <v>1238</v>
      </c>
      <c r="D712" s="13">
        <v>48000</v>
      </c>
      <c r="F712" s="10">
        <v>40179</v>
      </c>
      <c r="G712">
        <v>14</v>
      </c>
      <c r="H712">
        <v>15</v>
      </c>
      <c r="I712" t="s">
        <v>1199</v>
      </c>
    </row>
    <row r="713" spans="1:12" x14ac:dyDescent="0.25">
      <c r="A713" t="s">
        <v>927</v>
      </c>
      <c r="B713" t="s">
        <v>1945</v>
      </c>
      <c r="C713" t="s">
        <v>1238</v>
      </c>
      <c r="D713" s="13">
        <v>60000</v>
      </c>
      <c r="F713" s="10">
        <v>40179</v>
      </c>
      <c r="G713">
        <v>14</v>
      </c>
      <c r="H713">
        <v>15</v>
      </c>
      <c r="I713" t="s">
        <v>1199</v>
      </c>
    </row>
    <row r="714" spans="1:12" x14ac:dyDescent="0.25">
      <c r="A714" t="s">
        <v>927</v>
      </c>
      <c r="B714" t="s">
        <v>1946</v>
      </c>
      <c r="C714" t="s">
        <v>1225</v>
      </c>
      <c r="D714" s="13">
        <v>60000</v>
      </c>
      <c r="F714" s="10">
        <v>42736</v>
      </c>
      <c r="G714">
        <v>7</v>
      </c>
      <c r="H714">
        <v>15</v>
      </c>
      <c r="I714" t="s">
        <v>1199</v>
      </c>
    </row>
    <row r="715" spans="1:12" x14ac:dyDescent="0.25">
      <c r="A715" t="s">
        <v>927</v>
      </c>
      <c r="B715" t="s">
        <v>1947</v>
      </c>
      <c r="C715" t="s">
        <v>1222</v>
      </c>
      <c r="D715" s="13">
        <v>6000</v>
      </c>
      <c r="F715" s="10">
        <v>43101</v>
      </c>
      <c r="G715">
        <v>6</v>
      </c>
      <c r="H715">
        <v>15</v>
      </c>
      <c r="I715" t="s">
        <v>1199</v>
      </c>
    </row>
    <row r="716" spans="1:12" x14ac:dyDescent="0.25">
      <c r="A716" t="s">
        <v>927</v>
      </c>
      <c r="B716" t="s">
        <v>1948</v>
      </c>
      <c r="C716" t="s">
        <v>1225</v>
      </c>
      <c r="D716" s="13">
        <v>60000</v>
      </c>
      <c r="F716" s="10">
        <v>43101</v>
      </c>
      <c r="I716" t="s">
        <v>1198</v>
      </c>
    </row>
    <row r="717" spans="1:12" x14ac:dyDescent="0.25">
      <c r="A717" t="s">
        <v>373</v>
      </c>
      <c r="B717" t="s">
        <v>1949</v>
      </c>
      <c r="C717" t="s">
        <v>1218</v>
      </c>
      <c r="E717">
        <v>80</v>
      </c>
      <c r="I717" t="s">
        <v>1198</v>
      </c>
      <c r="J717" t="s">
        <v>1219</v>
      </c>
      <c r="K717" t="s">
        <v>1220</v>
      </c>
    </row>
    <row r="718" spans="1:12" x14ac:dyDescent="0.25">
      <c r="A718" t="s">
        <v>373</v>
      </c>
      <c r="B718" t="s">
        <v>1950</v>
      </c>
      <c r="C718" t="s">
        <v>1218</v>
      </c>
      <c r="E718">
        <v>45</v>
      </c>
      <c r="F718" s="10">
        <v>30348</v>
      </c>
      <c r="G718">
        <v>41</v>
      </c>
      <c r="H718">
        <v>25</v>
      </c>
      <c r="I718" t="s">
        <v>1198</v>
      </c>
      <c r="J718" t="s">
        <v>1341</v>
      </c>
      <c r="K718" t="s">
        <v>1951</v>
      </c>
      <c r="L718">
        <v>1165</v>
      </c>
    </row>
    <row r="719" spans="1:12" x14ac:dyDescent="0.25">
      <c r="A719" t="s">
        <v>373</v>
      </c>
      <c r="B719" t="s">
        <v>1952</v>
      </c>
      <c r="C719" t="s">
        <v>1225</v>
      </c>
      <c r="I719" t="s">
        <v>1198</v>
      </c>
    </row>
    <row r="720" spans="1:12" x14ac:dyDescent="0.25">
      <c r="A720" t="s">
        <v>373</v>
      </c>
      <c r="B720" t="s">
        <v>1953</v>
      </c>
      <c r="C720" t="s">
        <v>1238</v>
      </c>
      <c r="D720" s="13">
        <v>18000</v>
      </c>
      <c r="I720" t="s">
        <v>1198</v>
      </c>
    </row>
    <row r="721" spans="1:12" x14ac:dyDescent="0.25">
      <c r="A721" t="s">
        <v>373</v>
      </c>
      <c r="B721" t="s">
        <v>1954</v>
      </c>
      <c r="C721" t="s">
        <v>1225</v>
      </c>
      <c r="D721" s="13">
        <v>48000</v>
      </c>
      <c r="I721" t="s">
        <v>1198</v>
      </c>
    </row>
    <row r="722" spans="1:12" x14ac:dyDescent="0.25">
      <c r="A722" t="s">
        <v>373</v>
      </c>
      <c r="B722" t="s">
        <v>1955</v>
      </c>
      <c r="C722" t="s">
        <v>1225</v>
      </c>
      <c r="D722" s="13">
        <v>48000</v>
      </c>
      <c r="F722" s="10">
        <v>41334</v>
      </c>
      <c r="G722">
        <v>11</v>
      </c>
      <c r="H722">
        <v>15</v>
      </c>
      <c r="I722" t="s">
        <v>1199</v>
      </c>
    </row>
    <row r="723" spans="1:12" x14ac:dyDescent="0.25">
      <c r="A723" t="s">
        <v>373</v>
      </c>
      <c r="B723" t="s">
        <v>1956</v>
      </c>
      <c r="C723" t="s">
        <v>1238</v>
      </c>
      <c r="D723" s="13">
        <v>24000</v>
      </c>
      <c r="I723" t="s">
        <v>1198</v>
      </c>
    </row>
    <row r="724" spans="1:12" x14ac:dyDescent="0.25">
      <c r="A724" t="s">
        <v>373</v>
      </c>
      <c r="B724" t="s">
        <v>1957</v>
      </c>
      <c r="C724" t="s">
        <v>1222</v>
      </c>
      <c r="I724" t="s">
        <v>1198</v>
      </c>
    </row>
    <row r="725" spans="1:12" x14ac:dyDescent="0.25">
      <c r="A725" t="s">
        <v>373</v>
      </c>
      <c r="B725" t="s">
        <v>1958</v>
      </c>
      <c r="C725" t="s">
        <v>1238</v>
      </c>
      <c r="I725" t="s">
        <v>1198</v>
      </c>
    </row>
    <row r="726" spans="1:12" x14ac:dyDescent="0.25">
      <c r="A726" t="s">
        <v>373</v>
      </c>
      <c r="B726" t="s">
        <v>1959</v>
      </c>
      <c r="C726" t="s">
        <v>1238</v>
      </c>
      <c r="I726" t="s">
        <v>1198</v>
      </c>
    </row>
    <row r="727" spans="1:12" x14ac:dyDescent="0.25">
      <c r="A727" t="s">
        <v>373</v>
      </c>
      <c r="B727" t="s">
        <v>1960</v>
      </c>
      <c r="C727" t="s">
        <v>1222</v>
      </c>
      <c r="I727" t="s">
        <v>1198</v>
      </c>
    </row>
    <row r="728" spans="1:12" x14ac:dyDescent="0.25">
      <c r="A728" t="s">
        <v>373</v>
      </c>
      <c r="B728" t="s">
        <v>1961</v>
      </c>
      <c r="C728" t="s">
        <v>1218</v>
      </c>
      <c r="E728">
        <v>80</v>
      </c>
      <c r="I728" t="s">
        <v>1198</v>
      </c>
      <c r="J728" t="s">
        <v>1219</v>
      </c>
      <c r="K728" t="s">
        <v>1220</v>
      </c>
      <c r="L728">
        <v>701.8</v>
      </c>
    </row>
    <row r="729" spans="1:12" x14ac:dyDescent="0.25">
      <c r="A729" t="s">
        <v>373</v>
      </c>
      <c r="B729" t="s">
        <v>1962</v>
      </c>
      <c r="C729" t="s">
        <v>1238</v>
      </c>
      <c r="I729" t="s">
        <v>1198</v>
      </c>
    </row>
    <row r="730" spans="1:12" x14ac:dyDescent="0.25">
      <c r="A730" t="s">
        <v>201</v>
      </c>
      <c r="B730" t="s">
        <v>1963</v>
      </c>
      <c r="C730" t="s">
        <v>1222</v>
      </c>
      <c r="D730" s="13">
        <v>60000</v>
      </c>
      <c r="F730" s="10">
        <v>39539</v>
      </c>
      <c r="G730">
        <v>16</v>
      </c>
      <c r="H730">
        <v>15</v>
      </c>
      <c r="I730" t="s">
        <v>1198</v>
      </c>
    </row>
    <row r="731" spans="1:12" x14ac:dyDescent="0.25">
      <c r="A731" t="s">
        <v>201</v>
      </c>
      <c r="B731" t="s">
        <v>1964</v>
      </c>
      <c r="C731" t="s">
        <v>1225</v>
      </c>
      <c r="D731" s="13">
        <v>60000</v>
      </c>
      <c r="F731" s="10">
        <v>39142</v>
      </c>
      <c r="G731">
        <v>17</v>
      </c>
      <c r="H731">
        <v>15</v>
      </c>
      <c r="I731" t="s">
        <v>1198</v>
      </c>
    </row>
    <row r="732" spans="1:12" x14ac:dyDescent="0.25">
      <c r="A732" t="s">
        <v>201</v>
      </c>
      <c r="B732" t="s">
        <v>1965</v>
      </c>
      <c r="C732" t="s">
        <v>1225</v>
      </c>
      <c r="D732" s="13">
        <v>60000</v>
      </c>
      <c r="F732" s="10">
        <v>41640</v>
      </c>
      <c r="G732">
        <v>10</v>
      </c>
      <c r="H732">
        <v>15</v>
      </c>
      <c r="I732" t="s">
        <v>1199</v>
      </c>
    </row>
    <row r="733" spans="1:12" x14ac:dyDescent="0.25">
      <c r="A733" t="s">
        <v>201</v>
      </c>
      <c r="B733" t="s">
        <v>1966</v>
      </c>
      <c r="C733" t="s">
        <v>1222</v>
      </c>
      <c r="D733" s="13">
        <v>60000</v>
      </c>
      <c r="I733" t="s">
        <v>1198</v>
      </c>
    </row>
    <row r="734" spans="1:12" x14ac:dyDescent="0.25">
      <c r="A734" t="s">
        <v>201</v>
      </c>
      <c r="B734" t="s">
        <v>1967</v>
      </c>
      <c r="C734" t="s">
        <v>1218</v>
      </c>
      <c r="E734">
        <v>100</v>
      </c>
      <c r="F734" s="10">
        <v>29221</v>
      </c>
      <c r="G734">
        <v>44</v>
      </c>
      <c r="H734">
        <v>25</v>
      </c>
      <c r="I734" t="s">
        <v>1198</v>
      </c>
      <c r="J734" t="s">
        <v>1219</v>
      </c>
      <c r="K734" t="s">
        <v>1220</v>
      </c>
      <c r="L734">
        <v>540</v>
      </c>
    </row>
    <row r="735" spans="1:12" x14ac:dyDescent="0.25">
      <c r="A735" t="s">
        <v>201</v>
      </c>
      <c r="B735" t="s">
        <v>1968</v>
      </c>
      <c r="C735" t="s">
        <v>1225</v>
      </c>
      <c r="D735" s="13">
        <v>60000</v>
      </c>
      <c r="F735" s="10">
        <v>42826</v>
      </c>
      <c r="G735">
        <v>7</v>
      </c>
      <c r="H735">
        <v>15</v>
      </c>
      <c r="I735" t="s">
        <v>1199</v>
      </c>
    </row>
    <row r="736" spans="1:12" x14ac:dyDescent="0.25">
      <c r="A736" t="s">
        <v>201</v>
      </c>
      <c r="B736" t="s">
        <v>1969</v>
      </c>
      <c r="C736" t="s">
        <v>1222</v>
      </c>
      <c r="D736" s="13">
        <v>60000</v>
      </c>
      <c r="F736" s="10">
        <v>42826</v>
      </c>
      <c r="G736">
        <v>7</v>
      </c>
      <c r="H736">
        <v>15</v>
      </c>
      <c r="I736" t="s">
        <v>1199</v>
      </c>
    </row>
    <row r="737" spans="1:9" x14ac:dyDescent="0.25">
      <c r="A737" t="s">
        <v>201</v>
      </c>
      <c r="B737" t="s">
        <v>1970</v>
      </c>
      <c r="C737" t="s">
        <v>1225</v>
      </c>
      <c r="D737" s="13">
        <v>60000</v>
      </c>
      <c r="F737" s="10">
        <v>45895</v>
      </c>
      <c r="I737" t="s">
        <v>1198</v>
      </c>
    </row>
    <row r="738" spans="1:9" x14ac:dyDescent="0.25">
      <c r="A738" t="s">
        <v>201</v>
      </c>
      <c r="B738" t="s">
        <v>1971</v>
      </c>
      <c r="C738" t="s">
        <v>1222</v>
      </c>
      <c r="D738" s="13">
        <v>60000</v>
      </c>
      <c r="F738" s="10">
        <v>45895</v>
      </c>
      <c r="I738" t="s">
        <v>1198</v>
      </c>
    </row>
    <row r="739" spans="1:9" x14ac:dyDescent="0.25">
      <c r="A739" t="s">
        <v>932</v>
      </c>
      <c r="B739" t="s">
        <v>1972</v>
      </c>
      <c r="C739" t="s">
        <v>1225</v>
      </c>
      <c r="D739" s="13">
        <v>60000</v>
      </c>
      <c r="F739" s="10">
        <v>39814</v>
      </c>
      <c r="G739">
        <v>15</v>
      </c>
      <c r="H739">
        <v>15</v>
      </c>
      <c r="I739" t="s">
        <v>1198</v>
      </c>
    </row>
    <row r="740" spans="1:9" x14ac:dyDescent="0.25">
      <c r="A740" t="s">
        <v>932</v>
      </c>
      <c r="B740" t="s">
        <v>1973</v>
      </c>
      <c r="C740" t="s">
        <v>1222</v>
      </c>
      <c r="D740" s="13">
        <v>60000</v>
      </c>
      <c r="F740" s="10">
        <v>39873</v>
      </c>
      <c r="G740">
        <v>15</v>
      </c>
      <c r="H740">
        <v>15</v>
      </c>
      <c r="I740" t="s">
        <v>1198</v>
      </c>
    </row>
    <row r="741" spans="1:9" x14ac:dyDescent="0.25">
      <c r="A741" t="s">
        <v>932</v>
      </c>
      <c r="B741" t="s">
        <v>1974</v>
      </c>
      <c r="C741" t="s">
        <v>1222</v>
      </c>
      <c r="D741" s="13">
        <v>60000</v>
      </c>
      <c r="F741" s="10">
        <v>39661</v>
      </c>
      <c r="G741">
        <v>16</v>
      </c>
      <c r="H741">
        <v>15</v>
      </c>
      <c r="I741" t="s">
        <v>1198</v>
      </c>
    </row>
    <row r="742" spans="1:9" x14ac:dyDescent="0.25">
      <c r="A742" t="s">
        <v>932</v>
      </c>
      <c r="B742" t="s">
        <v>1975</v>
      </c>
      <c r="C742" t="s">
        <v>1222</v>
      </c>
      <c r="D742" s="13">
        <v>60000</v>
      </c>
      <c r="F742" s="10">
        <v>39814</v>
      </c>
      <c r="G742">
        <v>15</v>
      </c>
      <c r="H742">
        <v>15</v>
      </c>
      <c r="I742" t="s">
        <v>1198</v>
      </c>
    </row>
    <row r="743" spans="1:9" x14ac:dyDescent="0.25">
      <c r="A743" t="s">
        <v>932</v>
      </c>
      <c r="B743" t="s">
        <v>1976</v>
      </c>
      <c r="C743" t="s">
        <v>1222</v>
      </c>
      <c r="D743" s="13">
        <v>36000</v>
      </c>
      <c r="F743" s="10">
        <v>39814</v>
      </c>
      <c r="G743">
        <v>15</v>
      </c>
      <c r="H743">
        <v>15</v>
      </c>
      <c r="I743" t="s">
        <v>1198</v>
      </c>
    </row>
    <row r="744" spans="1:9" x14ac:dyDescent="0.25">
      <c r="A744" t="s">
        <v>932</v>
      </c>
      <c r="B744" t="s">
        <v>1977</v>
      </c>
      <c r="C744" t="s">
        <v>1222</v>
      </c>
      <c r="D744" s="13">
        <v>48000</v>
      </c>
      <c r="F744" s="10">
        <v>39814</v>
      </c>
      <c r="G744">
        <v>15</v>
      </c>
      <c r="H744">
        <v>15</v>
      </c>
      <c r="I744" t="s">
        <v>1198</v>
      </c>
    </row>
    <row r="745" spans="1:9" x14ac:dyDescent="0.25">
      <c r="A745" t="s">
        <v>932</v>
      </c>
      <c r="B745" t="s">
        <v>1978</v>
      </c>
      <c r="C745" t="s">
        <v>1222</v>
      </c>
      <c r="D745" s="13">
        <v>48000</v>
      </c>
      <c r="F745" s="10">
        <v>39873</v>
      </c>
      <c r="G745">
        <v>15</v>
      </c>
      <c r="H745">
        <v>15</v>
      </c>
      <c r="I745" t="s">
        <v>1198</v>
      </c>
    </row>
    <row r="746" spans="1:9" x14ac:dyDescent="0.25">
      <c r="A746" t="s">
        <v>932</v>
      </c>
      <c r="B746" t="s">
        <v>1979</v>
      </c>
      <c r="C746" t="s">
        <v>1225</v>
      </c>
      <c r="D746" s="13">
        <v>60000</v>
      </c>
      <c r="I746" t="s">
        <v>1198</v>
      </c>
    </row>
    <row r="747" spans="1:9" x14ac:dyDescent="0.25">
      <c r="A747" t="s">
        <v>932</v>
      </c>
      <c r="B747" t="s">
        <v>1980</v>
      </c>
      <c r="C747" t="s">
        <v>1222</v>
      </c>
      <c r="D747" s="13">
        <v>240000</v>
      </c>
      <c r="F747" s="10">
        <v>35796</v>
      </c>
      <c r="G747">
        <v>26</v>
      </c>
      <c r="H747">
        <v>15</v>
      </c>
      <c r="I747" t="s">
        <v>1198</v>
      </c>
    </row>
    <row r="748" spans="1:9" x14ac:dyDescent="0.25">
      <c r="A748" t="s">
        <v>932</v>
      </c>
      <c r="B748" t="s">
        <v>1981</v>
      </c>
      <c r="C748" t="s">
        <v>1225</v>
      </c>
      <c r="D748" s="13">
        <v>240000</v>
      </c>
      <c r="F748" s="10">
        <v>35796</v>
      </c>
      <c r="G748">
        <v>26</v>
      </c>
      <c r="H748">
        <v>15</v>
      </c>
      <c r="I748" t="s">
        <v>1198</v>
      </c>
    </row>
    <row r="749" spans="1:9" x14ac:dyDescent="0.25">
      <c r="A749" t="s">
        <v>932</v>
      </c>
      <c r="B749" t="s">
        <v>1982</v>
      </c>
      <c r="C749" t="s">
        <v>1222</v>
      </c>
      <c r="D749" s="13">
        <v>120000</v>
      </c>
      <c r="F749" s="10">
        <v>35796</v>
      </c>
      <c r="G749">
        <v>26</v>
      </c>
      <c r="H749">
        <v>15</v>
      </c>
      <c r="I749" t="s">
        <v>1198</v>
      </c>
    </row>
    <row r="750" spans="1:9" x14ac:dyDescent="0.25">
      <c r="A750" t="s">
        <v>932</v>
      </c>
      <c r="B750" t="s">
        <v>1983</v>
      </c>
      <c r="C750" t="s">
        <v>1225</v>
      </c>
      <c r="D750" s="13">
        <v>120000</v>
      </c>
      <c r="F750" s="10">
        <v>35796</v>
      </c>
      <c r="G750">
        <v>26</v>
      </c>
      <c r="H750">
        <v>15</v>
      </c>
      <c r="I750" t="s">
        <v>1198</v>
      </c>
    </row>
    <row r="751" spans="1:9" x14ac:dyDescent="0.25">
      <c r="A751" t="s">
        <v>932</v>
      </c>
      <c r="B751" t="s">
        <v>1984</v>
      </c>
      <c r="C751" t="s">
        <v>1222</v>
      </c>
      <c r="D751" s="13">
        <v>120000</v>
      </c>
      <c r="F751" s="10">
        <v>35796</v>
      </c>
      <c r="G751">
        <v>26</v>
      </c>
      <c r="H751">
        <v>15</v>
      </c>
      <c r="I751" t="s">
        <v>1198</v>
      </c>
    </row>
    <row r="752" spans="1:9" x14ac:dyDescent="0.25">
      <c r="A752" t="s">
        <v>932</v>
      </c>
      <c r="B752" t="s">
        <v>1985</v>
      </c>
      <c r="C752" t="s">
        <v>1225</v>
      </c>
      <c r="D752" s="13">
        <v>120000</v>
      </c>
      <c r="F752" s="10">
        <v>35796</v>
      </c>
      <c r="G752">
        <v>26</v>
      </c>
      <c r="H752">
        <v>15</v>
      </c>
      <c r="I752" t="s">
        <v>1198</v>
      </c>
    </row>
    <row r="753" spans="1:12" x14ac:dyDescent="0.25">
      <c r="A753" t="s">
        <v>932</v>
      </c>
      <c r="B753" t="s">
        <v>1986</v>
      </c>
      <c r="C753" t="s">
        <v>1225</v>
      </c>
      <c r="D753" s="13">
        <v>240000</v>
      </c>
      <c r="F753" s="10">
        <v>42795</v>
      </c>
      <c r="G753">
        <v>7</v>
      </c>
      <c r="H753">
        <v>15</v>
      </c>
      <c r="I753" t="s">
        <v>1199</v>
      </c>
    </row>
    <row r="754" spans="1:12" x14ac:dyDescent="0.25">
      <c r="A754" t="s">
        <v>932</v>
      </c>
      <c r="B754" t="s">
        <v>1987</v>
      </c>
      <c r="C754" t="s">
        <v>1222</v>
      </c>
      <c r="D754" s="13">
        <v>240000</v>
      </c>
      <c r="F754" s="10">
        <v>42795</v>
      </c>
      <c r="G754">
        <v>7</v>
      </c>
      <c r="H754">
        <v>15</v>
      </c>
      <c r="I754" t="s">
        <v>1199</v>
      </c>
    </row>
    <row r="755" spans="1:12" x14ac:dyDescent="0.25">
      <c r="A755" t="s">
        <v>932</v>
      </c>
      <c r="B755" t="s">
        <v>1988</v>
      </c>
      <c r="C755" t="s">
        <v>1225</v>
      </c>
      <c r="D755" s="13">
        <v>240000</v>
      </c>
      <c r="F755" s="10">
        <v>35886</v>
      </c>
      <c r="G755">
        <v>26</v>
      </c>
      <c r="H755">
        <v>15</v>
      </c>
      <c r="I755" t="s">
        <v>1198</v>
      </c>
    </row>
    <row r="756" spans="1:12" x14ac:dyDescent="0.25">
      <c r="A756" t="s">
        <v>932</v>
      </c>
      <c r="B756" t="s">
        <v>1989</v>
      </c>
      <c r="C756" t="s">
        <v>1225</v>
      </c>
      <c r="D756" s="13">
        <v>240000</v>
      </c>
      <c r="F756" s="10">
        <v>35886</v>
      </c>
      <c r="G756">
        <v>26</v>
      </c>
      <c r="H756">
        <v>15</v>
      </c>
      <c r="I756" t="s">
        <v>1198</v>
      </c>
    </row>
    <row r="757" spans="1:12" x14ac:dyDescent="0.25">
      <c r="A757" t="s">
        <v>932</v>
      </c>
      <c r="B757" t="s">
        <v>1990</v>
      </c>
      <c r="C757" t="s">
        <v>1225</v>
      </c>
      <c r="D757" s="13">
        <v>240000</v>
      </c>
      <c r="F757" s="10">
        <v>42644</v>
      </c>
      <c r="G757">
        <v>8</v>
      </c>
      <c r="H757">
        <v>15</v>
      </c>
      <c r="I757" t="s">
        <v>1199</v>
      </c>
    </row>
    <row r="758" spans="1:12" x14ac:dyDescent="0.25">
      <c r="A758" t="s">
        <v>932</v>
      </c>
      <c r="B758" t="s">
        <v>1991</v>
      </c>
      <c r="C758" t="s">
        <v>1225</v>
      </c>
      <c r="D758" s="13">
        <v>240000</v>
      </c>
      <c r="F758" s="10">
        <v>42644</v>
      </c>
      <c r="G758">
        <v>8</v>
      </c>
      <c r="H758">
        <v>15</v>
      </c>
      <c r="I758" t="s">
        <v>1199</v>
      </c>
    </row>
    <row r="759" spans="1:12" x14ac:dyDescent="0.25">
      <c r="A759" t="s">
        <v>932</v>
      </c>
      <c r="B759" t="s">
        <v>1992</v>
      </c>
      <c r="C759" t="s">
        <v>1222</v>
      </c>
      <c r="D759" s="13">
        <v>240000</v>
      </c>
      <c r="F759" s="10">
        <v>35855</v>
      </c>
      <c r="G759">
        <v>26</v>
      </c>
      <c r="H759">
        <v>15</v>
      </c>
      <c r="I759" t="s">
        <v>1198</v>
      </c>
    </row>
    <row r="760" spans="1:12" x14ac:dyDescent="0.25">
      <c r="A760" t="s">
        <v>932</v>
      </c>
      <c r="B760" t="s">
        <v>1993</v>
      </c>
      <c r="C760" t="s">
        <v>1222</v>
      </c>
      <c r="D760" s="13">
        <v>240000</v>
      </c>
      <c r="F760" s="10">
        <v>42552</v>
      </c>
      <c r="G760">
        <v>8</v>
      </c>
      <c r="H760">
        <v>15</v>
      </c>
      <c r="I760" t="s">
        <v>1199</v>
      </c>
    </row>
    <row r="761" spans="1:12" x14ac:dyDescent="0.25">
      <c r="A761" t="s">
        <v>932</v>
      </c>
      <c r="B761" t="s">
        <v>1994</v>
      </c>
      <c r="C761" t="s">
        <v>1222</v>
      </c>
      <c r="D761" s="13">
        <v>240000</v>
      </c>
      <c r="F761" s="10">
        <v>42491</v>
      </c>
      <c r="G761">
        <v>8</v>
      </c>
      <c r="H761">
        <v>15</v>
      </c>
      <c r="I761" t="s">
        <v>1199</v>
      </c>
    </row>
    <row r="762" spans="1:12" x14ac:dyDescent="0.25">
      <c r="A762" t="s">
        <v>932</v>
      </c>
      <c r="B762" t="s">
        <v>1995</v>
      </c>
      <c r="C762" t="s">
        <v>1218</v>
      </c>
      <c r="E762">
        <v>150</v>
      </c>
      <c r="F762" s="10">
        <v>42767</v>
      </c>
      <c r="G762">
        <v>7</v>
      </c>
      <c r="H762">
        <v>25</v>
      </c>
      <c r="I762" t="s">
        <v>1199</v>
      </c>
      <c r="J762" t="s">
        <v>1219</v>
      </c>
      <c r="K762" t="s">
        <v>1220</v>
      </c>
      <c r="L762">
        <v>198.6</v>
      </c>
    </row>
    <row r="763" spans="1:12" x14ac:dyDescent="0.25">
      <c r="A763" t="s">
        <v>932</v>
      </c>
      <c r="B763" t="s">
        <v>1996</v>
      </c>
      <c r="C763" t="s">
        <v>1225</v>
      </c>
      <c r="D763" s="13">
        <v>240000</v>
      </c>
      <c r="F763" s="10">
        <v>43466</v>
      </c>
      <c r="G763">
        <v>5</v>
      </c>
      <c r="H763">
        <v>15</v>
      </c>
      <c r="I763" t="s">
        <v>1199</v>
      </c>
    </row>
    <row r="764" spans="1:12" x14ac:dyDescent="0.25">
      <c r="A764" t="s">
        <v>932</v>
      </c>
      <c r="B764" t="s">
        <v>1997</v>
      </c>
      <c r="C764" t="s">
        <v>1222</v>
      </c>
      <c r="D764" s="13">
        <v>240000</v>
      </c>
      <c r="F764" s="10">
        <v>43466</v>
      </c>
      <c r="G764">
        <v>5</v>
      </c>
      <c r="H764">
        <v>15</v>
      </c>
      <c r="I764" t="s">
        <v>1199</v>
      </c>
    </row>
    <row r="765" spans="1:12" x14ac:dyDescent="0.25">
      <c r="A765" t="s">
        <v>932</v>
      </c>
      <c r="B765" t="s">
        <v>1998</v>
      </c>
      <c r="C765" t="s">
        <v>1222</v>
      </c>
      <c r="D765" s="13">
        <v>120000</v>
      </c>
      <c r="F765" s="10">
        <v>42370</v>
      </c>
      <c r="G765">
        <v>8</v>
      </c>
      <c r="H765">
        <v>15</v>
      </c>
      <c r="I765" t="s">
        <v>1199</v>
      </c>
    </row>
    <row r="766" spans="1:12" x14ac:dyDescent="0.25">
      <c r="A766" t="s">
        <v>932</v>
      </c>
      <c r="B766" t="s">
        <v>1999</v>
      </c>
      <c r="C766" t="s">
        <v>1225</v>
      </c>
      <c r="I766" t="s">
        <v>1198</v>
      </c>
    </row>
    <row r="767" spans="1:12" x14ac:dyDescent="0.25">
      <c r="A767" t="s">
        <v>196</v>
      </c>
      <c r="B767" t="s">
        <v>2000</v>
      </c>
      <c r="C767" t="s">
        <v>1225</v>
      </c>
      <c r="D767" s="13">
        <v>90000</v>
      </c>
      <c r="F767" s="10">
        <v>40513</v>
      </c>
      <c r="G767">
        <v>13</v>
      </c>
      <c r="H767">
        <v>15</v>
      </c>
      <c r="I767" t="s">
        <v>1199</v>
      </c>
    </row>
    <row r="768" spans="1:12" x14ac:dyDescent="0.25">
      <c r="A768" t="s">
        <v>196</v>
      </c>
      <c r="B768" t="s">
        <v>2001</v>
      </c>
      <c r="C768" t="s">
        <v>1222</v>
      </c>
      <c r="D768" s="13">
        <v>90000</v>
      </c>
      <c r="F768" s="10">
        <v>40391</v>
      </c>
      <c r="G768">
        <v>14</v>
      </c>
      <c r="H768">
        <v>15</v>
      </c>
      <c r="I768" t="s">
        <v>1199</v>
      </c>
    </row>
    <row r="769" spans="1:12" x14ac:dyDescent="0.25">
      <c r="A769" t="s">
        <v>196</v>
      </c>
      <c r="B769" t="s">
        <v>2002</v>
      </c>
      <c r="C769" t="s">
        <v>1225</v>
      </c>
      <c r="D769" s="13">
        <v>90000</v>
      </c>
      <c r="F769" s="10">
        <v>40452</v>
      </c>
      <c r="G769">
        <v>14</v>
      </c>
      <c r="H769">
        <v>15</v>
      </c>
      <c r="I769" t="s">
        <v>1199</v>
      </c>
    </row>
    <row r="770" spans="1:12" x14ac:dyDescent="0.25">
      <c r="A770" t="s">
        <v>196</v>
      </c>
      <c r="B770" t="s">
        <v>2003</v>
      </c>
      <c r="C770" t="s">
        <v>1218</v>
      </c>
      <c r="E770">
        <v>60</v>
      </c>
      <c r="I770" t="s">
        <v>1198</v>
      </c>
      <c r="J770" t="s">
        <v>1219</v>
      </c>
      <c r="K770" t="s">
        <v>1234</v>
      </c>
      <c r="L770">
        <v>593</v>
      </c>
    </row>
    <row r="771" spans="1:12" x14ac:dyDescent="0.25">
      <c r="A771" t="s">
        <v>196</v>
      </c>
      <c r="B771" t="s">
        <v>2004</v>
      </c>
      <c r="C771" t="s">
        <v>1238</v>
      </c>
      <c r="D771" s="13">
        <v>60000</v>
      </c>
      <c r="F771" s="10">
        <v>39539</v>
      </c>
      <c r="G771">
        <v>16</v>
      </c>
      <c r="H771">
        <v>15</v>
      </c>
      <c r="I771" t="s">
        <v>1198</v>
      </c>
    </row>
    <row r="772" spans="1:12" x14ac:dyDescent="0.25">
      <c r="A772" t="s">
        <v>196</v>
      </c>
      <c r="B772" t="s">
        <v>2005</v>
      </c>
      <c r="C772" t="s">
        <v>1225</v>
      </c>
      <c r="I772" t="s">
        <v>1198</v>
      </c>
    </row>
    <row r="773" spans="1:12" x14ac:dyDescent="0.25">
      <c r="A773" t="s">
        <v>196</v>
      </c>
      <c r="B773" t="s">
        <v>2006</v>
      </c>
      <c r="C773" t="s">
        <v>1225</v>
      </c>
      <c r="D773" s="13">
        <v>90000</v>
      </c>
      <c r="F773" s="10">
        <v>37681</v>
      </c>
      <c r="G773">
        <v>21</v>
      </c>
      <c r="H773">
        <v>15</v>
      </c>
      <c r="I773" t="s">
        <v>1198</v>
      </c>
    </row>
    <row r="774" spans="1:12" x14ac:dyDescent="0.25">
      <c r="A774" t="s">
        <v>196</v>
      </c>
      <c r="B774" t="s">
        <v>2007</v>
      </c>
      <c r="C774" t="s">
        <v>1222</v>
      </c>
      <c r="I774" t="s">
        <v>1198</v>
      </c>
    </row>
    <row r="775" spans="1:12" x14ac:dyDescent="0.25">
      <c r="A775" t="s">
        <v>196</v>
      </c>
      <c r="B775" t="s">
        <v>2008</v>
      </c>
      <c r="C775" t="s">
        <v>1238</v>
      </c>
      <c r="I775" t="s">
        <v>1198</v>
      </c>
    </row>
    <row r="776" spans="1:12" x14ac:dyDescent="0.25">
      <c r="A776" t="s">
        <v>196</v>
      </c>
      <c r="B776" t="s">
        <v>2009</v>
      </c>
      <c r="C776" t="s">
        <v>1222</v>
      </c>
      <c r="I776" t="s">
        <v>1198</v>
      </c>
    </row>
    <row r="777" spans="1:12" x14ac:dyDescent="0.25">
      <c r="A777" t="s">
        <v>196</v>
      </c>
      <c r="B777" t="s">
        <v>2010</v>
      </c>
      <c r="C777" t="s">
        <v>1225</v>
      </c>
      <c r="I777" t="s">
        <v>1198</v>
      </c>
    </row>
    <row r="778" spans="1:12" x14ac:dyDescent="0.25">
      <c r="A778" t="s">
        <v>378</v>
      </c>
      <c r="B778" t="s">
        <v>2011</v>
      </c>
      <c r="C778" t="s">
        <v>1218</v>
      </c>
      <c r="E778">
        <v>60</v>
      </c>
      <c r="I778" t="s">
        <v>1198</v>
      </c>
      <c r="J778" t="s">
        <v>1219</v>
      </c>
      <c r="K778" t="s">
        <v>1220</v>
      </c>
      <c r="L778">
        <v>660.3</v>
      </c>
    </row>
    <row r="779" spans="1:12" x14ac:dyDescent="0.25">
      <c r="A779" t="s">
        <v>378</v>
      </c>
      <c r="B779" t="s">
        <v>2012</v>
      </c>
      <c r="C779" t="s">
        <v>1238</v>
      </c>
      <c r="D779" s="13">
        <v>60000</v>
      </c>
      <c r="F779" s="10">
        <v>40634</v>
      </c>
      <c r="G779">
        <v>13</v>
      </c>
      <c r="H779">
        <v>15</v>
      </c>
      <c r="I779" t="s">
        <v>1199</v>
      </c>
    </row>
    <row r="780" spans="1:12" x14ac:dyDescent="0.25">
      <c r="A780" t="s">
        <v>378</v>
      </c>
      <c r="B780" t="s">
        <v>2013</v>
      </c>
      <c r="C780" t="s">
        <v>1238</v>
      </c>
      <c r="D780" s="13">
        <v>60000</v>
      </c>
      <c r="F780" s="10">
        <v>40391</v>
      </c>
      <c r="G780">
        <v>14</v>
      </c>
      <c r="H780">
        <v>15</v>
      </c>
      <c r="I780" t="s">
        <v>1199</v>
      </c>
    </row>
    <row r="781" spans="1:12" x14ac:dyDescent="0.25">
      <c r="A781" t="s">
        <v>378</v>
      </c>
      <c r="B781" t="s">
        <v>2014</v>
      </c>
      <c r="C781" t="s">
        <v>1222</v>
      </c>
      <c r="D781" s="13">
        <v>60000</v>
      </c>
      <c r="F781" s="10">
        <v>35125</v>
      </c>
      <c r="G781">
        <v>28</v>
      </c>
      <c r="H781">
        <v>15</v>
      </c>
      <c r="I781" t="s">
        <v>1198</v>
      </c>
    </row>
    <row r="782" spans="1:12" x14ac:dyDescent="0.25">
      <c r="A782" t="s">
        <v>378</v>
      </c>
      <c r="B782" t="s">
        <v>2015</v>
      </c>
      <c r="C782" t="s">
        <v>1225</v>
      </c>
      <c r="D782" s="13">
        <v>36000</v>
      </c>
      <c r="F782" s="10">
        <v>36557</v>
      </c>
      <c r="G782">
        <v>24</v>
      </c>
      <c r="H782">
        <v>15</v>
      </c>
      <c r="I782" t="s">
        <v>1198</v>
      </c>
    </row>
    <row r="783" spans="1:12" x14ac:dyDescent="0.25">
      <c r="A783" t="s">
        <v>378</v>
      </c>
      <c r="B783" t="s">
        <v>2016</v>
      </c>
      <c r="C783" t="s">
        <v>1222</v>
      </c>
      <c r="D783" s="13">
        <v>60000</v>
      </c>
      <c r="F783" s="10">
        <v>36892</v>
      </c>
      <c r="G783">
        <v>23</v>
      </c>
      <c r="H783">
        <v>15</v>
      </c>
      <c r="I783" t="s">
        <v>1198</v>
      </c>
    </row>
    <row r="784" spans="1:12" x14ac:dyDescent="0.25">
      <c r="A784" t="s">
        <v>378</v>
      </c>
      <c r="B784" t="s">
        <v>2017</v>
      </c>
      <c r="C784" t="s">
        <v>1222</v>
      </c>
      <c r="D784" s="13">
        <v>60000</v>
      </c>
      <c r="F784" s="10">
        <v>35247</v>
      </c>
      <c r="G784">
        <v>28</v>
      </c>
      <c r="H784">
        <v>15</v>
      </c>
      <c r="I784" t="s">
        <v>1198</v>
      </c>
    </row>
    <row r="785" spans="1:12" x14ac:dyDescent="0.25">
      <c r="A785" t="s">
        <v>378</v>
      </c>
      <c r="B785" t="s">
        <v>2018</v>
      </c>
      <c r="C785" t="s">
        <v>1225</v>
      </c>
      <c r="D785" s="13">
        <v>60000</v>
      </c>
      <c r="F785" s="10">
        <v>32690</v>
      </c>
      <c r="G785">
        <v>35</v>
      </c>
      <c r="H785">
        <v>15</v>
      </c>
      <c r="I785" t="s">
        <v>1198</v>
      </c>
    </row>
    <row r="786" spans="1:12" x14ac:dyDescent="0.25">
      <c r="A786" t="s">
        <v>378</v>
      </c>
      <c r="B786" t="s">
        <v>2019</v>
      </c>
      <c r="C786" t="s">
        <v>1222</v>
      </c>
      <c r="D786" s="13">
        <v>84000</v>
      </c>
      <c r="F786" s="10">
        <v>42095</v>
      </c>
      <c r="G786">
        <v>9</v>
      </c>
      <c r="H786">
        <v>15</v>
      </c>
      <c r="I786" t="s">
        <v>1199</v>
      </c>
    </row>
    <row r="787" spans="1:12" x14ac:dyDescent="0.25">
      <c r="A787" t="s">
        <v>378</v>
      </c>
      <c r="B787" t="s">
        <v>2020</v>
      </c>
      <c r="C787" t="s">
        <v>1225</v>
      </c>
      <c r="D787" s="13">
        <v>60000</v>
      </c>
      <c r="I787" t="s">
        <v>1198</v>
      </c>
    </row>
    <row r="788" spans="1:12" x14ac:dyDescent="0.25">
      <c r="A788" t="s">
        <v>378</v>
      </c>
      <c r="B788" t="s">
        <v>2021</v>
      </c>
      <c r="C788" t="s">
        <v>1222</v>
      </c>
      <c r="D788" s="13">
        <v>60000</v>
      </c>
      <c r="I788" t="s">
        <v>1198</v>
      </c>
    </row>
    <row r="789" spans="1:12" x14ac:dyDescent="0.25">
      <c r="A789" t="s">
        <v>378</v>
      </c>
      <c r="B789" t="s">
        <v>2022</v>
      </c>
      <c r="C789" t="s">
        <v>1222</v>
      </c>
      <c r="D789" s="13">
        <v>60000</v>
      </c>
      <c r="F789" s="10">
        <v>42095</v>
      </c>
      <c r="I789" t="s">
        <v>1198</v>
      </c>
    </row>
    <row r="790" spans="1:12" x14ac:dyDescent="0.25">
      <c r="A790" t="s">
        <v>378</v>
      </c>
      <c r="B790" t="s">
        <v>2023</v>
      </c>
      <c r="C790" t="s">
        <v>1225</v>
      </c>
      <c r="D790" s="13">
        <v>60000</v>
      </c>
      <c r="F790" s="10">
        <v>44700</v>
      </c>
      <c r="I790" t="s">
        <v>1198</v>
      </c>
    </row>
    <row r="791" spans="1:12" x14ac:dyDescent="0.25">
      <c r="A791" t="s">
        <v>383</v>
      </c>
      <c r="B791" t="s">
        <v>2024</v>
      </c>
      <c r="C791" t="s">
        <v>1238</v>
      </c>
      <c r="D791" s="13">
        <v>60000</v>
      </c>
      <c r="I791" t="s">
        <v>1198</v>
      </c>
    </row>
    <row r="792" spans="1:12" x14ac:dyDescent="0.25">
      <c r="A792" t="s">
        <v>383</v>
      </c>
      <c r="B792" t="s">
        <v>2025</v>
      </c>
      <c r="C792" t="s">
        <v>2026</v>
      </c>
      <c r="D792" s="13">
        <v>60000</v>
      </c>
      <c r="I792" t="s">
        <v>1198</v>
      </c>
    </row>
    <row r="793" spans="1:12" x14ac:dyDescent="0.25">
      <c r="A793" t="s">
        <v>383</v>
      </c>
      <c r="B793" t="s">
        <v>2027</v>
      </c>
      <c r="C793" t="s">
        <v>1238</v>
      </c>
      <c r="D793" s="13">
        <v>40000</v>
      </c>
      <c r="I793" t="s">
        <v>1198</v>
      </c>
    </row>
    <row r="794" spans="1:12" x14ac:dyDescent="0.25">
      <c r="A794" t="s">
        <v>383</v>
      </c>
      <c r="B794" t="s">
        <v>2028</v>
      </c>
      <c r="C794" t="s">
        <v>1238</v>
      </c>
      <c r="D794" s="13">
        <v>40000</v>
      </c>
      <c r="I794" t="s">
        <v>1198</v>
      </c>
    </row>
    <row r="795" spans="1:12" x14ac:dyDescent="0.25">
      <c r="A795" t="s">
        <v>712</v>
      </c>
      <c r="B795" t="s">
        <v>2029</v>
      </c>
      <c r="C795" t="s">
        <v>1218</v>
      </c>
      <c r="E795">
        <v>380</v>
      </c>
      <c r="I795" t="s">
        <v>1198</v>
      </c>
      <c r="J795" t="s">
        <v>1219</v>
      </c>
      <c r="K795" t="s">
        <v>1234</v>
      </c>
      <c r="L795">
        <v>1373.7</v>
      </c>
    </row>
    <row r="796" spans="1:12" x14ac:dyDescent="0.25">
      <c r="A796" t="s">
        <v>712</v>
      </c>
      <c r="B796" t="s">
        <v>2030</v>
      </c>
      <c r="C796" t="s">
        <v>1225</v>
      </c>
      <c r="D796" s="13">
        <v>120000</v>
      </c>
      <c r="I796" t="s">
        <v>1198</v>
      </c>
    </row>
    <row r="797" spans="1:12" x14ac:dyDescent="0.25">
      <c r="A797" t="s">
        <v>712</v>
      </c>
      <c r="B797" t="s">
        <v>2031</v>
      </c>
      <c r="C797" t="s">
        <v>1225</v>
      </c>
      <c r="D797" s="13">
        <v>240000</v>
      </c>
      <c r="F797" s="10">
        <v>40909</v>
      </c>
      <c r="G797">
        <v>12</v>
      </c>
      <c r="H797">
        <v>15</v>
      </c>
      <c r="I797" t="s">
        <v>1199</v>
      </c>
    </row>
    <row r="798" spans="1:12" x14ac:dyDescent="0.25">
      <c r="A798" t="s">
        <v>712</v>
      </c>
      <c r="B798" t="s">
        <v>2032</v>
      </c>
      <c r="C798" t="s">
        <v>1225</v>
      </c>
      <c r="D798" s="13">
        <v>36000</v>
      </c>
      <c r="I798" t="s">
        <v>1198</v>
      </c>
    </row>
    <row r="799" spans="1:12" x14ac:dyDescent="0.25">
      <c r="A799" t="s">
        <v>712</v>
      </c>
      <c r="B799" t="s">
        <v>2033</v>
      </c>
      <c r="C799" t="s">
        <v>1222</v>
      </c>
      <c r="I799" t="s">
        <v>1198</v>
      </c>
    </row>
    <row r="800" spans="1:12" x14ac:dyDescent="0.25">
      <c r="A800" t="s">
        <v>712</v>
      </c>
      <c r="B800" t="s">
        <v>2034</v>
      </c>
      <c r="C800" t="s">
        <v>1222</v>
      </c>
      <c r="I800" t="s">
        <v>1198</v>
      </c>
    </row>
    <row r="801" spans="1:12" x14ac:dyDescent="0.25">
      <c r="A801" t="s">
        <v>712</v>
      </c>
      <c r="B801" t="s">
        <v>2035</v>
      </c>
      <c r="C801" t="s">
        <v>1222</v>
      </c>
      <c r="F801" s="10">
        <v>40909</v>
      </c>
      <c r="G801">
        <v>12</v>
      </c>
      <c r="H801">
        <v>15</v>
      </c>
      <c r="I801" t="s">
        <v>1199</v>
      </c>
    </row>
    <row r="802" spans="1:12" x14ac:dyDescent="0.25">
      <c r="A802" t="s">
        <v>712</v>
      </c>
      <c r="B802" t="s">
        <v>2036</v>
      </c>
      <c r="C802" t="s">
        <v>1222</v>
      </c>
      <c r="I802" t="s">
        <v>1198</v>
      </c>
    </row>
    <row r="803" spans="1:12" x14ac:dyDescent="0.25">
      <c r="A803" t="s">
        <v>712</v>
      </c>
      <c r="B803" t="s">
        <v>2037</v>
      </c>
      <c r="C803" t="s">
        <v>1225</v>
      </c>
      <c r="F803" s="10">
        <v>28915</v>
      </c>
      <c r="G803">
        <v>45</v>
      </c>
      <c r="H803">
        <v>15</v>
      </c>
      <c r="I803" t="s">
        <v>1198</v>
      </c>
    </row>
    <row r="804" spans="1:12" x14ac:dyDescent="0.25">
      <c r="A804" t="s">
        <v>712</v>
      </c>
      <c r="B804" t="s">
        <v>2038</v>
      </c>
      <c r="C804" t="s">
        <v>1225</v>
      </c>
      <c r="D804" s="13">
        <v>120000</v>
      </c>
      <c r="I804" t="s">
        <v>1198</v>
      </c>
    </row>
    <row r="805" spans="1:12" x14ac:dyDescent="0.25">
      <c r="A805" t="s">
        <v>712</v>
      </c>
      <c r="B805" t="s">
        <v>2039</v>
      </c>
      <c r="C805" t="s">
        <v>1222</v>
      </c>
      <c r="I805" t="s">
        <v>1198</v>
      </c>
    </row>
    <row r="806" spans="1:12" x14ac:dyDescent="0.25">
      <c r="A806" t="s">
        <v>712</v>
      </c>
      <c r="B806" t="s">
        <v>2040</v>
      </c>
      <c r="C806" t="s">
        <v>1225</v>
      </c>
      <c r="I806" t="s">
        <v>1198</v>
      </c>
    </row>
    <row r="807" spans="1:12" x14ac:dyDescent="0.25">
      <c r="A807" t="s">
        <v>712</v>
      </c>
      <c r="B807" t="s">
        <v>2041</v>
      </c>
      <c r="C807" t="s">
        <v>1225</v>
      </c>
      <c r="I807" t="s">
        <v>1198</v>
      </c>
    </row>
    <row r="808" spans="1:12" x14ac:dyDescent="0.25">
      <c r="A808" t="s">
        <v>712</v>
      </c>
      <c r="B808" t="s">
        <v>2042</v>
      </c>
      <c r="C808" t="s">
        <v>1225</v>
      </c>
      <c r="I808" t="s">
        <v>1198</v>
      </c>
    </row>
    <row r="809" spans="1:12" x14ac:dyDescent="0.25">
      <c r="A809" t="s">
        <v>712</v>
      </c>
      <c r="B809" t="s">
        <v>2043</v>
      </c>
      <c r="C809" t="s">
        <v>1222</v>
      </c>
      <c r="D809" s="13">
        <v>120000</v>
      </c>
      <c r="I809" t="s">
        <v>1198</v>
      </c>
    </row>
    <row r="810" spans="1:12" x14ac:dyDescent="0.25">
      <c r="A810" t="s">
        <v>712</v>
      </c>
      <c r="B810" t="s">
        <v>2044</v>
      </c>
      <c r="C810" t="s">
        <v>1225</v>
      </c>
      <c r="D810" s="13">
        <v>120000</v>
      </c>
      <c r="I810" t="s">
        <v>1198</v>
      </c>
    </row>
    <row r="811" spans="1:12" x14ac:dyDescent="0.25">
      <c r="A811" t="s">
        <v>712</v>
      </c>
      <c r="B811" t="s">
        <v>2045</v>
      </c>
      <c r="C811" t="s">
        <v>1260</v>
      </c>
      <c r="F811" s="10">
        <v>39873</v>
      </c>
      <c r="I811" t="s">
        <v>1198</v>
      </c>
    </row>
    <row r="812" spans="1:12" x14ac:dyDescent="0.25">
      <c r="A812" t="s">
        <v>712</v>
      </c>
      <c r="B812" t="s">
        <v>2046</v>
      </c>
      <c r="C812" t="s">
        <v>1260</v>
      </c>
      <c r="D812" s="13">
        <v>36000</v>
      </c>
      <c r="I812" t="s">
        <v>1198</v>
      </c>
    </row>
    <row r="813" spans="1:12" x14ac:dyDescent="0.25">
      <c r="A813" t="s">
        <v>712</v>
      </c>
      <c r="B813" t="s">
        <v>2047</v>
      </c>
      <c r="C813" t="s">
        <v>1222</v>
      </c>
      <c r="I813" t="s">
        <v>1198</v>
      </c>
    </row>
    <row r="814" spans="1:12" x14ac:dyDescent="0.25">
      <c r="A814" t="s">
        <v>712</v>
      </c>
      <c r="B814" t="s">
        <v>2048</v>
      </c>
      <c r="C814" t="s">
        <v>1225</v>
      </c>
      <c r="I814" t="s">
        <v>1198</v>
      </c>
    </row>
    <row r="815" spans="1:12" x14ac:dyDescent="0.25">
      <c r="A815" t="s">
        <v>717</v>
      </c>
      <c r="B815" t="s">
        <v>2049</v>
      </c>
      <c r="C815" t="s">
        <v>1218</v>
      </c>
      <c r="E815">
        <v>135</v>
      </c>
      <c r="F815" s="10">
        <v>29221</v>
      </c>
      <c r="G815">
        <v>44</v>
      </c>
      <c r="H815">
        <v>25</v>
      </c>
      <c r="I815" t="s">
        <v>1198</v>
      </c>
      <c r="J815" t="s">
        <v>1219</v>
      </c>
      <c r="K815" t="s">
        <v>1234</v>
      </c>
      <c r="L815">
        <v>4833.6000000000004</v>
      </c>
    </row>
    <row r="816" spans="1:12" x14ac:dyDescent="0.25">
      <c r="A816" t="s">
        <v>717</v>
      </c>
      <c r="B816" t="s">
        <v>2050</v>
      </c>
      <c r="C816" t="s">
        <v>1262</v>
      </c>
      <c r="I816" t="s">
        <v>1198</v>
      </c>
    </row>
    <row r="817" spans="1:12" x14ac:dyDescent="0.25">
      <c r="A817" t="s">
        <v>717</v>
      </c>
      <c r="B817" t="s">
        <v>2051</v>
      </c>
      <c r="C817" t="s">
        <v>1225</v>
      </c>
      <c r="I817" t="s">
        <v>1198</v>
      </c>
    </row>
    <row r="818" spans="1:12" x14ac:dyDescent="0.25">
      <c r="A818" t="s">
        <v>717</v>
      </c>
      <c r="B818" t="s">
        <v>2052</v>
      </c>
      <c r="C818" t="s">
        <v>1222</v>
      </c>
      <c r="I818" t="s">
        <v>1198</v>
      </c>
    </row>
    <row r="819" spans="1:12" x14ac:dyDescent="0.25">
      <c r="A819" t="s">
        <v>717</v>
      </c>
      <c r="B819" t="s">
        <v>2053</v>
      </c>
      <c r="C819" t="s">
        <v>1225</v>
      </c>
      <c r="I819" t="s">
        <v>1198</v>
      </c>
    </row>
    <row r="820" spans="1:12" x14ac:dyDescent="0.25">
      <c r="A820" t="s">
        <v>717</v>
      </c>
      <c r="B820" t="s">
        <v>2054</v>
      </c>
      <c r="C820" t="s">
        <v>1222</v>
      </c>
      <c r="I820" t="s">
        <v>1198</v>
      </c>
    </row>
    <row r="821" spans="1:12" x14ac:dyDescent="0.25">
      <c r="A821" t="s">
        <v>759</v>
      </c>
      <c r="B821" t="s">
        <v>2055</v>
      </c>
      <c r="C821" t="s">
        <v>1218</v>
      </c>
      <c r="E821">
        <v>150</v>
      </c>
      <c r="I821" t="s">
        <v>1198</v>
      </c>
      <c r="J821" t="s">
        <v>1219</v>
      </c>
      <c r="K821" t="s">
        <v>1234</v>
      </c>
      <c r="L821">
        <v>814</v>
      </c>
    </row>
    <row r="822" spans="1:12" x14ac:dyDescent="0.25">
      <c r="A822" t="s">
        <v>759</v>
      </c>
      <c r="B822" t="s">
        <v>2056</v>
      </c>
      <c r="C822" t="s">
        <v>1225</v>
      </c>
      <c r="D822" s="13">
        <v>72000</v>
      </c>
      <c r="I822" t="s">
        <v>1198</v>
      </c>
    </row>
    <row r="823" spans="1:12" x14ac:dyDescent="0.25">
      <c r="A823" t="s">
        <v>759</v>
      </c>
      <c r="B823" t="s">
        <v>2057</v>
      </c>
      <c r="C823" t="s">
        <v>1222</v>
      </c>
      <c r="I823" t="s">
        <v>1198</v>
      </c>
    </row>
    <row r="824" spans="1:12" x14ac:dyDescent="0.25">
      <c r="A824" t="s">
        <v>759</v>
      </c>
      <c r="B824" t="s">
        <v>2058</v>
      </c>
      <c r="C824" t="s">
        <v>1225</v>
      </c>
      <c r="I824" t="s">
        <v>1198</v>
      </c>
    </row>
    <row r="825" spans="1:12" x14ac:dyDescent="0.25">
      <c r="A825" t="s">
        <v>759</v>
      </c>
      <c r="B825" t="s">
        <v>2059</v>
      </c>
      <c r="C825" t="s">
        <v>1222</v>
      </c>
      <c r="I825" t="s">
        <v>1198</v>
      </c>
    </row>
    <row r="826" spans="1:12" x14ac:dyDescent="0.25">
      <c r="A826" t="s">
        <v>759</v>
      </c>
      <c r="B826" t="s">
        <v>2060</v>
      </c>
      <c r="C826" t="s">
        <v>1225</v>
      </c>
      <c r="I826" t="s">
        <v>1198</v>
      </c>
    </row>
    <row r="827" spans="1:12" x14ac:dyDescent="0.25">
      <c r="A827" t="s">
        <v>759</v>
      </c>
      <c r="B827" t="s">
        <v>2061</v>
      </c>
      <c r="C827" t="s">
        <v>1222</v>
      </c>
      <c r="I827" t="s">
        <v>1198</v>
      </c>
    </row>
    <row r="828" spans="1:12" x14ac:dyDescent="0.25">
      <c r="A828" t="s">
        <v>721</v>
      </c>
      <c r="B828" t="s">
        <v>2062</v>
      </c>
      <c r="C828" t="s">
        <v>1218</v>
      </c>
      <c r="E828">
        <v>125</v>
      </c>
      <c r="I828" t="s">
        <v>1198</v>
      </c>
      <c r="J828" t="s">
        <v>1219</v>
      </c>
      <c r="K828" t="s">
        <v>1234</v>
      </c>
      <c r="L828">
        <v>206.5</v>
      </c>
    </row>
    <row r="829" spans="1:12" x14ac:dyDescent="0.25">
      <c r="A829" t="s">
        <v>721</v>
      </c>
      <c r="B829" t="s">
        <v>2063</v>
      </c>
      <c r="C829" t="s">
        <v>1225</v>
      </c>
      <c r="D829" s="13">
        <v>120000</v>
      </c>
      <c r="F829" s="10">
        <v>37622</v>
      </c>
      <c r="G829">
        <v>21</v>
      </c>
      <c r="H829">
        <v>15</v>
      </c>
      <c r="I829" t="s">
        <v>1198</v>
      </c>
    </row>
    <row r="830" spans="1:12" x14ac:dyDescent="0.25">
      <c r="A830" t="s">
        <v>721</v>
      </c>
      <c r="B830" t="s">
        <v>2064</v>
      </c>
      <c r="C830" t="s">
        <v>1222</v>
      </c>
      <c r="F830" s="10">
        <v>37622</v>
      </c>
      <c r="G830">
        <v>21</v>
      </c>
      <c r="H830">
        <v>15</v>
      </c>
      <c r="I830" t="s">
        <v>1198</v>
      </c>
    </row>
    <row r="831" spans="1:12" x14ac:dyDescent="0.25">
      <c r="A831" t="s">
        <v>721</v>
      </c>
      <c r="B831" t="s">
        <v>2065</v>
      </c>
      <c r="C831" t="s">
        <v>1222</v>
      </c>
      <c r="F831" s="10">
        <v>33239</v>
      </c>
      <c r="G831">
        <v>33</v>
      </c>
      <c r="H831">
        <v>15</v>
      </c>
      <c r="I831" t="s">
        <v>1198</v>
      </c>
    </row>
    <row r="832" spans="1:12" x14ac:dyDescent="0.25">
      <c r="A832" t="s">
        <v>721</v>
      </c>
      <c r="B832" t="s">
        <v>2066</v>
      </c>
      <c r="C832" t="s">
        <v>1225</v>
      </c>
      <c r="D832" s="13">
        <v>180000</v>
      </c>
      <c r="F832" s="10">
        <v>43376</v>
      </c>
      <c r="G832">
        <v>6</v>
      </c>
      <c r="H832">
        <v>15</v>
      </c>
      <c r="I832" t="s">
        <v>1199</v>
      </c>
    </row>
    <row r="833" spans="1:12" x14ac:dyDescent="0.25">
      <c r="A833" t="s">
        <v>721</v>
      </c>
      <c r="B833" t="s">
        <v>2067</v>
      </c>
      <c r="C833" t="s">
        <v>1222</v>
      </c>
      <c r="D833" s="13">
        <v>180000</v>
      </c>
      <c r="F833" s="10">
        <v>43376</v>
      </c>
      <c r="G833">
        <v>6</v>
      </c>
      <c r="H833">
        <v>15</v>
      </c>
      <c r="I833" t="s">
        <v>1199</v>
      </c>
    </row>
    <row r="834" spans="1:12" x14ac:dyDescent="0.25">
      <c r="A834" t="s">
        <v>721</v>
      </c>
      <c r="B834" t="s">
        <v>2068</v>
      </c>
      <c r="C834" t="s">
        <v>1225</v>
      </c>
      <c r="I834" t="s">
        <v>1198</v>
      </c>
    </row>
    <row r="835" spans="1:12" x14ac:dyDescent="0.25">
      <c r="A835" t="s">
        <v>387</v>
      </c>
      <c r="B835" t="s">
        <v>2069</v>
      </c>
      <c r="C835" t="s">
        <v>1218</v>
      </c>
      <c r="E835">
        <v>150</v>
      </c>
      <c r="I835" t="s">
        <v>1198</v>
      </c>
      <c r="J835" t="s">
        <v>1219</v>
      </c>
      <c r="K835" t="s">
        <v>1220</v>
      </c>
      <c r="L835">
        <v>72.06</v>
      </c>
    </row>
    <row r="836" spans="1:12" x14ac:dyDescent="0.25">
      <c r="A836" t="s">
        <v>387</v>
      </c>
      <c r="B836" t="s">
        <v>2070</v>
      </c>
      <c r="C836" t="s">
        <v>1225</v>
      </c>
      <c r="D836" s="13">
        <v>180000</v>
      </c>
      <c r="I836" t="s">
        <v>1198</v>
      </c>
    </row>
    <row r="837" spans="1:12" x14ac:dyDescent="0.25">
      <c r="A837" t="s">
        <v>387</v>
      </c>
      <c r="B837" t="s">
        <v>2071</v>
      </c>
      <c r="C837" t="s">
        <v>1222</v>
      </c>
      <c r="I837" t="s">
        <v>1198</v>
      </c>
    </row>
    <row r="838" spans="1:12" x14ac:dyDescent="0.25">
      <c r="A838" t="s">
        <v>387</v>
      </c>
      <c r="B838" t="s">
        <v>2072</v>
      </c>
      <c r="C838" t="s">
        <v>1225</v>
      </c>
      <c r="D838" s="13">
        <v>180000</v>
      </c>
      <c r="I838" t="s">
        <v>1198</v>
      </c>
    </row>
    <row r="839" spans="1:12" x14ac:dyDescent="0.25">
      <c r="A839" t="s">
        <v>387</v>
      </c>
      <c r="B839" t="s">
        <v>2073</v>
      </c>
      <c r="C839" t="s">
        <v>1222</v>
      </c>
      <c r="I839" t="s">
        <v>1198</v>
      </c>
    </row>
    <row r="840" spans="1:12" x14ac:dyDescent="0.25">
      <c r="A840" t="s">
        <v>387</v>
      </c>
      <c r="B840" t="s">
        <v>2074</v>
      </c>
      <c r="C840" t="s">
        <v>1225</v>
      </c>
      <c r="I840" t="s">
        <v>1198</v>
      </c>
    </row>
    <row r="841" spans="1:12" x14ac:dyDescent="0.25">
      <c r="A841" t="s">
        <v>387</v>
      </c>
      <c r="B841" t="s">
        <v>2075</v>
      </c>
      <c r="C841" t="s">
        <v>1222</v>
      </c>
      <c r="I841" t="s">
        <v>1198</v>
      </c>
    </row>
    <row r="842" spans="1:12" x14ac:dyDescent="0.25">
      <c r="A842" t="s">
        <v>387</v>
      </c>
      <c r="B842" t="s">
        <v>2076</v>
      </c>
      <c r="C842" t="s">
        <v>1262</v>
      </c>
      <c r="I842" t="s">
        <v>1198</v>
      </c>
    </row>
    <row r="843" spans="1:12" x14ac:dyDescent="0.25">
      <c r="A843" t="s">
        <v>387</v>
      </c>
      <c r="B843" t="s">
        <v>2077</v>
      </c>
      <c r="C843" t="s">
        <v>1262</v>
      </c>
      <c r="I843" t="s">
        <v>1198</v>
      </c>
    </row>
    <row r="844" spans="1:12" x14ac:dyDescent="0.25">
      <c r="A844" t="s">
        <v>566</v>
      </c>
      <c r="B844" t="s">
        <v>2078</v>
      </c>
      <c r="C844" t="s">
        <v>1218</v>
      </c>
      <c r="E844">
        <v>50</v>
      </c>
      <c r="F844" s="10">
        <v>42053</v>
      </c>
      <c r="G844">
        <v>9</v>
      </c>
      <c r="H844">
        <v>25</v>
      </c>
      <c r="I844" t="s">
        <v>1199</v>
      </c>
      <c r="J844" t="s">
        <v>1219</v>
      </c>
      <c r="K844" t="s">
        <v>1220</v>
      </c>
      <c r="L844">
        <v>66</v>
      </c>
    </row>
    <row r="845" spans="1:12" x14ac:dyDescent="0.25">
      <c r="A845" t="s">
        <v>566</v>
      </c>
      <c r="B845" t="s">
        <v>2079</v>
      </c>
      <c r="C845" t="s">
        <v>1225</v>
      </c>
      <c r="D845" s="13">
        <v>60000</v>
      </c>
      <c r="F845" s="10">
        <v>37773</v>
      </c>
      <c r="G845">
        <v>21</v>
      </c>
      <c r="H845">
        <v>15</v>
      </c>
      <c r="I845" t="s">
        <v>1198</v>
      </c>
    </row>
    <row r="846" spans="1:12" x14ac:dyDescent="0.25">
      <c r="A846" t="s">
        <v>566</v>
      </c>
      <c r="B846" t="s">
        <v>2080</v>
      </c>
      <c r="C846" t="s">
        <v>1222</v>
      </c>
      <c r="F846" s="10">
        <v>37742</v>
      </c>
      <c r="G846">
        <v>21</v>
      </c>
      <c r="H846">
        <v>15</v>
      </c>
      <c r="I846" t="s">
        <v>1198</v>
      </c>
    </row>
    <row r="847" spans="1:12" x14ac:dyDescent="0.25">
      <c r="A847" t="s">
        <v>566</v>
      </c>
      <c r="B847" t="s">
        <v>2081</v>
      </c>
      <c r="C847" t="s">
        <v>1238</v>
      </c>
      <c r="D847" s="13">
        <v>60000</v>
      </c>
      <c r="F847" s="10">
        <v>41640</v>
      </c>
      <c r="G847">
        <v>10</v>
      </c>
      <c r="H847">
        <v>15</v>
      </c>
      <c r="I847" t="s">
        <v>1199</v>
      </c>
    </row>
    <row r="848" spans="1:12" x14ac:dyDescent="0.25">
      <c r="A848" t="s">
        <v>566</v>
      </c>
      <c r="B848" t="s">
        <v>2082</v>
      </c>
      <c r="C848" t="s">
        <v>1238</v>
      </c>
      <c r="D848" s="13">
        <v>36000</v>
      </c>
      <c r="F848" s="10">
        <v>43739</v>
      </c>
      <c r="G848">
        <v>5</v>
      </c>
      <c r="H848">
        <v>15</v>
      </c>
      <c r="I848" t="s">
        <v>1199</v>
      </c>
    </row>
    <row r="849" spans="1:12" x14ac:dyDescent="0.25">
      <c r="A849" t="s">
        <v>212</v>
      </c>
      <c r="B849" t="s">
        <v>2083</v>
      </c>
      <c r="C849" t="s">
        <v>1218</v>
      </c>
      <c r="E849">
        <v>125</v>
      </c>
      <c r="F849" s="10">
        <v>38322</v>
      </c>
      <c r="G849">
        <v>19</v>
      </c>
      <c r="H849">
        <v>25</v>
      </c>
      <c r="I849" t="s">
        <v>1199</v>
      </c>
      <c r="J849" t="s">
        <v>1219</v>
      </c>
      <c r="K849" t="s">
        <v>1234</v>
      </c>
      <c r="L849">
        <v>539.70000000000005</v>
      </c>
    </row>
    <row r="850" spans="1:12" x14ac:dyDescent="0.25">
      <c r="A850" t="s">
        <v>212</v>
      </c>
      <c r="B850" t="s">
        <v>2084</v>
      </c>
      <c r="C850" t="s">
        <v>1225</v>
      </c>
      <c r="D850" s="13">
        <v>48000</v>
      </c>
      <c r="F850" s="10">
        <v>35612</v>
      </c>
      <c r="G850">
        <v>27</v>
      </c>
      <c r="H850">
        <v>15</v>
      </c>
      <c r="I850" t="s">
        <v>1198</v>
      </c>
    </row>
    <row r="851" spans="1:12" x14ac:dyDescent="0.25">
      <c r="A851" t="s">
        <v>212</v>
      </c>
      <c r="B851" t="s">
        <v>2085</v>
      </c>
      <c r="C851" t="s">
        <v>1222</v>
      </c>
      <c r="D851" s="13">
        <v>90000</v>
      </c>
      <c r="F851" s="10">
        <v>42826</v>
      </c>
      <c r="G851">
        <v>7</v>
      </c>
      <c r="H851">
        <v>15</v>
      </c>
      <c r="I851" t="s">
        <v>1199</v>
      </c>
    </row>
    <row r="852" spans="1:12" x14ac:dyDescent="0.25">
      <c r="A852" t="s">
        <v>212</v>
      </c>
      <c r="B852" t="s">
        <v>2086</v>
      </c>
      <c r="C852" t="s">
        <v>1296</v>
      </c>
      <c r="D852" s="13">
        <v>60000</v>
      </c>
      <c r="F852" s="10">
        <v>43217</v>
      </c>
      <c r="G852">
        <v>6</v>
      </c>
      <c r="H852">
        <v>15</v>
      </c>
      <c r="I852" t="s">
        <v>1199</v>
      </c>
    </row>
    <row r="853" spans="1:12" x14ac:dyDescent="0.25">
      <c r="A853" t="s">
        <v>212</v>
      </c>
      <c r="B853" t="s">
        <v>2087</v>
      </c>
      <c r="C853" t="s">
        <v>1296</v>
      </c>
      <c r="I853" t="s">
        <v>1198</v>
      </c>
    </row>
    <row r="854" spans="1:12" x14ac:dyDescent="0.25">
      <c r="A854" t="s">
        <v>576</v>
      </c>
      <c r="B854" t="s">
        <v>2088</v>
      </c>
      <c r="C854" t="s">
        <v>1218</v>
      </c>
      <c r="E854">
        <v>150</v>
      </c>
      <c r="I854" t="s">
        <v>1198</v>
      </c>
      <c r="J854" t="s">
        <v>1219</v>
      </c>
      <c r="K854" t="s">
        <v>1234</v>
      </c>
      <c r="L854">
        <v>2019</v>
      </c>
    </row>
    <row r="855" spans="1:12" x14ac:dyDescent="0.25">
      <c r="A855" t="s">
        <v>576</v>
      </c>
      <c r="B855" t="s">
        <v>2089</v>
      </c>
      <c r="C855" t="s">
        <v>1225</v>
      </c>
      <c r="D855" s="13">
        <v>60000</v>
      </c>
      <c r="F855" s="10">
        <v>39083</v>
      </c>
      <c r="G855">
        <v>17</v>
      </c>
      <c r="H855">
        <v>15</v>
      </c>
      <c r="I855" t="s">
        <v>1198</v>
      </c>
    </row>
    <row r="856" spans="1:12" x14ac:dyDescent="0.25">
      <c r="A856" t="s">
        <v>576</v>
      </c>
      <c r="B856" t="s">
        <v>2090</v>
      </c>
      <c r="C856" t="s">
        <v>1225</v>
      </c>
      <c r="D856" s="13">
        <v>96000</v>
      </c>
      <c r="F856" s="10">
        <v>41275</v>
      </c>
      <c r="G856">
        <v>11</v>
      </c>
      <c r="H856">
        <v>15</v>
      </c>
      <c r="I856" t="s">
        <v>1199</v>
      </c>
    </row>
    <row r="857" spans="1:12" x14ac:dyDescent="0.25">
      <c r="A857" t="s">
        <v>576</v>
      </c>
      <c r="B857" t="s">
        <v>2091</v>
      </c>
      <c r="C857" t="s">
        <v>1225</v>
      </c>
      <c r="D857" s="13">
        <v>84000</v>
      </c>
      <c r="F857" s="10">
        <v>36526</v>
      </c>
      <c r="G857">
        <v>24</v>
      </c>
      <c r="H857">
        <v>15</v>
      </c>
      <c r="I857" t="s">
        <v>1198</v>
      </c>
    </row>
    <row r="858" spans="1:12" x14ac:dyDescent="0.25">
      <c r="A858" t="s">
        <v>576</v>
      </c>
      <c r="B858" t="s">
        <v>2092</v>
      </c>
      <c r="C858" t="s">
        <v>1222</v>
      </c>
      <c r="D858" s="13">
        <v>60000</v>
      </c>
      <c r="F858" s="10">
        <v>36526</v>
      </c>
      <c r="G858">
        <v>24</v>
      </c>
      <c r="H858">
        <v>15</v>
      </c>
      <c r="I858" t="s">
        <v>1198</v>
      </c>
    </row>
    <row r="859" spans="1:12" x14ac:dyDescent="0.25">
      <c r="A859" t="s">
        <v>576</v>
      </c>
      <c r="B859" t="s">
        <v>2093</v>
      </c>
      <c r="C859" t="s">
        <v>1225</v>
      </c>
      <c r="D859" s="13">
        <v>60000</v>
      </c>
      <c r="F859" s="10">
        <v>36526</v>
      </c>
      <c r="G859">
        <v>24</v>
      </c>
      <c r="H859">
        <v>15</v>
      </c>
      <c r="I859" t="s">
        <v>1198</v>
      </c>
    </row>
    <row r="860" spans="1:12" x14ac:dyDescent="0.25">
      <c r="A860" t="s">
        <v>576</v>
      </c>
      <c r="B860" t="s">
        <v>2094</v>
      </c>
      <c r="C860" t="s">
        <v>1222</v>
      </c>
      <c r="F860" s="10">
        <v>41832</v>
      </c>
      <c r="I860" t="s">
        <v>1198</v>
      </c>
    </row>
    <row r="861" spans="1:12" x14ac:dyDescent="0.25">
      <c r="A861" t="s">
        <v>576</v>
      </c>
      <c r="B861" t="s">
        <v>2095</v>
      </c>
      <c r="C861" t="s">
        <v>1225</v>
      </c>
      <c r="D861" s="13">
        <v>60000</v>
      </c>
      <c r="F861" s="10">
        <v>42053</v>
      </c>
      <c r="I861" t="s">
        <v>1198</v>
      </c>
    </row>
    <row r="862" spans="1:12" x14ac:dyDescent="0.25">
      <c r="A862" t="s">
        <v>576</v>
      </c>
      <c r="B862" t="s">
        <v>2096</v>
      </c>
      <c r="C862" t="s">
        <v>1222</v>
      </c>
      <c r="D862" s="13">
        <v>60000</v>
      </c>
      <c r="F862" s="10">
        <v>36708</v>
      </c>
      <c r="G862">
        <v>24</v>
      </c>
      <c r="H862">
        <v>15</v>
      </c>
      <c r="I862" t="s">
        <v>1198</v>
      </c>
    </row>
    <row r="863" spans="1:12" x14ac:dyDescent="0.25">
      <c r="A863" t="s">
        <v>576</v>
      </c>
      <c r="B863" t="s">
        <v>2097</v>
      </c>
      <c r="C863" t="s">
        <v>1222</v>
      </c>
      <c r="D863" s="13">
        <v>81600</v>
      </c>
      <c r="F863" s="10">
        <v>36800</v>
      </c>
      <c r="G863">
        <v>24</v>
      </c>
      <c r="H863">
        <v>15</v>
      </c>
      <c r="I863" t="s">
        <v>1198</v>
      </c>
    </row>
    <row r="864" spans="1:12" x14ac:dyDescent="0.25">
      <c r="A864" t="s">
        <v>576</v>
      </c>
      <c r="B864" t="s">
        <v>2098</v>
      </c>
      <c r="C864" t="s">
        <v>1222</v>
      </c>
      <c r="I864" t="s">
        <v>1198</v>
      </c>
    </row>
    <row r="865" spans="1:12" x14ac:dyDescent="0.25">
      <c r="A865" t="s">
        <v>576</v>
      </c>
      <c r="B865" t="s">
        <v>2099</v>
      </c>
      <c r="C865" t="s">
        <v>1225</v>
      </c>
      <c r="D865" s="13">
        <v>36000</v>
      </c>
      <c r="F865" s="10">
        <v>44064</v>
      </c>
      <c r="G865">
        <v>4</v>
      </c>
      <c r="H865">
        <v>15</v>
      </c>
      <c r="I865" t="s">
        <v>1199</v>
      </c>
    </row>
    <row r="866" spans="1:12" x14ac:dyDescent="0.25">
      <c r="A866" t="s">
        <v>576</v>
      </c>
      <c r="B866" t="s">
        <v>2100</v>
      </c>
      <c r="C866" t="s">
        <v>1225</v>
      </c>
      <c r="I866" t="s">
        <v>1198</v>
      </c>
    </row>
    <row r="867" spans="1:12" x14ac:dyDescent="0.25">
      <c r="A867" t="s">
        <v>576</v>
      </c>
      <c r="B867" t="s">
        <v>2101</v>
      </c>
      <c r="C867" t="s">
        <v>1222</v>
      </c>
      <c r="D867" s="13">
        <v>48000</v>
      </c>
      <c r="I867" t="s">
        <v>1198</v>
      </c>
    </row>
    <row r="868" spans="1:12" x14ac:dyDescent="0.25">
      <c r="A868" t="s">
        <v>576</v>
      </c>
      <c r="B868" t="s">
        <v>2102</v>
      </c>
      <c r="C868" t="s">
        <v>1222</v>
      </c>
      <c r="I868" t="s">
        <v>1198</v>
      </c>
    </row>
    <row r="869" spans="1:12" x14ac:dyDescent="0.25">
      <c r="A869" t="s">
        <v>576</v>
      </c>
      <c r="B869" t="s">
        <v>2103</v>
      </c>
      <c r="C869" t="s">
        <v>1225</v>
      </c>
      <c r="D869" s="13">
        <v>60000</v>
      </c>
      <c r="F869" s="10">
        <v>45736</v>
      </c>
      <c r="I869" t="s">
        <v>1198</v>
      </c>
    </row>
    <row r="870" spans="1:12" x14ac:dyDescent="0.25">
      <c r="A870" t="s">
        <v>576</v>
      </c>
      <c r="B870" t="s">
        <v>2104</v>
      </c>
      <c r="C870" t="s">
        <v>1222</v>
      </c>
      <c r="D870" s="13">
        <v>60000</v>
      </c>
      <c r="F870" s="10">
        <v>45736</v>
      </c>
      <c r="I870" t="s">
        <v>1198</v>
      </c>
    </row>
    <row r="871" spans="1:12" x14ac:dyDescent="0.25">
      <c r="A871" t="s">
        <v>397</v>
      </c>
      <c r="B871" t="s">
        <v>2105</v>
      </c>
      <c r="C871" t="s">
        <v>1218</v>
      </c>
      <c r="E871">
        <v>100</v>
      </c>
      <c r="F871" s="10">
        <v>40544</v>
      </c>
      <c r="G871">
        <v>13</v>
      </c>
      <c r="H871">
        <v>25</v>
      </c>
      <c r="I871" t="s">
        <v>1199</v>
      </c>
      <c r="J871" t="s">
        <v>1219</v>
      </c>
      <c r="K871" t="s">
        <v>1220</v>
      </c>
      <c r="L871">
        <v>484.1</v>
      </c>
    </row>
    <row r="872" spans="1:12" x14ac:dyDescent="0.25">
      <c r="A872" t="s">
        <v>51</v>
      </c>
      <c r="B872" t="s">
        <v>2106</v>
      </c>
      <c r="C872" t="s">
        <v>1218</v>
      </c>
      <c r="E872">
        <v>80</v>
      </c>
      <c r="F872" s="10">
        <v>32356</v>
      </c>
      <c r="G872">
        <v>36</v>
      </c>
      <c r="H872">
        <v>25</v>
      </c>
      <c r="I872" t="s">
        <v>1198</v>
      </c>
      <c r="J872" t="s">
        <v>1219</v>
      </c>
      <c r="K872" t="s">
        <v>1234</v>
      </c>
      <c r="L872">
        <v>431.9</v>
      </c>
    </row>
    <row r="873" spans="1:12" x14ac:dyDescent="0.25">
      <c r="A873" t="s">
        <v>51</v>
      </c>
      <c r="B873" t="s">
        <v>2107</v>
      </c>
      <c r="C873" t="s">
        <v>1225</v>
      </c>
      <c r="D873" s="13">
        <v>120000</v>
      </c>
      <c r="F873" s="10">
        <v>32417</v>
      </c>
      <c r="G873">
        <v>36</v>
      </c>
      <c r="H873">
        <v>15</v>
      </c>
      <c r="I873" t="s">
        <v>1198</v>
      </c>
    </row>
    <row r="874" spans="1:12" x14ac:dyDescent="0.25">
      <c r="A874" t="s">
        <v>51</v>
      </c>
      <c r="B874" t="s">
        <v>2108</v>
      </c>
      <c r="C874" t="s">
        <v>1222</v>
      </c>
      <c r="D874" s="13">
        <v>60000</v>
      </c>
      <c r="F874" s="10">
        <v>37956</v>
      </c>
      <c r="G874">
        <v>20</v>
      </c>
      <c r="H874">
        <v>15</v>
      </c>
      <c r="I874" t="s">
        <v>1198</v>
      </c>
    </row>
    <row r="875" spans="1:12" x14ac:dyDescent="0.25">
      <c r="A875" t="s">
        <v>51</v>
      </c>
      <c r="B875" t="s">
        <v>2109</v>
      </c>
      <c r="C875" t="s">
        <v>1225</v>
      </c>
      <c r="D875" s="13">
        <v>48000</v>
      </c>
      <c r="F875" s="10">
        <v>42522</v>
      </c>
      <c r="G875">
        <v>8</v>
      </c>
      <c r="H875">
        <v>15</v>
      </c>
      <c r="I875" t="s">
        <v>1199</v>
      </c>
    </row>
    <row r="876" spans="1:12" x14ac:dyDescent="0.25">
      <c r="A876" t="s">
        <v>51</v>
      </c>
      <c r="B876" t="s">
        <v>2110</v>
      </c>
      <c r="C876" t="s">
        <v>1222</v>
      </c>
      <c r="D876" s="13">
        <v>42000</v>
      </c>
      <c r="F876" s="10">
        <v>41699</v>
      </c>
      <c r="G876">
        <v>10</v>
      </c>
      <c r="H876">
        <v>15</v>
      </c>
      <c r="I876" t="s">
        <v>1199</v>
      </c>
    </row>
    <row r="877" spans="1:12" x14ac:dyDescent="0.25">
      <c r="A877" t="s">
        <v>51</v>
      </c>
      <c r="B877" t="s">
        <v>2111</v>
      </c>
      <c r="C877" t="s">
        <v>1225</v>
      </c>
      <c r="D877" s="13">
        <v>48000</v>
      </c>
      <c r="F877" s="10">
        <v>42186</v>
      </c>
      <c r="G877">
        <v>9</v>
      </c>
      <c r="H877">
        <v>15</v>
      </c>
      <c r="I877" t="s">
        <v>1199</v>
      </c>
    </row>
    <row r="878" spans="1:12" x14ac:dyDescent="0.25">
      <c r="A878" t="s">
        <v>51</v>
      </c>
      <c r="B878" t="s">
        <v>2112</v>
      </c>
      <c r="C878" t="s">
        <v>1225</v>
      </c>
      <c r="D878" s="13">
        <v>36000</v>
      </c>
      <c r="F878" s="10">
        <v>41395</v>
      </c>
      <c r="G878">
        <v>11</v>
      </c>
      <c r="H878">
        <v>15</v>
      </c>
      <c r="I878" t="s">
        <v>1199</v>
      </c>
    </row>
    <row r="879" spans="1:12" x14ac:dyDescent="0.25">
      <c r="A879" t="s">
        <v>51</v>
      </c>
      <c r="B879" t="s">
        <v>2113</v>
      </c>
      <c r="C879" t="s">
        <v>1222</v>
      </c>
      <c r="D879" s="13">
        <v>36000</v>
      </c>
      <c r="F879" s="10">
        <v>41244</v>
      </c>
      <c r="G879">
        <v>11</v>
      </c>
      <c r="H879">
        <v>15</v>
      </c>
      <c r="I879" t="s">
        <v>1199</v>
      </c>
    </row>
    <row r="880" spans="1:12" x14ac:dyDescent="0.25">
      <c r="A880" t="s">
        <v>51</v>
      </c>
      <c r="B880" t="s">
        <v>2114</v>
      </c>
      <c r="C880" t="s">
        <v>1225</v>
      </c>
      <c r="D880" s="13">
        <v>48000</v>
      </c>
      <c r="F880" s="10">
        <v>41730</v>
      </c>
      <c r="G880">
        <v>10</v>
      </c>
      <c r="H880">
        <v>15</v>
      </c>
      <c r="I880" t="s">
        <v>1199</v>
      </c>
    </row>
    <row r="881" spans="1:12" x14ac:dyDescent="0.25">
      <c r="A881" t="s">
        <v>51</v>
      </c>
      <c r="B881" t="s">
        <v>2115</v>
      </c>
      <c r="C881" t="s">
        <v>1222</v>
      </c>
      <c r="D881" s="13">
        <v>90000</v>
      </c>
      <c r="F881" s="10">
        <v>41821</v>
      </c>
      <c r="G881">
        <v>10</v>
      </c>
      <c r="H881">
        <v>15</v>
      </c>
      <c r="I881" t="s">
        <v>1199</v>
      </c>
    </row>
    <row r="882" spans="1:12" x14ac:dyDescent="0.25">
      <c r="A882" t="s">
        <v>51</v>
      </c>
      <c r="B882" t="s">
        <v>2116</v>
      </c>
      <c r="C882" t="s">
        <v>1225</v>
      </c>
      <c r="I882" t="s">
        <v>1198</v>
      </c>
    </row>
    <row r="883" spans="1:12" x14ac:dyDescent="0.25">
      <c r="A883" t="s">
        <v>51</v>
      </c>
      <c r="B883" t="s">
        <v>2117</v>
      </c>
      <c r="C883" t="s">
        <v>1222</v>
      </c>
      <c r="I883" t="s">
        <v>1198</v>
      </c>
    </row>
    <row r="884" spans="1:12" x14ac:dyDescent="0.25">
      <c r="A884" t="s">
        <v>392</v>
      </c>
      <c r="B884" t="s">
        <v>2118</v>
      </c>
      <c r="C884" t="s">
        <v>1218</v>
      </c>
      <c r="E884">
        <v>135</v>
      </c>
      <c r="F884" s="10">
        <v>36039</v>
      </c>
      <c r="G884">
        <v>26</v>
      </c>
      <c r="H884">
        <v>25</v>
      </c>
      <c r="I884" t="s">
        <v>1198</v>
      </c>
      <c r="J884" t="s">
        <v>1219</v>
      </c>
      <c r="K884" t="s">
        <v>1220</v>
      </c>
      <c r="L884">
        <v>206.8</v>
      </c>
    </row>
    <row r="885" spans="1:12" x14ac:dyDescent="0.25">
      <c r="A885" t="s">
        <v>392</v>
      </c>
      <c r="B885" t="s">
        <v>2119</v>
      </c>
      <c r="C885" t="s">
        <v>1225</v>
      </c>
      <c r="D885" s="13">
        <v>48000</v>
      </c>
      <c r="I885" t="s">
        <v>1198</v>
      </c>
    </row>
    <row r="886" spans="1:12" x14ac:dyDescent="0.25">
      <c r="A886" t="s">
        <v>392</v>
      </c>
      <c r="B886" t="s">
        <v>2120</v>
      </c>
      <c r="C886" t="s">
        <v>1225</v>
      </c>
      <c r="D886" s="13">
        <v>96000</v>
      </c>
      <c r="I886" t="s">
        <v>1198</v>
      </c>
    </row>
    <row r="887" spans="1:12" x14ac:dyDescent="0.25">
      <c r="A887" t="s">
        <v>392</v>
      </c>
      <c r="B887" t="s">
        <v>2121</v>
      </c>
      <c r="C887" t="s">
        <v>1225</v>
      </c>
      <c r="D887" s="13">
        <v>30000</v>
      </c>
      <c r="F887" s="10">
        <v>37561</v>
      </c>
      <c r="G887">
        <v>21</v>
      </c>
      <c r="H887">
        <v>15</v>
      </c>
      <c r="I887" t="s">
        <v>1198</v>
      </c>
    </row>
    <row r="888" spans="1:12" x14ac:dyDescent="0.25">
      <c r="A888" t="s">
        <v>392</v>
      </c>
      <c r="B888" t="s">
        <v>2122</v>
      </c>
      <c r="C888" t="s">
        <v>1222</v>
      </c>
      <c r="D888" s="13">
        <v>82000</v>
      </c>
      <c r="I888" t="s">
        <v>1198</v>
      </c>
    </row>
    <row r="889" spans="1:12" x14ac:dyDescent="0.25">
      <c r="A889" t="s">
        <v>392</v>
      </c>
      <c r="B889" t="s">
        <v>2123</v>
      </c>
      <c r="C889" t="s">
        <v>1225</v>
      </c>
      <c r="D889" s="13">
        <v>42000</v>
      </c>
      <c r="F889" s="10">
        <v>44258</v>
      </c>
      <c r="G889">
        <v>3</v>
      </c>
      <c r="H889">
        <v>15</v>
      </c>
      <c r="I889" t="s">
        <v>1199</v>
      </c>
    </row>
    <row r="890" spans="1:12" x14ac:dyDescent="0.25">
      <c r="A890" t="s">
        <v>392</v>
      </c>
      <c r="B890" t="s">
        <v>2124</v>
      </c>
      <c r="C890" t="s">
        <v>1222</v>
      </c>
      <c r="I890" t="s">
        <v>1198</v>
      </c>
    </row>
    <row r="891" spans="1:12" x14ac:dyDescent="0.25">
      <c r="A891" t="s">
        <v>392</v>
      </c>
      <c r="B891" t="s">
        <v>2125</v>
      </c>
      <c r="C891" t="s">
        <v>1222</v>
      </c>
      <c r="I891" t="s">
        <v>1198</v>
      </c>
    </row>
    <row r="892" spans="1:12" x14ac:dyDescent="0.25">
      <c r="A892" t="s">
        <v>687</v>
      </c>
      <c r="B892" t="s">
        <v>2126</v>
      </c>
      <c r="C892" t="s">
        <v>1225</v>
      </c>
      <c r="D892" s="13">
        <v>30000</v>
      </c>
      <c r="F892" s="10">
        <v>41061</v>
      </c>
      <c r="G892">
        <v>12</v>
      </c>
      <c r="H892">
        <v>15</v>
      </c>
      <c r="I892" t="s">
        <v>1199</v>
      </c>
    </row>
    <row r="893" spans="1:12" x14ac:dyDescent="0.25">
      <c r="A893" t="s">
        <v>687</v>
      </c>
      <c r="B893" t="s">
        <v>2127</v>
      </c>
      <c r="C893" t="s">
        <v>1222</v>
      </c>
      <c r="F893" s="10">
        <v>41061</v>
      </c>
      <c r="G893">
        <v>12</v>
      </c>
      <c r="H893">
        <v>15</v>
      </c>
      <c r="I893" t="s">
        <v>1199</v>
      </c>
    </row>
    <row r="894" spans="1:12" x14ac:dyDescent="0.25">
      <c r="A894" t="s">
        <v>687</v>
      </c>
      <c r="B894" t="s">
        <v>2128</v>
      </c>
      <c r="C894" t="s">
        <v>1225</v>
      </c>
      <c r="D894" s="13">
        <v>30000</v>
      </c>
      <c r="F894" s="10">
        <v>42826</v>
      </c>
      <c r="G894">
        <v>7</v>
      </c>
      <c r="H894">
        <v>15</v>
      </c>
      <c r="I894" t="s">
        <v>1199</v>
      </c>
    </row>
    <row r="895" spans="1:12" x14ac:dyDescent="0.25">
      <c r="A895" t="s">
        <v>687</v>
      </c>
      <c r="B895" t="s">
        <v>2129</v>
      </c>
      <c r="C895" t="s">
        <v>1222</v>
      </c>
      <c r="D895" s="13">
        <v>60000</v>
      </c>
      <c r="F895" s="10">
        <v>42826</v>
      </c>
      <c r="G895">
        <v>7</v>
      </c>
      <c r="H895">
        <v>15</v>
      </c>
      <c r="I895" t="s">
        <v>1199</v>
      </c>
    </row>
    <row r="896" spans="1:12" x14ac:dyDescent="0.25">
      <c r="A896" t="s">
        <v>687</v>
      </c>
      <c r="B896" t="s">
        <v>2130</v>
      </c>
      <c r="C896" t="s">
        <v>1218</v>
      </c>
      <c r="E896">
        <v>100</v>
      </c>
      <c r="F896" s="10">
        <v>42278</v>
      </c>
      <c r="G896">
        <v>9</v>
      </c>
      <c r="H896">
        <v>25</v>
      </c>
      <c r="I896" t="s">
        <v>1199</v>
      </c>
      <c r="J896" t="s">
        <v>1219</v>
      </c>
      <c r="K896" t="s">
        <v>1234</v>
      </c>
      <c r="L896">
        <v>250.2</v>
      </c>
    </row>
    <row r="897" spans="1:12" x14ac:dyDescent="0.25">
      <c r="A897" t="s">
        <v>687</v>
      </c>
      <c r="B897" t="s">
        <v>2131</v>
      </c>
      <c r="C897" t="s">
        <v>1296</v>
      </c>
      <c r="D897" s="13">
        <v>60000</v>
      </c>
      <c r="F897" s="10">
        <v>42309</v>
      </c>
      <c r="G897">
        <v>8</v>
      </c>
      <c r="H897">
        <v>15</v>
      </c>
      <c r="I897" t="s">
        <v>1199</v>
      </c>
    </row>
    <row r="898" spans="1:12" x14ac:dyDescent="0.25">
      <c r="A898" t="s">
        <v>687</v>
      </c>
      <c r="B898" t="s">
        <v>2132</v>
      </c>
      <c r="C898" t="s">
        <v>1260</v>
      </c>
      <c r="D898" s="13">
        <v>60000</v>
      </c>
      <c r="F898" s="10">
        <v>43089</v>
      </c>
      <c r="I898" t="s">
        <v>1198</v>
      </c>
    </row>
    <row r="899" spans="1:12" x14ac:dyDescent="0.25">
      <c r="A899" t="s">
        <v>687</v>
      </c>
      <c r="B899" t="s">
        <v>2133</v>
      </c>
      <c r="C899" t="s">
        <v>1260</v>
      </c>
      <c r="D899" s="13">
        <v>60000</v>
      </c>
      <c r="F899" s="10">
        <v>43089</v>
      </c>
      <c r="I899" t="s">
        <v>1198</v>
      </c>
    </row>
    <row r="900" spans="1:12" x14ac:dyDescent="0.25">
      <c r="A900" t="s">
        <v>207</v>
      </c>
      <c r="B900" t="s">
        <v>2134</v>
      </c>
      <c r="C900" t="s">
        <v>1225</v>
      </c>
      <c r="D900" s="13">
        <v>120000</v>
      </c>
      <c r="I900" t="s">
        <v>1198</v>
      </c>
    </row>
    <row r="901" spans="1:12" x14ac:dyDescent="0.25">
      <c r="A901" t="s">
        <v>207</v>
      </c>
      <c r="B901" t="s">
        <v>2135</v>
      </c>
      <c r="C901" t="s">
        <v>1225</v>
      </c>
      <c r="D901" s="13">
        <v>120000</v>
      </c>
      <c r="F901" s="10">
        <v>39995</v>
      </c>
      <c r="G901">
        <v>15</v>
      </c>
      <c r="H901">
        <v>15</v>
      </c>
      <c r="I901" t="s">
        <v>1198</v>
      </c>
    </row>
    <row r="902" spans="1:12" x14ac:dyDescent="0.25">
      <c r="A902" t="s">
        <v>207</v>
      </c>
      <c r="B902" t="s">
        <v>2136</v>
      </c>
      <c r="C902" t="s">
        <v>1225</v>
      </c>
      <c r="D902" s="13">
        <v>120000</v>
      </c>
      <c r="I902" t="s">
        <v>1198</v>
      </c>
    </row>
    <row r="903" spans="1:12" x14ac:dyDescent="0.25">
      <c r="A903" t="s">
        <v>207</v>
      </c>
      <c r="B903" t="s">
        <v>2137</v>
      </c>
      <c r="C903" t="s">
        <v>1225</v>
      </c>
      <c r="D903" s="13">
        <v>30000</v>
      </c>
      <c r="I903" t="s">
        <v>1198</v>
      </c>
    </row>
    <row r="904" spans="1:12" x14ac:dyDescent="0.25">
      <c r="A904" t="s">
        <v>207</v>
      </c>
      <c r="B904" t="s">
        <v>2138</v>
      </c>
      <c r="C904" t="s">
        <v>1225</v>
      </c>
      <c r="D904" s="13">
        <v>90000</v>
      </c>
      <c r="I904" t="s">
        <v>1198</v>
      </c>
    </row>
    <row r="905" spans="1:12" x14ac:dyDescent="0.25">
      <c r="A905" t="s">
        <v>207</v>
      </c>
      <c r="B905" t="s">
        <v>2139</v>
      </c>
      <c r="C905" t="s">
        <v>1222</v>
      </c>
      <c r="D905" s="13">
        <v>60000</v>
      </c>
      <c r="F905" s="10">
        <v>39934</v>
      </c>
      <c r="G905">
        <v>15</v>
      </c>
      <c r="H905">
        <v>15</v>
      </c>
      <c r="I905" t="s">
        <v>1198</v>
      </c>
    </row>
    <row r="906" spans="1:12" x14ac:dyDescent="0.25">
      <c r="A906" t="s">
        <v>207</v>
      </c>
      <c r="B906" t="s">
        <v>2140</v>
      </c>
      <c r="C906" t="s">
        <v>1222</v>
      </c>
      <c r="D906" s="13">
        <v>120000</v>
      </c>
      <c r="I906" t="s">
        <v>1198</v>
      </c>
    </row>
    <row r="907" spans="1:12" x14ac:dyDescent="0.25">
      <c r="A907" t="s">
        <v>207</v>
      </c>
      <c r="B907" t="s">
        <v>2141</v>
      </c>
      <c r="C907" t="s">
        <v>1222</v>
      </c>
      <c r="D907" s="13">
        <v>90000</v>
      </c>
      <c r="I907" t="s">
        <v>1198</v>
      </c>
    </row>
    <row r="908" spans="1:12" x14ac:dyDescent="0.25">
      <c r="A908" t="s">
        <v>207</v>
      </c>
      <c r="B908" t="s">
        <v>2142</v>
      </c>
      <c r="C908" t="s">
        <v>1218</v>
      </c>
      <c r="E908">
        <v>315</v>
      </c>
      <c r="F908" s="10">
        <v>32874</v>
      </c>
      <c r="G908">
        <v>34</v>
      </c>
      <c r="H908">
        <v>25</v>
      </c>
      <c r="I908" t="s">
        <v>1198</v>
      </c>
      <c r="J908" t="s">
        <v>1219</v>
      </c>
      <c r="K908" t="s">
        <v>1234</v>
      </c>
      <c r="L908">
        <v>1757.1</v>
      </c>
    </row>
    <row r="909" spans="1:12" x14ac:dyDescent="0.25">
      <c r="A909" t="s">
        <v>207</v>
      </c>
      <c r="B909" t="s">
        <v>2143</v>
      </c>
      <c r="C909" t="s">
        <v>1225</v>
      </c>
      <c r="D909" s="13">
        <v>120000</v>
      </c>
      <c r="F909" s="10">
        <v>42370</v>
      </c>
      <c r="G909">
        <v>8</v>
      </c>
      <c r="H909">
        <v>15</v>
      </c>
      <c r="I909" t="s">
        <v>1199</v>
      </c>
    </row>
    <row r="910" spans="1:12" x14ac:dyDescent="0.25">
      <c r="A910" t="s">
        <v>207</v>
      </c>
      <c r="B910" t="s">
        <v>2144</v>
      </c>
      <c r="C910" t="s">
        <v>1225</v>
      </c>
      <c r="D910" s="13">
        <v>120000</v>
      </c>
      <c r="F910" s="10">
        <v>42370</v>
      </c>
      <c r="G910">
        <v>8</v>
      </c>
      <c r="H910">
        <v>15</v>
      </c>
      <c r="I910" t="s">
        <v>1199</v>
      </c>
    </row>
    <row r="911" spans="1:12" x14ac:dyDescent="0.25">
      <c r="A911" t="s">
        <v>207</v>
      </c>
      <c r="B911" t="s">
        <v>2145</v>
      </c>
      <c r="C911" t="s">
        <v>1222</v>
      </c>
      <c r="D911" s="13">
        <v>120000</v>
      </c>
      <c r="F911" s="10">
        <v>42370</v>
      </c>
      <c r="G911">
        <v>8</v>
      </c>
      <c r="H911">
        <v>15</v>
      </c>
      <c r="I911" t="s">
        <v>1199</v>
      </c>
    </row>
    <row r="912" spans="1:12" x14ac:dyDescent="0.25">
      <c r="A912" t="s">
        <v>207</v>
      </c>
      <c r="B912" t="s">
        <v>2146</v>
      </c>
      <c r="C912" t="s">
        <v>1222</v>
      </c>
      <c r="D912" s="13">
        <v>36000</v>
      </c>
      <c r="F912" s="10">
        <v>42370</v>
      </c>
      <c r="G912">
        <v>8</v>
      </c>
      <c r="H912">
        <v>15</v>
      </c>
      <c r="I912" t="s">
        <v>1199</v>
      </c>
    </row>
    <row r="913" spans="1:12" x14ac:dyDescent="0.25">
      <c r="A913" t="s">
        <v>207</v>
      </c>
      <c r="B913" t="s">
        <v>2147</v>
      </c>
      <c r="C913" t="s">
        <v>1222</v>
      </c>
      <c r="I913" t="s">
        <v>1198</v>
      </c>
    </row>
    <row r="914" spans="1:12" x14ac:dyDescent="0.25">
      <c r="A914" t="s">
        <v>207</v>
      </c>
      <c r="B914" t="s">
        <v>2148</v>
      </c>
      <c r="C914" t="s">
        <v>1225</v>
      </c>
      <c r="I914" t="s">
        <v>1198</v>
      </c>
    </row>
    <row r="915" spans="1:12" x14ac:dyDescent="0.25">
      <c r="A915" t="s">
        <v>207</v>
      </c>
      <c r="B915" t="s">
        <v>2149</v>
      </c>
      <c r="C915" t="s">
        <v>1225</v>
      </c>
      <c r="I915" t="s">
        <v>1198</v>
      </c>
    </row>
    <row r="916" spans="1:12" x14ac:dyDescent="0.25">
      <c r="A916" t="s">
        <v>207</v>
      </c>
      <c r="B916" t="s">
        <v>2150</v>
      </c>
      <c r="C916" t="s">
        <v>1225</v>
      </c>
      <c r="I916" t="s">
        <v>1198</v>
      </c>
    </row>
    <row r="917" spans="1:12" x14ac:dyDescent="0.25">
      <c r="A917" t="s">
        <v>207</v>
      </c>
      <c r="B917" t="s">
        <v>2151</v>
      </c>
      <c r="C917" t="s">
        <v>1222</v>
      </c>
      <c r="D917">
        <v>10</v>
      </c>
      <c r="F917" s="10">
        <v>45229</v>
      </c>
      <c r="G917">
        <v>0</v>
      </c>
      <c r="H917">
        <v>15</v>
      </c>
      <c r="I917" t="s">
        <v>1199</v>
      </c>
    </row>
    <row r="918" spans="1:12" x14ac:dyDescent="0.25">
      <c r="A918" t="s">
        <v>207</v>
      </c>
      <c r="B918" t="s">
        <v>2152</v>
      </c>
      <c r="C918" t="s">
        <v>1222</v>
      </c>
      <c r="D918" s="13">
        <v>120000</v>
      </c>
      <c r="F918" s="10">
        <v>43101</v>
      </c>
      <c r="G918">
        <v>6</v>
      </c>
      <c r="H918">
        <v>15</v>
      </c>
      <c r="I918" t="s">
        <v>1199</v>
      </c>
    </row>
    <row r="919" spans="1:12" x14ac:dyDescent="0.25">
      <c r="A919" t="s">
        <v>207</v>
      </c>
      <c r="B919" t="s">
        <v>2153</v>
      </c>
      <c r="C919" t="s">
        <v>1225</v>
      </c>
      <c r="I919" t="s">
        <v>1198</v>
      </c>
    </row>
    <row r="920" spans="1:12" x14ac:dyDescent="0.25">
      <c r="A920" t="s">
        <v>725</v>
      </c>
      <c r="B920" t="s">
        <v>2154</v>
      </c>
      <c r="C920" t="s">
        <v>1218</v>
      </c>
      <c r="E920">
        <v>190</v>
      </c>
      <c r="F920" s="10">
        <v>40360</v>
      </c>
      <c r="G920">
        <v>14</v>
      </c>
      <c r="H920">
        <v>25</v>
      </c>
      <c r="I920" t="s">
        <v>1199</v>
      </c>
      <c r="J920" t="s">
        <v>1219</v>
      </c>
      <c r="K920" t="s">
        <v>1234</v>
      </c>
      <c r="L920">
        <v>322.8</v>
      </c>
    </row>
    <row r="921" spans="1:12" x14ac:dyDescent="0.25">
      <c r="A921" t="s">
        <v>725</v>
      </c>
      <c r="B921" t="s">
        <v>2155</v>
      </c>
      <c r="C921" t="s">
        <v>1222</v>
      </c>
      <c r="F921" s="10">
        <v>37043</v>
      </c>
      <c r="G921">
        <v>23</v>
      </c>
      <c r="H921">
        <v>15</v>
      </c>
      <c r="I921" t="s">
        <v>1198</v>
      </c>
    </row>
    <row r="922" spans="1:12" x14ac:dyDescent="0.25">
      <c r="A922" t="s">
        <v>725</v>
      </c>
      <c r="B922" t="s">
        <v>2156</v>
      </c>
      <c r="C922" t="s">
        <v>1222</v>
      </c>
      <c r="F922" s="10">
        <v>33512</v>
      </c>
      <c r="G922">
        <v>33</v>
      </c>
      <c r="H922">
        <v>15</v>
      </c>
      <c r="I922" t="s">
        <v>1198</v>
      </c>
    </row>
    <row r="923" spans="1:12" x14ac:dyDescent="0.25">
      <c r="A923" t="s">
        <v>725</v>
      </c>
      <c r="B923" t="s">
        <v>2157</v>
      </c>
      <c r="C923" t="s">
        <v>1222</v>
      </c>
      <c r="I923" t="s">
        <v>1198</v>
      </c>
    </row>
    <row r="924" spans="1:12" x14ac:dyDescent="0.25">
      <c r="A924" t="s">
        <v>725</v>
      </c>
      <c r="B924" t="s">
        <v>2158</v>
      </c>
      <c r="C924" t="s">
        <v>1225</v>
      </c>
      <c r="F924" s="10">
        <v>37043</v>
      </c>
      <c r="G924">
        <v>23</v>
      </c>
      <c r="H924">
        <v>15</v>
      </c>
      <c r="I924" t="s">
        <v>1198</v>
      </c>
    </row>
    <row r="925" spans="1:12" x14ac:dyDescent="0.25">
      <c r="A925" t="s">
        <v>725</v>
      </c>
      <c r="B925" t="s">
        <v>2159</v>
      </c>
      <c r="C925" t="s">
        <v>1225</v>
      </c>
      <c r="D925" s="13">
        <v>18000</v>
      </c>
      <c r="F925" s="10">
        <v>33752</v>
      </c>
      <c r="G925">
        <v>32</v>
      </c>
      <c r="H925">
        <v>15</v>
      </c>
      <c r="I925" t="s">
        <v>1198</v>
      </c>
    </row>
    <row r="926" spans="1:12" x14ac:dyDescent="0.25">
      <c r="A926" t="s">
        <v>725</v>
      </c>
      <c r="B926" t="s">
        <v>2160</v>
      </c>
      <c r="C926" t="s">
        <v>1225</v>
      </c>
      <c r="F926" s="10">
        <v>33239</v>
      </c>
      <c r="G926">
        <v>33</v>
      </c>
      <c r="H926">
        <v>15</v>
      </c>
      <c r="I926" t="s">
        <v>1198</v>
      </c>
    </row>
    <row r="927" spans="1:12" x14ac:dyDescent="0.25">
      <c r="A927" t="s">
        <v>725</v>
      </c>
      <c r="B927" t="s">
        <v>2161</v>
      </c>
      <c r="C927" t="s">
        <v>1225</v>
      </c>
      <c r="I927" t="s">
        <v>1198</v>
      </c>
    </row>
    <row r="928" spans="1:12" x14ac:dyDescent="0.25">
      <c r="A928" t="s">
        <v>725</v>
      </c>
      <c r="B928" t="s">
        <v>2162</v>
      </c>
      <c r="C928" t="s">
        <v>1225</v>
      </c>
      <c r="F928" s="10">
        <v>37043</v>
      </c>
      <c r="G928">
        <v>23</v>
      </c>
      <c r="H928">
        <v>15</v>
      </c>
      <c r="I928" t="s">
        <v>1198</v>
      </c>
    </row>
    <row r="929" spans="1:12" x14ac:dyDescent="0.25">
      <c r="A929" t="s">
        <v>725</v>
      </c>
      <c r="B929" t="s">
        <v>2163</v>
      </c>
      <c r="C929" t="s">
        <v>1222</v>
      </c>
      <c r="I929" t="s">
        <v>1198</v>
      </c>
    </row>
    <row r="930" spans="1:12" x14ac:dyDescent="0.25">
      <c r="A930" t="s">
        <v>725</v>
      </c>
      <c r="B930" t="s">
        <v>2164</v>
      </c>
      <c r="C930" t="s">
        <v>1225</v>
      </c>
      <c r="I930" t="s">
        <v>1198</v>
      </c>
    </row>
    <row r="931" spans="1:12" x14ac:dyDescent="0.25">
      <c r="A931" t="s">
        <v>725</v>
      </c>
      <c r="B931" t="s">
        <v>2165</v>
      </c>
      <c r="C931" t="s">
        <v>1296</v>
      </c>
      <c r="I931" t="s">
        <v>1198</v>
      </c>
    </row>
    <row r="932" spans="1:12" x14ac:dyDescent="0.25">
      <c r="A932" t="s">
        <v>57</v>
      </c>
      <c r="B932" t="s">
        <v>2166</v>
      </c>
      <c r="C932" t="s">
        <v>1218</v>
      </c>
      <c r="E932">
        <v>150</v>
      </c>
      <c r="F932" s="10">
        <v>36526</v>
      </c>
      <c r="G932">
        <v>24</v>
      </c>
      <c r="H932">
        <v>25</v>
      </c>
      <c r="I932" t="s">
        <v>1199</v>
      </c>
      <c r="J932" t="s">
        <v>1219</v>
      </c>
      <c r="K932" t="s">
        <v>1234</v>
      </c>
      <c r="L932">
        <v>877.3</v>
      </c>
    </row>
    <row r="933" spans="1:12" x14ac:dyDescent="0.25">
      <c r="A933" t="s">
        <v>57</v>
      </c>
      <c r="B933" t="s">
        <v>2167</v>
      </c>
      <c r="C933" t="s">
        <v>1238</v>
      </c>
      <c r="D933" s="13">
        <v>60000</v>
      </c>
      <c r="F933" s="10">
        <v>40695</v>
      </c>
      <c r="G933">
        <v>13</v>
      </c>
      <c r="H933">
        <v>15</v>
      </c>
      <c r="I933" t="s">
        <v>1199</v>
      </c>
    </row>
    <row r="934" spans="1:12" x14ac:dyDescent="0.25">
      <c r="A934" t="s">
        <v>57</v>
      </c>
      <c r="B934" t="s">
        <v>2168</v>
      </c>
      <c r="C934" t="s">
        <v>1238</v>
      </c>
      <c r="D934" s="13">
        <v>60000</v>
      </c>
      <c r="F934" s="10">
        <v>43009</v>
      </c>
      <c r="G934">
        <v>7</v>
      </c>
      <c r="H934">
        <v>15</v>
      </c>
      <c r="I934" t="s">
        <v>1199</v>
      </c>
    </row>
    <row r="935" spans="1:12" x14ac:dyDescent="0.25">
      <c r="A935" t="s">
        <v>57</v>
      </c>
      <c r="B935" t="s">
        <v>2169</v>
      </c>
      <c r="C935" t="s">
        <v>1260</v>
      </c>
      <c r="D935" s="13">
        <v>90000</v>
      </c>
      <c r="F935" s="10">
        <v>41365</v>
      </c>
      <c r="I935" t="s">
        <v>1198</v>
      </c>
    </row>
    <row r="936" spans="1:12" x14ac:dyDescent="0.25">
      <c r="A936" t="s">
        <v>57</v>
      </c>
      <c r="B936" t="s">
        <v>2170</v>
      </c>
      <c r="C936" t="s">
        <v>1260</v>
      </c>
      <c r="D936" s="13">
        <v>72000</v>
      </c>
      <c r="I936" t="s">
        <v>1198</v>
      </c>
    </row>
    <row r="937" spans="1:12" x14ac:dyDescent="0.25">
      <c r="A937" t="s">
        <v>57</v>
      </c>
      <c r="B937" t="s">
        <v>2171</v>
      </c>
      <c r="C937" t="s">
        <v>1260</v>
      </c>
      <c r="D937" s="13">
        <v>90000</v>
      </c>
      <c r="F937" s="10">
        <v>41334</v>
      </c>
      <c r="I937" t="s">
        <v>1198</v>
      </c>
    </row>
    <row r="938" spans="1:12" x14ac:dyDescent="0.25">
      <c r="A938" t="s">
        <v>57</v>
      </c>
      <c r="B938" t="s">
        <v>2172</v>
      </c>
      <c r="C938" t="s">
        <v>1260</v>
      </c>
      <c r="D938" s="13">
        <v>60000</v>
      </c>
      <c r="I938" t="s">
        <v>1198</v>
      </c>
    </row>
    <row r="939" spans="1:12" x14ac:dyDescent="0.25">
      <c r="A939" t="s">
        <v>581</v>
      </c>
      <c r="B939" t="s">
        <v>2173</v>
      </c>
      <c r="C939" t="s">
        <v>1218</v>
      </c>
      <c r="E939">
        <v>100</v>
      </c>
      <c r="I939" t="s">
        <v>1198</v>
      </c>
      <c r="J939" t="s">
        <v>1219</v>
      </c>
      <c r="K939" t="s">
        <v>1234</v>
      </c>
      <c r="L939">
        <v>482.9</v>
      </c>
    </row>
    <row r="940" spans="1:12" x14ac:dyDescent="0.25">
      <c r="A940" t="s">
        <v>581</v>
      </c>
      <c r="B940" t="s">
        <v>2174</v>
      </c>
      <c r="C940" t="s">
        <v>1222</v>
      </c>
      <c r="D940" s="13">
        <v>90000</v>
      </c>
      <c r="F940" s="10">
        <v>42401</v>
      </c>
      <c r="G940">
        <v>8</v>
      </c>
      <c r="H940">
        <v>15</v>
      </c>
      <c r="I940" t="s">
        <v>1199</v>
      </c>
    </row>
    <row r="941" spans="1:12" x14ac:dyDescent="0.25">
      <c r="A941" t="s">
        <v>581</v>
      </c>
      <c r="B941" t="s">
        <v>2175</v>
      </c>
      <c r="C941" t="s">
        <v>1225</v>
      </c>
      <c r="D941" s="13">
        <v>90000</v>
      </c>
      <c r="F941" s="10">
        <v>42095</v>
      </c>
      <c r="G941">
        <v>9</v>
      </c>
      <c r="H941">
        <v>15</v>
      </c>
      <c r="I941" t="s">
        <v>1199</v>
      </c>
    </row>
    <row r="942" spans="1:12" x14ac:dyDescent="0.25">
      <c r="A942" t="s">
        <v>581</v>
      </c>
      <c r="B942" t="s">
        <v>2176</v>
      </c>
      <c r="C942" t="s">
        <v>1225</v>
      </c>
      <c r="D942" s="13">
        <v>90000</v>
      </c>
      <c r="F942" s="10">
        <v>39965</v>
      </c>
      <c r="G942">
        <v>15</v>
      </c>
      <c r="H942">
        <v>15</v>
      </c>
      <c r="I942" t="s">
        <v>1198</v>
      </c>
    </row>
    <row r="943" spans="1:12" x14ac:dyDescent="0.25">
      <c r="A943" t="s">
        <v>581</v>
      </c>
      <c r="B943" t="s">
        <v>2177</v>
      </c>
      <c r="C943" t="s">
        <v>1222</v>
      </c>
      <c r="D943" s="13">
        <v>90000</v>
      </c>
      <c r="F943" s="10">
        <v>39965</v>
      </c>
      <c r="G943">
        <v>15</v>
      </c>
      <c r="H943">
        <v>15</v>
      </c>
      <c r="I943" t="s">
        <v>1198</v>
      </c>
    </row>
    <row r="944" spans="1:12" x14ac:dyDescent="0.25">
      <c r="A944" t="s">
        <v>581</v>
      </c>
      <c r="B944" t="s">
        <v>2178</v>
      </c>
      <c r="C944" t="s">
        <v>1225</v>
      </c>
      <c r="D944" s="13">
        <v>90000</v>
      </c>
      <c r="F944" s="10">
        <v>39965</v>
      </c>
      <c r="G944">
        <v>15</v>
      </c>
      <c r="H944">
        <v>15</v>
      </c>
      <c r="I944" t="s">
        <v>1198</v>
      </c>
    </row>
    <row r="945" spans="1:12" x14ac:dyDescent="0.25">
      <c r="A945" t="s">
        <v>581</v>
      </c>
      <c r="B945" t="s">
        <v>2179</v>
      </c>
      <c r="C945" t="s">
        <v>1222</v>
      </c>
      <c r="D945" s="13">
        <v>90000</v>
      </c>
      <c r="F945" s="10">
        <v>39965</v>
      </c>
      <c r="G945">
        <v>15</v>
      </c>
      <c r="H945">
        <v>15</v>
      </c>
      <c r="I945" t="s">
        <v>1198</v>
      </c>
    </row>
    <row r="946" spans="1:12" x14ac:dyDescent="0.25">
      <c r="A946" t="s">
        <v>581</v>
      </c>
      <c r="B946" t="s">
        <v>2180</v>
      </c>
      <c r="C946" t="s">
        <v>1238</v>
      </c>
      <c r="D946" s="13">
        <v>60000</v>
      </c>
      <c r="F946" s="10">
        <v>43140</v>
      </c>
      <c r="G946">
        <v>6</v>
      </c>
      <c r="H946">
        <v>15</v>
      </c>
      <c r="I946" t="s">
        <v>1199</v>
      </c>
    </row>
    <row r="947" spans="1:12" x14ac:dyDescent="0.25">
      <c r="A947" t="s">
        <v>581</v>
      </c>
      <c r="B947" t="s">
        <v>2181</v>
      </c>
      <c r="C947" t="s">
        <v>1238</v>
      </c>
      <c r="F947" s="10">
        <v>44502</v>
      </c>
      <c r="G947">
        <v>2</v>
      </c>
      <c r="H947">
        <v>15</v>
      </c>
      <c r="I947" t="s">
        <v>1199</v>
      </c>
    </row>
    <row r="948" spans="1:12" x14ac:dyDescent="0.25">
      <c r="A948" t="s">
        <v>581</v>
      </c>
      <c r="B948" t="s">
        <v>2182</v>
      </c>
      <c r="C948" t="s">
        <v>1238</v>
      </c>
      <c r="D948" s="13">
        <v>72000</v>
      </c>
      <c r="F948" s="10">
        <v>44714</v>
      </c>
      <c r="G948">
        <v>2</v>
      </c>
      <c r="H948">
        <v>15</v>
      </c>
      <c r="I948" t="s">
        <v>1199</v>
      </c>
    </row>
    <row r="949" spans="1:12" x14ac:dyDescent="0.25">
      <c r="A949" t="s">
        <v>581</v>
      </c>
      <c r="B949" t="s">
        <v>2183</v>
      </c>
      <c r="C949" t="s">
        <v>1238</v>
      </c>
      <c r="I949" t="s">
        <v>1198</v>
      </c>
    </row>
    <row r="950" spans="1:12" x14ac:dyDescent="0.25">
      <c r="A950" t="s">
        <v>406</v>
      </c>
      <c r="B950" t="s">
        <v>2184</v>
      </c>
      <c r="C950" t="s">
        <v>1218</v>
      </c>
      <c r="E950">
        <v>100</v>
      </c>
      <c r="F950" s="10">
        <v>38139</v>
      </c>
      <c r="G950">
        <v>20</v>
      </c>
      <c r="H950">
        <v>25</v>
      </c>
      <c r="I950" t="s">
        <v>1199</v>
      </c>
      <c r="J950" t="s">
        <v>1219</v>
      </c>
      <c r="K950" t="s">
        <v>1220</v>
      </c>
      <c r="L950">
        <v>219.8</v>
      </c>
    </row>
    <row r="951" spans="1:12" x14ac:dyDescent="0.25">
      <c r="A951" t="s">
        <v>406</v>
      </c>
      <c r="B951" t="s">
        <v>2185</v>
      </c>
      <c r="C951" t="s">
        <v>1225</v>
      </c>
      <c r="D951" s="13">
        <v>24000</v>
      </c>
      <c r="I951" t="s">
        <v>1198</v>
      </c>
    </row>
    <row r="952" spans="1:12" x14ac:dyDescent="0.25">
      <c r="A952" t="s">
        <v>406</v>
      </c>
      <c r="B952" t="s">
        <v>2186</v>
      </c>
      <c r="C952" t="s">
        <v>1225</v>
      </c>
      <c r="D952" s="13">
        <v>30000</v>
      </c>
      <c r="F952" s="10">
        <v>36892</v>
      </c>
      <c r="G952">
        <v>23</v>
      </c>
      <c r="H952">
        <v>15</v>
      </c>
      <c r="I952" t="s">
        <v>1198</v>
      </c>
    </row>
    <row r="953" spans="1:12" x14ac:dyDescent="0.25">
      <c r="A953" t="s">
        <v>406</v>
      </c>
      <c r="B953" t="s">
        <v>2187</v>
      </c>
      <c r="C953" t="s">
        <v>1225</v>
      </c>
      <c r="D953" s="13">
        <v>30000</v>
      </c>
      <c r="F953" s="10">
        <v>42125</v>
      </c>
      <c r="G953">
        <v>9</v>
      </c>
      <c r="H953">
        <v>15</v>
      </c>
      <c r="I953" t="s">
        <v>1199</v>
      </c>
    </row>
    <row r="954" spans="1:12" x14ac:dyDescent="0.25">
      <c r="A954" t="s">
        <v>406</v>
      </c>
      <c r="B954" t="s">
        <v>2188</v>
      </c>
      <c r="C954" t="s">
        <v>1225</v>
      </c>
      <c r="D954" s="13">
        <v>30000</v>
      </c>
      <c r="F954" s="10">
        <v>42186</v>
      </c>
      <c r="G954">
        <v>9</v>
      </c>
      <c r="H954">
        <v>15</v>
      </c>
      <c r="I954" t="s">
        <v>1199</v>
      </c>
    </row>
    <row r="955" spans="1:12" x14ac:dyDescent="0.25">
      <c r="A955" t="s">
        <v>406</v>
      </c>
      <c r="B955" t="s">
        <v>2189</v>
      </c>
      <c r="C955" t="s">
        <v>1225</v>
      </c>
      <c r="D955" s="13">
        <v>30000</v>
      </c>
      <c r="F955" s="10">
        <v>42064</v>
      </c>
      <c r="G955">
        <v>9</v>
      </c>
      <c r="H955">
        <v>15</v>
      </c>
      <c r="I955" t="s">
        <v>1199</v>
      </c>
    </row>
    <row r="956" spans="1:12" x14ac:dyDescent="0.25">
      <c r="A956" t="s">
        <v>406</v>
      </c>
      <c r="B956" t="s">
        <v>2190</v>
      </c>
      <c r="C956" t="s">
        <v>1222</v>
      </c>
      <c r="D956" s="13">
        <v>30000</v>
      </c>
      <c r="F956" s="10">
        <v>42064</v>
      </c>
      <c r="G956">
        <v>9</v>
      </c>
      <c r="H956">
        <v>15</v>
      </c>
      <c r="I956" t="s">
        <v>1199</v>
      </c>
    </row>
    <row r="957" spans="1:12" x14ac:dyDescent="0.25">
      <c r="A957" t="s">
        <v>406</v>
      </c>
      <c r="B957" t="s">
        <v>2191</v>
      </c>
      <c r="C957" t="s">
        <v>1222</v>
      </c>
      <c r="D957" s="13">
        <v>30000</v>
      </c>
      <c r="F957" s="10">
        <v>42064</v>
      </c>
      <c r="G957">
        <v>9</v>
      </c>
      <c r="H957">
        <v>15</v>
      </c>
      <c r="I957" t="s">
        <v>1199</v>
      </c>
    </row>
    <row r="958" spans="1:12" x14ac:dyDescent="0.25">
      <c r="A958" t="s">
        <v>406</v>
      </c>
      <c r="B958" t="s">
        <v>2192</v>
      </c>
      <c r="C958" t="s">
        <v>1222</v>
      </c>
      <c r="D958" s="13">
        <v>30000</v>
      </c>
      <c r="I958" t="s">
        <v>1198</v>
      </c>
    </row>
    <row r="959" spans="1:12" x14ac:dyDescent="0.25">
      <c r="A959" t="s">
        <v>406</v>
      </c>
      <c r="B959" t="s">
        <v>2193</v>
      </c>
      <c r="C959" t="s">
        <v>1222</v>
      </c>
      <c r="D959" s="13">
        <v>30000</v>
      </c>
      <c r="F959" s="10">
        <v>36892</v>
      </c>
      <c r="G959">
        <v>23</v>
      </c>
      <c r="H959">
        <v>15</v>
      </c>
      <c r="I959" t="s">
        <v>1198</v>
      </c>
    </row>
    <row r="960" spans="1:12" x14ac:dyDescent="0.25">
      <c r="A960" t="s">
        <v>406</v>
      </c>
      <c r="B960" t="s">
        <v>2194</v>
      </c>
      <c r="C960" t="s">
        <v>1225</v>
      </c>
      <c r="D960" s="13">
        <v>180000</v>
      </c>
      <c r="I960" t="s">
        <v>1198</v>
      </c>
    </row>
    <row r="961" spans="1:12" x14ac:dyDescent="0.25">
      <c r="A961" t="s">
        <v>406</v>
      </c>
      <c r="B961" t="s">
        <v>2195</v>
      </c>
      <c r="C961" t="s">
        <v>1222</v>
      </c>
      <c r="I961" t="s">
        <v>1198</v>
      </c>
    </row>
    <row r="962" spans="1:12" x14ac:dyDescent="0.25">
      <c r="A962" t="s">
        <v>406</v>
      </c>
      <c r="B962" t="s">
        <v>2196</v>
      </c>
      <c r="C962" t="s">
        <v>1222</v>
      </c>
      <c r="I962" t="s">
        <v>1198</v>
      </c>
    </row>
    <row r="963" spans="1:12" x14ac:dyDescent="0.25">
      <c r="A963" t="s">
        <v>406</v>
      </c>
      <c r="B963" t="s">
        <v>2197</v>
      </c>
      <c r="C963" t="s">
        <v>1225</v>
      </c>
      <c r="D963" s="13">
        <v>36000</v>
      </c>
      <c r="F963" s="10">
        <v>44166</v>
      </c>
      <c r="I963" t="s">
        <v>1198</v>
      </c>
    </row>
    <row r="964" spans="1:12" x14ac:dyDescent="0.25">
      <c r="A964" t="s">
        <v>406</v>
      </c>
      <c r="B964" t="s">
        <v>2198</v>
      </c>
      <c r="C964" t="s">
        <v>1222</v>
      </c>
      <c r="D964" s="13">
        <v>36000</v>
      </c>
      <c r="F964" s="10">
        <v>44228</v>
      </c>
      <c r="I964" t="s">
        <v>1198</v>
      </c>
    </row>
    <row r="965" spans="1:12" x14ac:dyDescent="0.25">
      <c r="A965" t="s">
        <v>670</v>
      </c>
      <c r="B965" t="s">
        <v>2199</v>
      </c>
      <c r="C965" t="s">
        <v>1296</v>
      </c>
      <c r="D965" s="13">
        <v>36000</v>
      </c>
      <c r="I965" t="s">
        <v>1198</v>
      </c>
    </row>
    <row r="966" spans="1:12" x14ac:dyDescent="0.25">
      <c r="A966" t="s">
        <v>670</v>
      </c>
      <c r="B966" t="s">
        <v>2200</v>
      </c>
      <c r="C966" t="s">
        <v>1296</v>
      </c>
      <c r="D966" s="13">
        <v>90000</v>
      </c>
      <c r="I966" t="s">
        <v>1198</v>
      </c>
    </row>
    <row r="967" spans="1:12" x14ac:dyDescent="0.25">
      <c r="A967" t="s">
        <v>670</v>
      </c>
      <c r="B967" t="s">
        <v>2201</v>
      </c>
      <c r="C967" t="s">
        <v>1218</v>
      </c>
      <c r="E967">
        <v>150</v>
      </c>
      <c r="F967" s="10">
        <v>30987</v>
      </c>
      <c r="G967">
        <v>39</v>
      </c>
      <c r="H967">
        <v>25</v>
      </c>
      <c r="I967" t="s">
        <v>1198</v>
      </c>
      <c r="J967" t="s">
        <v>1219</v>
      </c>
      <c r="K967" t="s">
        <v>1220</v>
      </c>
      <c r="L967">
        <v>15362</v>
      </c>
    </row>
    <row r="968" spans="1:12" x14ac:dyDescent="0.25">
      <c r="A968" t="s">
        <v>670</v>
      </c>
      <c r="B968" t="s">
        <v>2202</v>
      </c>
      <c r="C968" t="s">
        <v>1296</v>
      </c>
      <c r="D968" s="13">
        <v>60000</v>
      </c>
      <c r="F968" s="10">
        <v>42522</v>
      </c>
      <c r="G968">
        <v>8</v>
      </c>
      <c r="H968">
        <v>15</v>
      </c>
      <c r="I968" t="s">
        <v>1199</v>
      </c>
    </row>
    <row r="969" spans="1:12" x14ac:dyDescent="0.25">
      <c r="A969" t="s">
        <v>670</v>
      </c>
      <c r="B969" t="s">
        <v>2203</v>
      </c>
      <c r="C969" t="s">
        <v>1296</v>
      </c>
      <c r="D969" s="13">
        <v>90000</v>
      </c>
      <c r="F969" s="10">
        <v>42522</v>
      </c>
      <c r="G969">
        <v>8</v>
      </c>
      <c r="H969">
        <v>15</v>
      </c>
      <c r="I969" t="s">
        <v>1199</v>
      </c>
    </row>
    <row r="970" spans="1:12" x14ac:dyDescent="0.25">
      <c r="A970" t="s">
        <v>670</v>
      </c>
      <c r="B970" t="s">
        <v>2204</v>
      </c>
      <c r="C970" t="s">
        <v>1296</v>
      </c>
      <c r="D970" s="13">
        <v>60000</v>
      </c>
      <c r="I970" t="s">
        <v>1198</v>
      </c>
    </row>
    <row r="971" spans="1:12" x14ac:dyDescent="0.25">
      <c r="A971" t="s">
        <v>670</v>
      </c>
      <c r="B971" t="s">
        <v>2205</v>
      </c>
      <c r="C971" t="s">
        <v>1296</v>
      </c>
      <c r="I971" t="s">
        <v>1198</v>
      </c>
    </row>
    <row r="972" spans="1:12" x14ac:dyDescent="0.25">
      <c r="A972" t="s">
        <v>730</v>
      </c>
      <c r="B972" t="s">
        <v>2206</v>
      </c>
      <c r="C972" t="s">
        <v>1225</v>
      </c>
      <c r="F972" s="10">
        <v>32234</v>
      </c>
      <c r="G972">
        <v>36</v>
      </c>
      <c r="H972">
        <v>15</v>
      </c>
      <c r="I972" t="s">
        <v>1198</v>
      </c>
    </row>
    <row r="973" spans="1:12" x14ac:dyDescent="0.25">
      <c r="A973" t="s">
        <v>730</v>
      </c>
      <c r="B973" t="s">
        <v>2207</v>
      </c>
      <c r="C973" t="s">
        <v>1222</v>
      </c>
      <c r="F973" s="10">
        <v>35796</v>
      </c>
      <c r="G973">
        <v>26</v>
      </c>
      <c r="H973">
        <v>15</v>
      </c>
      <c r="I973" t="s">
        <v>1198</v>
      </c>
    </row>
    <row r="974" spans="1:12" x14ac:dyDescent="0.25">
      <c r="A974" t="s">
        <v>730</v>
      </c>
      <c r="B974" t="s">
        <v>2208</v>
      </c>
      <c r="C974" t="s">
        <v>1225</v>
      </c>
      <c r="F974" s="10">
        <v>29952</v>
      </c>
      <c r="G974">
        <v>42</v>
      </c>
      <c r="H974">
        <v>15</v>
      </c>
      <c r="I974" t="s">
        <v>1198</v>
      </c>
    </row>
    <row r="975" spans="1:12" x14ac:dyDescent="0.25">
      <c r="A975" t="s">
        <v>730</v>
      </c>
      <c r="B975" t="s">
        <v>2209</v>
      </c>
      <c r="C975" t="s">
        <v>1222</v>
      </c>
      <c r="D975" s="13">
        <v>60000</v>
      </c>
      <c r="F975" s="10">
        <v>32234</v>
      </c>
      <c r="G975">
        <v>36</v>
      </c>
      <c r="H975">
        <v>15</v>
      </c>
      <c r="I975" t="s">
        <v>1198</v>
      </c>
    </row>
    <row r="976" spans="1:12" x14ac:dyDescent="0.25">
      <c r="A976" t="s">
        <v>730</v>
      </c>
      <c r="B976" t="s">
        <v>2210</v>
      </c>
      <c r="C976" t="s">
        <v>1218</v>
      </c>
      <c r="E976">
        <v>100</v>
      </c>
      <c r="F976" s="10">
        <v>42292</v>
      </c>
      <c r="G976">
        <v>8</v>
      </c>
      <c r="H976">
        <v>25</v>
      </c>
      <c r="I976" t="s">
        <v>1199</v>
      </c>
      <c r="J976" t="s">
        <v>1219</v>
      </c>
      <c r="K976" t="s">
        <v>1220</v>
      </c>
      <c r="L976">
        <v>166.8</v>
      </c>
    </row>
    <row r="977" spans="1:12" x14ac:dyDescent="0.25">
      <c r="A977" t="s">
        <v>730</v>
      </c>
      <c r="B977" t="s">
        <v>2211</v>
      </c>
      <c r="C977" t="s">
        <v>1222</v>
      </c>
      <c r="D977" s="13">
        <v>60000</v>
      </c>
      <c r="F977" s="10">
        <v>43917</v>
      </c>
      <c r="G977">
        <v>4</v>
      </c>
      <c r="H977">
        <v>15</v>
      </c>
      <c r="I977" t="s">
        <v>1199</v>
      </c>
    </row>
    <row r="978" spans="1:12" x14ac:dyDescent="0.25">
      <c r="A978" t="s">
        <v>730</v>
      </c>
      <c r="B978" t="s">
        <v>2212</v>
      </c>
      <c r="C978" t="s">
        <v>1225</v>
      </c>
      <c r="I978" t="s">
        <v>1198</v>
      </c>
    </row>
    <row r="979" spans="1:12" x14ac:dyDescent="0.25">
      <c r="A979" t="s">
        <v>730</v>
      </c>
      <c r="B979" t="s">
        <v>2213</v>
      </c>
      <c r="C979" t="s">
        <v>1225</v>
      </c>
      <c r="I979" t="s">
        <v>1198</v>
      </c>
    </row>
    <row r="980" spans="1:12" x14ac:dyDescent="0.25">
      <c r="A980" t="s">
        <v>730</v>
      </c>
      <c r="B980" t="s">
        <v>2214</v>
      </c>
      <c r="C980" t="s">
        <v>1225</v>
      </c>
      <c r="I980" t="s">
        <v>1198</v>
      </c>
    </row>
    <row r="981" spans="1:12" x14ac:dyDescent="0.25">
      <c r="A981" t="s">
        <v>730</v>
      </c>
      <c r="B981" t="s">
        <v>2215</v>
      </c>
      <c r="C981" t="s">
        <v>1225</v>
      </c>
      <c r="F981" s="10">
        <v>45292</v>
      </c>
      <c r="I981" t="s">
        <v>1198</v>
      </c>
    </row>
    <row r="982" spans="1:12" x14ac:dyDescent="0.25">
      <c r="A982" t="s">
        <v>730</v>
      </c>
      <c r="B982" t="s">
        <v>2216</v>
      </c>
      <c r="C982" t="s">
        <v>1222</v>
      </c>
      <c r="F982" s="10">
        <v>45292</v>
      </c>
      <c r="I982" t="s">
        <v>1198</v>
      </c>
    </row>
    <row r="983" spans="1:12" x14ac:dyDescent="0.25">
      <c r="A983" t="s">
        <v>740</v>
      </c>
      <c r="B983" t="s">
        <v>2217</v>
      </c>
      <c r="C983" t="s">
        <v>1218</v>
      </c>
      <c r="E983">
        <v>660</v>
      </c>
      <c r="F983" s="10">
        <v>37987</v>
      </c>
      <c r="G983">
        <v>20</v>
      </c>
      <c r="H983">
        <v>25</v>
      </c>
      <c r="I983" t="s">
        <v>1199</v>
      </c>
      <c r="J983" t="s">
        <v>1219</v>
      </c>
      <c r="K983" t="s">
        <v>1234</v>
      </c>
      <c r="L983">
        <v>560.79999999999995</v>
      </c>
    </row>
    <row r="984" spans="1:12" x14ac:dyDescent="0.25">
      <c r="A984" t="s">
        <v>740</v>
      </c>
      <c r="B984" t="s">
        <v>2218</v>
      </c>
      <c r="C984" t="s">
        <v>1225</v>
      </c>
      <c r="D984" s="13">
        <v>176000</v>
      </c>
      <c r="I984" t="s">
        <v>1198</v>
      </c>
    </row>
    <row r="985" spans="1:12" x14ac:dyDescent="0.25">
      <c r="A985" t="s">
        <v>740</v>
      </c>
      <c r="B985" t="s">
        <v>2219</v>
      </c>
      <c r="C985" t="s">
        <v>1225</v>
      </c>
      <c r="D985" s="13">
        <v>240000</v>
      </c>
      <c r="I985" t="s">
        <v>1198</v>
      </c>
    </row>
    <row r="986" spans="1:12" x14ac:dyDescent="0.25">
      <c r="A986" t="s">
        <v>740</v>
      </c>
      <c r="B986" t="s">
        <v>2220</v>
      </c>
      <c r="C986" t="s">
        <v>1225</v>
      </c>
      <c r="D986" s="13">
        <v>240000</v>
      </c>
      <c r="I986" t="s">
        <v>1198</v>
      </c>
    </row>
    <row r="987" spans="1:12" x14ac:dyDescent="0.25">
      <c r="A987" t="s">
        <v>740</v>
      </c>
      <c r="B987" t="s">
        <v>2221</v>
      </c>
      <c r="C987" t="s">
        <v>1225</v>
      </c>
      <c r="D987" s="13">
        <v>180000</v>
      </c>
      <c r="I987" t="s">
        <v>1198</v>
      </c>
    </row>
    <row r="988" spans="1:12" x14ac:dyDescent="0.25">
      <c r="A988" t="s">
        <v>740</v>
      </c>
      <c r="B988" t="s">
        <v>2222</v>
      </c>
      <c r="C988" t="s">
        <v>1225</v>
      </c>
      <c r="D988" s="13">
        <v>240000</v>
      </c>
      <c r="I988" t="s">
        <v>1198</v>
      </c>
    </row>
    <row r="989" spans="1:12" x14ac:dyDescent="0.25">
      <c r="A989" t="s">
        <v>740</v>
      </c>
      <c r="B989" t="s">
        <v>2223</v>
      </c>
      <c r="C989" t="s">
        <v>1222</v>
      </c>
      <c r="I989" t="s">
        <v>1198</v>
      </c>
    </row>
    <row r="990" spans="1:12" x14ac:dyDescent="0.25">
      <c r="A990" t="s">
        <v>740</v>
      </c>
      <c r="B990" t="s">
        <v>2224</v>
      </c>
      <c r="C990" t="s">
        <v>1222</v>
      </c>
      <c r="I990" t="s">
        <v>1198</v>
      </c>
    </row>
    <row r="991" spans="1:12" x14ac:dyDescent="0.25">
      <c r="A991" t="s">
        <v>740</v>
      </c>
      <c r="B991" t="s">
        <v>2225</v>
      </c>
      <c r="C991" t="s">
        <v>1222</v>
      </c>
      <c r="I991" t="s">
        <v>1198</v>
      </c>
    </row>
    <row r="992" spans="1:12" x14ac:dyDescent="0.25">
      <c r="A992" t="s">
        <v>740</v>
      </c>
      <c r="B992" t="s">
        <v>2226</v>
      </c>
      <c r="C992" t="s">
        <v>1222</v>
      </c>
      <c r="I992" t="s">
        <v>1198</v>
      </c>
    </row>
    <row r="993" spans="1:12" x14ac:dyDescent="0.25">
      <c r="A993" t="s">
        <v>740</v>
      </c>
      <c r="B993" t="s">
        <v>2227</v>
      </c>
      <c r="C993" t="s">
        <v>1222</v>
      </c>
      <c r="I993" t="s">
        <v>1198</v>
      </c>
    </row>
    <row r="994" spans="1:12" x14ac:dyDescent="0.25">
      <c r="A994" t="s">
        <v>740</v>
      </c>
      <c r="B994" t="s">
        <v>2228</v>
      </c>
      <c r="C994" t="s">
        <v>1225</v>
      </c>
      <c r="D994" s="13">
        <v>300000</v>
      </c>
      <c r="I994" t="s">
        <v>1198</v>
      </c>
    </row>
    <row r="995" spans="1:12" x14ac:dyDescent="0.25">
      <c r="A995" t="s">
        <v>740</v>
      </c>
      <c r="B995" t="s">
        <v>2229</v>
      </c>
      <c r="C995" t="s">
        <v>1225</v>
      </c>
      <c r="D995" s="13">
        <v>240000</v>
      </c>
      <c r="F995" s="10">
        <v>42083</v>
      </c>
      <c r="I995" t="s">
        <v>1198</v>
      </c>
    </row>
    <row r="996" spans="1:12" x14ac:dyDescent="0.25">
      <c r="A996" t="s">
        <v>740</v>
      </c>
      <c r="B996" t="s">
        <v>2230</v>
      </c>
      <c r="C996" t="s">
        <v>1225</v>
      </c>
      <c r="D996" s="13">
        <v>300000</v>
      </c>
      <c r="I996" t="s">
        <v>1198</v>
      </c>
    </row>
    <row r="997" spans="1:12" x14ac:dyDescent="0.25">
      <c r="A997" t="s">
        <v>740</v>
      </c>
      <c r="B997" t="s">
        <v>2231</v>
      </c>
      <c r="C997" t="s">
        <v>1225</v>
      </c>
      <c r="D997" s="13">
        <v>120000</v>
      </c>
      <c r="F997" s="10">
        <v>45597</v>
      </c>
      <c r="I997" t="s">
        <v>1198</v>
      </c>
    </row>
    <row r="998" spans="1:12" x14ac:dyDescent="0.25">
      <c r="A998" t="s">
        <v>740</v>
      </c>
      <c r="B998" t="s">
        <v>2232</v>
      </c>
      <c r="C998" t="s">
        <v>1222</v>
      </c>
      <c r="D998" s="13">
        <v>120000</v>
      </c>
      <c r="F998" s="10">
        <v>45597</v>
      </c>
      <c r="I998" t="s">
        <v>1198</v>
      </c>
    </row>
    <row r="999" spans="1:12" x14ac:dyDescent="0.25">
      <c r="A999" t="s">
        <v>740</v>
      </c>
      <c r="B999" t="s">
        <v>2233</v>
      </c>
      <c r="C999" t="s">
        <v>1225</v>
      </c>
      <c r="D999" s="13">
        <v>120000</v>
      </c>
      <c r="F999" s="10">
        <v>45658</v>
      </c>
      <c r="I999" t="s">
        <v>1198</v>
      </c>
    </row>
    <row r="1000" spans="1:12" x14ac:dyDescent="0.25">
      <c r="A1000" t="s">
        <v>740</v>
      </c>
      <c r="B1000" t="s">
        <v>2234</v>
      </c>
      <c r="C1000" t="s">
        <v>1222</v>
      </c>
      <c r="D1000" s="13">
        <v>120000</v>
      </c>
      <c r="F1000" s="10">
        <v>45658</v>
      </c>
      <c r="I1000" t="s">
        <v>1198</v>
      </c>
    </row>
    <row r="1001" spans="1:12" x14ac:dyDescent="0.25">
      <c r="A1001" t="s">
        <v>745</v>
      </c>
      <c r="B1001" t="s">
        <v>2235</v>
      </c>
      <c r="C1001" t="s">
        <v>1225</v>
      </c>
      <c r="D1001" s="13">
        <v>60000</v>
      </c>
      <c r="F1001" s="10">
        <v>36526</v>
      </c>
      <c r="G1001">
        <v>24</v>
      </c>
      <c r="H1001">
        <v>15</v>
      </c>
      <c r="I1001" t="s">
        <v>1198</v>
      </c>
    </row>
    <row r="1002" spans="1:12" x14ac:dyDescent="0.25">
      <c r="A1002" t="s">
        <v>745</v>
      </c>
      <c r="B1002" t="s">
        <v>2236</v>
      </c>
      <c r="C1002" t="s">
        <v>1222</v>
      </c>
      <c r="D1002" s="13">
        <v>60000</v>
      </c>
      <c r="F1002" s="10">
        <v>36526</v>
      </c>
      <c r="G1002">
        <v>24</v>
      </c>
      <c r="H1002">
        <v>15</v>
      </c>
      <c r="I1002" t="s">
        <v>1198</v>
      </c>
    </row>
    <row r="1003" spans="1:12" x14ac:dyDescent="0.25">
      <c r="A1003" t="s">
        <v>745</v>
      </c>
      <c r="B1003" t="s">
        <v>2237</v>
      </c>
      <c r="C1003" t="s">
        <v>1225</v>
      </c>
      <c r="D1003" s="13">
        <v>60000</v>
      </c>
      <c r="F1003" s="10">
        <v>36526</v>
      </c>
      <c r="G1003">
        <v>24</v>
      </c>
      <c r="H1003">
        <v>15</v>
      </c>
      <c r="I1003" t="s">
        <v>1198</v>
      </c>
    </row>
    <row r="1004" spans="1:12" x14ac:dyDescent="0.25">
      <c r="A1004" t="s">
        <v>745</v>
      </c>
      <c r="B1004" t="s">
        <v>2238</v>
      </c>
      <c r="C1004" t="s">
        <v>1222</v>
      </c>
      <c r="D1004" s="13">
        <v>60000</v>
      </c>
      <c r="F1004" s="10">
        <v>36526</v>
      </c>
      <c r="G1004">
        <v>24</v>
      </c>
      <c r="H1004">
        <v>15</v>
      </c>
      <c r="I1004" t="s">
        <v>1198</v>
      </c>
    </row>
    <row r="1005" spans="1:12" x14ac:dyDescent="0.25">
      <c r="A1005" t="s">
        <v>769</v>
      </c>
      <c r="B1005" t="s">
        <v>2239</v>
      </c>
      <c r="C1005" t="s">
        <v>1218</v>
      </c>
      <c r="E1005">
        <v>100</v>
      </c>
      <c r="I1005" t="s">
        <v>1198</v>
      </c>
      <c r="J1005" t="s">
        <v>1219</v>
      </c>
      <c r="K1005" t="s">
        <v>1234</v>
      </c>
      <c r="L1005">
        <v>323.39999999999998</v>
      </c>
    </row>
    <row r="1006" spans="1:12" x14ac:dyDescent="0.25">
      <c r="A1006" t="s">
        <v>769</v>
      </c>
      <c r="B1006" t="s">
        <v>2240</v>
      </c>
      <c r="C1006" t="s">
        <v>1225</v>
      </c>
      <c r="D1006" s="13">
        <v>120000</v>
      </c>
      <c r="I1006" t="s">
        <v>1198</v>
      </c>
    </row>
    <row r="1007" spans="1:12" x14ac:dyDescent="0.25">
      <c r="A1007" t="s">
        <v>769</v>
      </c>
      <c r="B1007" t="s">
        <v>2241</v>
      </c>
      <c r="C1007" t="s">
        <v>1222</v>
      </c>
      <c r="I1007" t="s">
        <v>1198</v>
      </c>
    </row>
    <row r="1008" spans="1:12" x14ac:dyDescent="0.25">
      <c r="A1008" t="s">
        <v>769</v>
      </c>
      <c r="B1008" t="s">
        <v>2242</v>
      </c>
      <c r="C1008" t="s">
        <v>1225</v>
      </c>
      <c r="F1008" s="10">
        <v>34912</v>
      </c>
      <c r="G1008">
        <v>29</v>
      </c>
      <c r="H1008">
        <v>15</v>
      </c>
      <c r="I1008" t="s">
        <v>1198</v>
      </c>
    </row>
    <row r="1009" spans="1:12" x14ac:dyDescent="0.25">
      <c r="A1009" t="s">
        <v>769</v>
      </c>
      <c r="B1009" t="s">
        <v>2243</v>
      </c>
      <c r="C1009" t="s">
        <v>1222</v>
      </c>
      <c r="D1009" s="13">
        <v>60000</v>
      </c>
      <c r="I1009" t="s">
        <v>1198</v>
      </c>
    </row>
    <row r="1010" spans="1:12" x14ac:dyDescent="0.25">
      <c r="A1010" t="s">
        <v>769</v>
      </c>
      <c r="B1010" t="s">
        <v>2244</v>
      </c>
      <c r="C1010" t="s">
        <v>1222</v>
      </c>
      <c r="D1010" s="13">
        <v>60000</v>
      </c>
      <c r="F1010" s="10">
        <v>34912</v>
      </c>
      <c r="G1010">
        <v>29</v>
      </c>
      <c r="H1010">
        <v>15</v>
      </c>
      <c r="I1010" t="s">
        <v>1198</v>
      </c>
    </row>
    <row r="1011" spans="1:12" x14ac:dyDescent="0.25">
      <c r="A1011" t="s">
        <v>769</v>
      </c>
      <c r="B1011" t="s">
        <v>2245</v>
      </c>
      <c r="C1011" t="s">
        <v>1225</v>
      </c>
      <c r="I1011" t="s">
        <v>1198</v>
      </c>
    </row>
    <row r="1012" spans="1:12" x14ac:dyDescent="0.25">
      <c r="A1012" t="s">
        <v>769</v>
      </c>
      <c r="B1012" t="s">
        <v>2246</v>
      </c>
      <c r="C1012" t="s">
        <v>1225</v>
      </c>
      <c r="I1012" t="s">
        <v>1198</v>
      </c>
    </row>
    <row r="1013" spans="1:12" x14ac:dyDescent="0.25">
      <c r="A1013" t="s">
        <v>769</v>
      </c>
      <c r="B1013" t="s">
        <v>2247</v>
      </c>
      <c r="C1013" t="s">
        <v>1222</v>
      </c>
      <c r="I1013" t="s">
        <v>1198</v>
      </c>
    </row>
    <row r="1014" spans="1:12" x14ac:dyDescent="0.25">
      <c r="A1014" t="s">
        <v>735</v>
      </c>
      <c r="B1014" t="s">
        <v>2248</v>
      </c>
      <c r="C1014" t="s">
        <v>1225</v>
      </c>
      <c r="D1014" s="13">
        <v>60000</v>
      </c>
      <c r="F1014" s="10">
        <v>30682</v>
      </c>
      <c r="G1014">
        <v>40</v>
      </c>
      <c r="H1014">
        <v>15</v>
      </c>
      <c r="I1014" t="s">
        <v>1198</v>
      </c>
    </row>
    <row r="1015" spans="1:12" x14ac:dyDescent="0.25">
      <c r="A1015" t="s">
        <v>735</v>
      </c>
      <c r="B1015" t="s">
        <v>2249</v>
      </c>
      <c r="C1015" t="s">
        <v>1225</v>
      </c>
      <c r="D1015" s="13">
        <v>60000</v>
      </c>
      <c r="F1015" s="10">
        <v>32509</v>
      </c>
      <c r="G1015">
        <v>35</v>
      </c>
      <c r="H1015">
        <v>15</v>
      </c>
      <c r="I1015" t="s">
        <v>1198</v>
      </c>
    </row>
    <row r="1016" spans="1:12" x14ac:dyDescent="0.25">
      <c r="A1016" t="s">
        <v>735</v>
      </c>
      <c r="B1016" t="s">
        <v>2250</v>
      </c>
      <c r="C1016" t="s">
        <v>1222</v>
      </c>
      <c r="I1016" t="s">
        <v>1198</v>
      </c>
    </row>
    <row r="1017" spans="1:12" x14ac:dyDescent="0.25">
      <c r="A1017" t="s">
        <v>735</v>
      </c>
      <c r="B1017" t="s">
        <v>2251</v>
      </c>
      <c r="C1017" t="s">
        <v>1222</v>
      </c>
      <c r="I1017" t="s">
        <v>1198</v>
      </c>
    </row>
    <row r="1018" spans="1:12" x14ac:dyDescent="0.25">
      <c r="A1018" t="s">
        <v>735</v>
      </c>
      <c r="B1018" t="s">
        <v>2252</v>
      </c>
      <c r="C1018" t="s">
        <v>1222</v>
      </c>
      <c r="D1018" s="13">
        <v>60000</v>
      </c>
      <c r="F1018" s="10">
        <v>45658</v>
      </c>
      <c r="I1018" t="s">
        <v>1198</v>
      </c>
    </row>
    <row r="1019" spans="1:12" x14ac:dyDescent="0.25">
      <c r="A1019" t="s">
        <v>735</v>
      </c>
      <c r="B1019" t="s">
        <v>2253</v>
      </c>
      <c r="C1019" t="s">
        <v>1225</v>
      </c>
      <c r="F1019" s="10">
        <v>43831</v>
      </c>
      <c r="I1019" t="s">
        <v>1198</v>
      </c>
    </row>
    <row r="1020" spans="1:12" x14ac:dyDescent="0.25">
      <c r="A1020" t="s">
        <v>735</v>
      </c>
      <c r="B1020" t="s">
        <v>2254</v>
      </c>
      <c r="C1020" t="s">
        <v>1225</v>
      </c>
      <c r="I1020" t="s">
        <v>1198</v>
      </c>
    </row>
    <row r="1021" spans="1:12" x14ac:dyDescent="0.25">
      <c r="A1021" t="s">
        <v>411</v>
      </c>
      <c r="B1021" t="s">
        <v>2255</v>
      </c>
      <c r="C1021" t="s">
        <v>1238</v>
      </c>
      <c r="D1021" s="13">
        <v>36000</v>
      </c>
      <c r="I1021" t="s">
        <v>1198</v>
      </c>
    </row>
    <row r="1022" spans="1:12" x14ac:dyDescent="0.25">
      <c r="A1022" t="s">
        <v>411</v>
      </c>
      <c r="B1022" t="s">
        <v>2256</v>
      </c>
      <c r="C1022" t="s">
        <v>1222</v>
      </c>
      <c r="D1022" s="13">
        <v>36000</v>
      </c>
      <c r="I1022" t="s">
        <v>1198</v>
      </c>
    </row>
    <row r="1023" spans="1:12" x14ac:dyDescent="0.25">
      <c r="A1023" t="s">
        <v>411</v>
      </c>
      <c r="B1023" t="s">
        <v>2257</v>
      </c>
      <c r="C1023" t="s">
        <v>1225</v>
      </c>
      <c r="D1023" s="13">
        <v>36000</v>
      </c>
      <c r="I1023" t="s">
        <v>1198</v>
      </c>
    </row>
    <row r="1024" spans="1:12" x14ac:dyDescent="0.25">
      <c r="A1024" t="s">
        <v>102</v>
      </c>
      <c r="B1024" t="s">
        <v>2258</v>
      </c>
      <c r="C1024" t="s">
        <v>1218</v>
      </c>
      <c r="E1024">
        <v>60</v>
      </c>
      <c r="I1024" t="s">
        <v>1198</v>
      </c>
      <c r="J1024" t="s">
        <v>1219</v>
      </c>
      <c r="K1024" t="s">
        <v>1234</v>
      </c>
      <c r="L1024">
        <v>1205.1099999999999</v>
      </c>
    </row>
    <row r="1025" spans="1:12" x14ac:dyDescent="0.25">
      <c r="A1025" t="s">
        <v>102</v>
      </c>
      <c r="B1025" t="s">
        <v>2259</v>
      </c>
      <c r="C1025" t="s">
        <v>1222</v>
      </c>
      <c r="D1025" s="13">
        <v>60000</v>
      </c>
      <c r="F1025" s="10">
        <v>39814</v>
      </c>
      <c r="G1025">
        <v>15</v>
      </c>
      <c r="H1025">
        <v>15</v>
      </c>
      <c r="I1025" t="s">
        <v>1198</v>
      </c>
    </row>
    <row r="1026" spans="1:12" x14ac:dyDescent="0.25">
      <c r="A1026" t="s">
        <v>102</v>
      </c>
      <c r="B1026" t="s">
        <v>2260</v>
      </c>
      <c r="C1026" t="s">
        <v>1225</v>
      </c>
      <c r="D1026" s="13">
        <v>60000</v>
      </c>
      <c r="F1026" s="10">
        <v>39814</v>
      </c>
      <c r="G1026">
        <v>15</v>
      </c>
      <c r="H1026">
        <v>15</v>
      </c>
      <c r="I1026" t="s">
        <v>1198</v>
      </c>
    </row>
    <row r="1027" spans="1:12" x14ac:dyDescent="0.25">
      <c r="A1027" t="s">
        <v>102</v>
      </c>
      <c r="B1027" t="s">
        <v>2261</v>
      </c>
      <c r="C1027" t="s">
        <v>1222</v>
      </c>
      <c r="D1027" s="13">
        <v>90000</v>
      </c>
      <c r="F1027" s="10">
        <v>42644</v>
      </c>
      <c r="G1027">
        <v>8</v>
      </c>
      <c r="H1027">
        <v>15</v>
      </c>
      <c r="I1027" t="s">
        <v>1199</v>
      </c>
    </row>
    <row r="1028" spans="1:12" x14ac:dyDescent="0.25">
      <c r="A1028" t="s">
        <v>102</v>
      </c>
      <c r="B1028" t="s">
        <v>2262</v>
      </c>
      <c r="C1028" t="s">
        <v>1225</v>
      </c>
      <c r="D1028" s="13">
        <v>90000</v>
      </c>
      <c r="F1028" s="10">
        <v>42644</v>
      </c>
      <c r="G1028">
        <v>8</v>
      </c>
      <c r="H1028">
        <v>15</v>
      </c>
      <c r="I1028" t="s">
        <v>1199</v>
      </c>
    </row>
    <row r="1029" spans="1:12" x14ac:dyDescent="0.25">
      <c r="A1029" t="s">
        <v>62</v>
      </c>
      <c r="B1029" t="s">
        <v>2263</v>
      </c>
      <c r="C1029" t="s">
        <v>1218</v>
      </c>
      <c r="E1029">
        <v>200</v>
      </c>
      <c r="F1029" s="10">
        <v>36526</v>
      </c>
      <c r="G1029">
        <v>24</v>
      </c>
      <c r="H1029">
        <v>25</v>
      </c>
      <c r="I1029" t="s">
        <v>1199</v>
      </c>
      <c r="J1029" t="s">
        <v>1219</v>
      </c>
      <c r="K1029" t="s">
        <v>1234</v>
      </c>
      <c r="L1029">
        <v>674.6</v>
      </c>
    </row>
    <row r="1030" spans="1:12" x14ac:dyDescent="0.25">
      <c r="A1030" t="s">
        <v>62</v>
      </c>
      <c r="B1030" t="s">
        <v>2264</v>
      </c>
      <c r="C1030" t="s">
        <v>1218</v>
      </c>
      <c r="E1030">
        <v>500</v>
      </c>
      <c r="F1030" s="10">
        <v>36617</v>
      </c>
      <c r="G1030">
        <v>24</v>
      </c>
      <c r="H1030">
        <v>25</v>
      </c>
      <c r="I1030" t="s">
        <v>1199</v>
      </c>
      <c r="J1030" t="s">
        <v>1219</v>
      </c>
      <c r="K1030" t="s">
        <v>1234</v>
      </c>
      <c r="L1030">
        <v>492.5</v>
      </c>
    </row>
    <row r="1031" spans="1:12" x14ac:dyDescent="0.25">
      <c r="A1031" t="s">
        <v>62</v>
      </c>
      <c r="B1031" t="s">
        <v>2265</v>
      </c>
      <c r="C1031" t="s">
        <v>1296</v>
      </c>
      <c r="D1031" s="13">
        <v>90000</v>
      </c>
      <c r="I1031" t="s">
        <v>1198</v>
      </c>
    </row>
    <row r="1032" spans="1:12" x14ac:dyDescent="0.25">
      <c r="A1032" t="s">
        <v>62</v>
      </c>
      <c r="B1032" t="s">
        <v>2266</v>
      </c>
      <c r="C1032" t="s">
        <v>1296</v>
      </c>
      <c r="D1032" s="13">
        <v>60000</v>
      </c>
      <c r="I1032" t="s">
        <v>1198</v>
      </c>
    </row>
    <row r="1033" spans="1:12" x14ac:dyDescent="0.25">
      <c r="A1033" t="s">
        <v>62</v>
      </c>
      <c r="B1033" t="s">
        <v>2267</v>
      </c>
      <c r="C1033" t="s">
        <v>1296</v>
      </c>
      <c r="F1033" s="10">
        <v>39600</v>
      </c>
      <c r="G1033">
        <v>16</v>
      </c>
      <c r="H1033">
        <v>15</v>
      </c>
      <c r="I1033" t="s">
        <v>1198</v>
      </c>
    </row>
    <row r="1034" spans="1:12" x14ac:dyDescent="0.25">
      <c r="A1034" t="s">
        <v>62</v>
      </c>
      <c r="B1034" t="s">
        <v>2268</v>
      </c>
      <c r="C1034" t="s">
        <v>1296</v>
      </c>
      <c r="D1034" s="13">
        <v>60000</v>
      </c>
      <c r="I1034" t="s">
        <v>1198</v>
      </c>
    </row>
    <row r="1035" spans="1:12" x14ac:dyDescent="0.25">
      <c r="A1035" t="s">
        <v>62</v>
      </c>
      <c r="B1035" t="s">
        <v>2269</v>
      </c>
      <c r="C1035" t="s">
        <v>1296</v>
      </c>
      <c r="I1035" t="s">
        <v>1198</v>
      </c>
    </row>
    <row r="1036" spans="1:12" x14ac:dyDescent="0.25">
      <c r="A1036" t="s">
        <v>62</v>
      </c>
      <c r="B1036" t="s">
        <v>2270</v>
      </c>
      <c r="C1036" t="s">
        <v>1296</v>
      </c>
      <c r="D1036" s="13">
        <v>30000</v>
      </c>
      <c r="I1036" t="s">
        <v>1198</v>
      </c>
    </row>
    <row r="1037" spans="1:12" x14ac:dyDescent="0.25">
      <c r="A1037" t="s">
        <v>62</v>
      </c>
      <c r="B1037" t="s">
        <v>2271</v>
      </c>
      <c r="C1037" t="s">
        <v>1296</v>
      </c>
      <c r="D1037" s="13">
        <v>36000</v>
      </c>
      <c r="I1037" t="s">
        <v>1198</v>
      </c>
    </row>
    <row r="1038" spans="1:12" x14ac:dyDescent="0.25">
      <c r="A1038" t="s">
        <v>62</v>
      </c>
      <c r="B1038" t="s">
        <v>2272</v>
      </c>
      <c r="C1038" t="s">
        <v>1296</v>
      </c>
      <c r="F1038" s="10">
        <v>37742</v>
      </c>
      <c r="G1038">
        <v>21</v>
      </c>
      <c r="H1038">
        <v>15</v>
      </c>
      <c r="I1038" t="s">
        <v>1198</v>
      </c>
    </row>
    <row r="1039" spans="1:12" x14ac:dyDescent="0.25">
      <c r="A1039" t="s">
        <v>62</v>
      </c>
      <c r="B1039" t="s">
        <v>2273</v>
      </c>
      <c r="C1039" t="s">
        <v>1296</v>
      </c>
      <c r="D1039" s="13">
        <v>90000</v>
      </c>
      <c r="F1039" s="10">
        <v>41061</v>
      </c>
      <c r="G1039">
        <v>12</v>
      </c>
      <c r="H1039">
        <v>15</v>
      </c>
      <c r="I1039" t="s">
        <v>1199</v>
      </c>
    </row>
    <row r="1040" spans="1:12" x14ac:dyDescent="0.25">
      <c r="A1040" t="s">
        <v>62</v>
      </c>
      <c r="B1040" t="s">
        <v>2274</v>
      </c>
      <c r="C1040" t="s">
        <v>1296</v>
      </c>
      <c r="D1040" s="13">
        <v>90000</v>
      </c>
      <c r="F1040" s="10">
        <v>38353</v>
      </c>
      <c r="G1040">
        <v>19</v>
      </c>
      <c r="H1040">
        <v>15</v>
      </c>
      <c r="I1040" t="s">
        <v>1198</v>
      </c>
    </row>
    <row r="1041" spans="1:9" x14ac:dyDescent="0.25">
      <c r="A1041" t="s">
        <v>62</v>
      </c>
      <c r="B1041" t="s">
        <v>2275</v>
      </c>
      <c r="C1041" t="s">
        <v>1296</v>
      </c>
      <c r="I1041" t="s">
        <v>1198</v>
      </c>
    </row>
    <row r="1042" spans="1:9" x14ac:dyDescent="0.25">
      <c r="A1042" t="s">
        <v>62</v>
      </c>
      <c r="B1042" t="s">
        <v>2276</v>
      </c>
      <c r="C1042" t="s">
        <v>1296</v>
      </c>
      <c r="D1042" s="13">
        <v>120000</v>
      </c>
      <c r="F1042" s="10">
        <v>41122</v>
      </c>
      <c r="G1042">
        <v>12</v>
      </c>
      <c r="H1042">
        <v>15</v>
      </c>
      <c r="I1042" t="s">
        <v>1199</v>
      </c>
    </row>
    <row r="1043" spans="1:9" x14ac:dyDescent="0.25">
      <c r="A1043" t="s">
        <v>62</v>
      </c>
      <c r="B1043" t="s">
        <v>2277</v>
      </c>
      <c r="C1043" t="s">
        <v>1296</v>
      </c>
      <c r="D1043" s="13">
        <v>120000</v>
      </c>
      <c r="F1043" s="10">
        <v>41091</v>
      </c>
      <c r="G1043">
        <v>12</v>
      </c>
      <c r="H1043">
        <v>15</v>
      </c>
      <c r="I1043" t="s">
        <v>1199</v>
      </c>
    </row>
    <row r="1044" spans="1:9" x14ac:dyDescent="0.25">
      <c r="A1044" t="s">
        <v>62</v>
      </c>
      <c r="B1044" t="s">
        <v>2278</v>
      </c>
      <c r="C1044" t="s">
        <v>1296</v>
      </c>
      <c r="D1044" s="13">
        <v>90000</v>
      </c>
      <c r="F1044" s="10">
        <v>32721</v>
      </c>
      <c r="G1044">
        <v>35</v>
      </c>
      <c r="H1044">
        <v>15</v>
      </c>
      <c r="I1044" t="s">
        <v>1198</v>
      </c>
    </row>
    <row r="1045" spans="1:9" x14ac:dyDescent="0.25">
      <c r="A1045" t="s">
        <v>62</v>
      </c>
      <c r="B1045" t="s">
        <v>2279</v>
      </c>
      <c r="C1045" t="s">
        <v>1296</v>
      </c>
      <c r="D1045" s="13">
        <v>180000</v>
      </c>
      <c r="F1045" s="10">
        <v>32721</v>
      </c>
      <c r="G1045">
        <v>35</v>
      </c>
      <c r="H1045">
        <v>15</v>
      </c>
      <c r="I1045" t="s">
        <v>1198</v>
      </c>
    </row>
    <row r="1046" spans="1:9" x14ac:dyDescent="0.25">
      <c r="A1046" t="s">
        <v>62</v>
      </c>
      <c r="B1046" t="s">
        <v>2280</v>
      </c>
      <c r="C1046" t="s">
        <v>1225</v>
      </c>
      <c r="D1046" s="13">
        <v>135000</v>
      </c>
      <c r="F1046" s="10">
        <v>38412</v>
      </c>
      <c r="G1046">
        <v>19</v>
      </c>
      <c r="H1046">
        <v>15</v>
      </c>
      <c r="I1046" t="s">
        <v>1198</v>
      </c>
    </row>
    <row r="1047" spans="1:9" x14ac:dyDescent="0.25">
      <c r="A1047" t="s">
        <v>62</v>
      </c>
      <c r="B1047" t="s">
        <v>2281</v>
      </c>
      <c r="C1047" t="s">
        <v>1225</v>
      </c>
      <c r="D1047" s="13">
        <v>135000</v>
      </c>
      <c r="F1047" s="10">
        <v>38353</v>
      </c>
      <c r="G1047">
        <v>19</v>
      </c>
      <c r="H1047">
        <v>15</v>
      </c>
      <c r="I1047" t="s">
        <v>1198</v>
      </c>
    </row>
    <row r="1048" spans="1:9" x14ac:dyDescent="0.25">
      <c r="A1048" t="s">
        <v>62</v>
      </c>
      <c r="B1048" t="s">
        <v>2282</v>
      </c>
      <c r="C1048" t="s">
        <v>1225</v>
      </c>
      <c r="D1048" s="13">
        <v>135000</v>
      </c>
      <c r="F1048" s="10">
        <v>38473</v>
      </c>
      <c r="G1048">
        <v>19</v>
      </c>
      <c r="H1048">
        <v>15</v>
      </c>
      <c r="I1048" t="s">
        <v>1198</v>
      </c>
    </row>
    <row r="1049" spans="1:9" x14ac:dyDescent="0.25">
      <c r="A1049" t="s">
        <v>62</v>
      </c>
      <c r="B1049" t="s">
        <v>2283</v>
      </c>
      <c r="C1049" t="s">
        <v>1225</v>
      </c>
      <c r="F1049" s="10">
        <v>37773</v>
      </c>
      <c r="G1049">
        <v>21</v>
      </c>
      <c r="H1049">
        <v>15</v>
      </c>
      <c r="I1049" t="s">
        <v>1198</v>
      </c>
    </row>
    <row r="1050" spans="1:9" x14ac:dyDescent="0.25">
      <c r="A1050" t="s">
        <v>62</v>
      </c>
      <c r="B1050" t="s">
        <v>2284</v>
      </c>
      <c r="C1050" t="s">
        <v>1225</v>
      </c>
      <c r="D1050" s="13">
        <v>24000</v>
      </c>
      <c r="F1050" s="10">
        <v>41426</v>
      </c>
      <c r="G1050">
        <v>11</v>
      </c>
      <c r="H1050">
        <v>15</v>
      </c>
      <c r="I1050" t="s">
        <v>1199</v>
      </c>
    </row>
    <row r="1051" spans="1:9" x14ac:dyDescent="0.25">
      <c r="A1051" t="s">
        <v>62</v>
      </c>
      <c r="B1051" t="s">
        <v>2285</v>
      </c>
      <c r="C1051" t="s">
        <v>1225</v>
      </c>
      <c r="D1051" s="13">
        <v>18000</v>
      </c>
      <c r="F1051" s="10">
        <v>40360</v>
      </c>
      <c r="G1051">
        <v>14</v>
      </c>
      <c r="H1051">
        <v>15</v>
      </c>
      <c r="I1051" t="s">
        <v>1199</v>
      </c>
    </row>
    <row r="1052" spans="1:9" x14ac:dyDescent="0.25">
      <c r="A1052" t="s">
        <v>62</v>
      </c>
      <c r="B1052" t="s">
        <v>2286</v>
      </c>
      <c r="C1052" t="s">
        <v>1225</v>
      </c>
      <c r="D1052" s="13">
        <v>18000</v>
      </c>
      <c r="F1052" s="10">
        <v>40360</v>
      </c>
      <c r="G1052">
        <v>14</v>
      </c>
      <c r="H1052">
        <v>15</v>
      </c>
      <c r="I1052" t="s">
        <v>1199</v>
      </c>
    </row>
    <row r="1053" spans="1:9" x14ac:dyDescent="0.25">
      <c r="A1053" t="s">
        <v>62</v>
      </c>
      <c r="B1053" t="s">
        <v>2287</v>
      </c>
      <c r="C1053" t="s">
        <v>1222</v>
      </c>
      <c r="I1053" t="s">
        <v>1198</v>
      </c>
    </row>
    <row r="1054" spans="1:9" x14ac:dyDescent="0.25">
      <c r="A1054" t="s">
        <v>62</v>
      </c>
      <c r="B1054" t="s">
        <v>2288</v>
      </c>
      <c r="C1054" t="s">
        <v>1222</v>
      </c>
      <c r="D1054" s="13">
        <v>90000</v>
      </c>
      <c r="F1054" s="10">
        <v>42064</v>
      </c>
      <c r="G1054">
        <v>9</v>
      </c>
      <c r="H1054">
        <v>15</v>
      </c>
      <c r="I1054" t="s">
        <v>1199</v>
      </c>
    </row>
    <row r="1055" spans="1:9" x14ac:dyDescent="0.25">
      <c r="A1055" t="s">
        <v>62</v>
      </c>
      <c r="B1055" t="s">
        <v>2289</v>
      </c>
      <c r="C1055" t="s">
        <v>1222</v>
      </c>
      <c r="D1055" s="13">
        <v>120000</v>
      </c>
      <c r="I1055" t="s">
        <v>1198</v>
      </c>
    </row>
    <row r="1056" spans="1:9" x14ac:dyDescent="0.25">
      <c r="A1056" t="s">
        <v>62</v>
      </c>
      <c r="B1056" t="s">
        <v>2290</v>
      </c>
      <c r="C1056" t="s">
        <v>1222</v>
      </c>
      <c r="D1056" s="13">
        <v>120000</v>
      </c>
      <c r="I1056" t="s">
        <v>1198</v>
      </c>
    </row>
    <row r="1057" spans="1:9" x14ac:dyDescent="0.25">
      <c r="A1057" t="s">
        <v>62</v>
      </c>
      <c r="B1057" t="s">
        <v>2291</v>
      </c>
      <c r="C1057" t="s">
        <v>1222</v>
      </c>
      <c r="D1057" s="13">
        <v>120000</v>
      </c>
      <c r="I1057" t="s">
        <v>1198</v>
      </c>
    </row>
    <row r="1058" spans="1:9" x14ac:dyDescent="0.25">
      <c r="A1058" t="s">
        <v>62</v>
      </c>
      <c r="B1058" t="s">
        <v>2292</v>
      </c>
      <c r="C1058" t="s">
        <v>1222</v>
      </c>
      <c r="D1058" s="13">
        <v>120000</v>
      </c>
      <c r="F1058" s="10">
        <v>42156</v>
      </c>
      <c r="G1058">
        <v>9</v>
      </c>
      <c r="H1058">
        <v>15</v>
      </c>
      <c r="I1058" t="s">
        <v>1199</v>
      </c>
    </row>
    <row r="1059" spans="1:9" x14ac:dyDescent="0.25">
      <c r="A1059" t="s">
        <v>62</v>
      </c>
      <c r="B1059" t="s">
        <v>2293</v>
      </c>
      <c r="C1059" t="s">
        <v>1222</v>
      </c>
      <c r="D1059" s="13">
        <v>120000</v>
      </c>
      <c r="I1059" t="s">
        <v>1198</v>
      </c>
    </row>
    <row r="1060" spans="1:9" x14ac:dyDescent="0.25">
      <c r="A1060" t="s">
        <v>62</v>
      </c>
      <c r="B1060" t="s">
        <v>2294</v>
      </c>
      <c r="C1060" t="s">
        <v>1222</v>
      </c>
      <c r="D1060" s="13">
        <v>120000</v>
      </c>
      <c r="I1060" t="s">
        <v>1198</v>
      </c>
    </row>
    <row r="1061" spans="1:9" x14ac:dyDescent="0.25">
      <c r="A1061" t="s">
        <v>62</v>
      </c>
      <c r="B1061" t="s">
        <v>2295</v>
      </c>
      <c r="C1061" t="s">
        <v>1222</v>
      </c>
      <c r="D1061" s="13">
        <v>24000</v>
      </c>
      <c r="F1061" s="10">
        <v>36708</v>
      </c>
      <c r="G1061">
        <v>24</v>
      </c>
      <c r="H1061">
        <v>15</v>
      </c>
      <c r="I1061" t="s">
        <v>1198</v>
      </c>
    </row>
    <row r="1062" spans="1:9" x14ac:dyDescent="0.25">
      <c r="A1062" t="s">
        <v>62</v>
      </c>
      <c r="B1062" t="s">
        <v>2296</v>
      </c>
      <c r="C1062" t="s">
        <v>1222</v>
      </c>
      <c r="D1062" s="13">
        <v>24000</v>
      </c>
      <c r="F1062" s="10">
        <v>41579</v>
      </c>
      <c r="G1062">
        <v>10</v>
      </c>
      <c r="H1062">
        <v>15</v>
      </c>
      <c r="I1062" t="s">
        <v>1199</v>
      </c>
    </row>
    <row r="1063" spans="1:9" x14ac:dyDescent="0.25">
      <c r="A1063" t="s">
        <v>62</v>
      </c>
      <c r="B1063" t="s">
        <v>2297</v>
      </c>
      <c r="C1063" t="s">
        <v>1222</v>
      </c>
      <c r="D1063" s="13">
        <v>18000</v>
      </c>
      <c r="F1063" s="10">
        <v>40330</v>
      </c>
      <c r="G1063">
        <v>14</v>
      </c>
      <c r="H1063">
        <v>15</v>
      </c>
      <c r="I1063" t="s">
        <v>1199</v>
      </c>
    </row>
    <row r="1064" spans="1:9" x14ac:dyDescent="0.25">
      <c r="A1064" t="s">
        <v>62</v>
      </c>
      <c r="B1064" t="s">
        <v>2298</v>
      </c>
      <c r="C1064" t="s">
        <v>1222</v>
      </c>
      <c r="D1064" s="13">
        <v>18000</v>
      </c>
      <c r="F1064" s="10">
        <v>40330</v>
      </c>
      <c r="G1064">
        <v>14</v>
      </c>
      <c r="H1064">
        <v>15</v>
      </c>
      <c r="I1064" t="s">
        <v>1199</v>
      </c>
    </row>
    <row r="1065" spans="1:9" x14ac:dyDescent="0.25">
      <c r="A1065" t="s">
        <v>62</v>
      </c>
      <c r="B1065" t="s">
        <v>2299</v>
      </c>
      <c r="C1065" t="s">
        <v>1296</v>
      </c>
      <c r="D1065" s="13">
        <v>60000</v>
      </c>
      <c r="F1065" s="10">
        <v>42036</v>
      </c>
      <c r="G1065">
        <v>9</v>
      </c>
      <c r="H1065">
        <v>15</v>
      </c>
      <c r="I1065" t="s">
        <v>1199</v>
      </c>
    </row>
    <row r="1066" spans="1:9" x14ac:dyDescent="0.25">
      <c r="A1066" t="s">
        <v>62</v>
      </c>
      <c r="B1066" t="s">
        <v>2300</v>
      </c>
      <c r="C1066" t="s">
        <v>1296</v>
      </c>
      <c r="D1066" s="13">
        <v>60000</v>
      </c>
      <c r="F1066" s="10">
        <v>42005</v>
      </c>
      <c r="G1066">
        <v>9</v>
      </c>
      <c r="H1066">
        <v>15</v>
      </c>
      <c r="I1066" t="s">
        <v>1199</v>
      </c>
    </row>
    <row r="1067" spans="1:9" x14ac:dyDescent="0.25">
      <c r="A1067" t="s">
        <v>62</v>
      </c>
      <c r="B1067" t="s">
        <v>2301</v>
      </c>
      <c r="C1067" t="s">
        <v>1225</v>
      </c>
      <c r="I1067" t="s">
        <v>1198</v>
      </c>
    </row>
    <row r="1068" spans="1:9" x14ac:dyDescent="0.25">
      <c r="A1068" t="s">
        <v>62</v>
      </c>
      <c r="B1068" t="s">
        <v>2302</v>
      </c>
      <c r="C1068" t="s">
        <v>1222</v>
      </c>
      <c r="I1068" t="s">
        <v>1198</v>
      </c>
    </row>
    <row r="1069" spans="1:9" x14ac:dyDescent="0.25">
      <c r="A1069" t="s">
        <v>62</v>
      </c>
      <c r="B1069" t="s">
        <v>2303</v>
      </c>
      <c r="C1069" t="s">
        <v>1222</v>
      </c>
      <c r="D1069" s="13">
        <v>90000</v>
      </c>
      <c r="I1069" t="s">
        <v>1198</v>
      </c>
    </row>
    <row r="1070" spans="1:9" x14ac:dyDescent="0.25">
      <c r="A1070" t="s">
        <v>62</v>
      </c>
      <c r="B1070" t="s">
        <v>2304</v>
      </c>
      <c r="C1070" t="s">
        <v>1225</v>
      </c>
      <c r="I1070" t="s">
        <v>1198</v>
      </c>
    </row>
    <row r="1071" spans="1:9" x14ac:dyDescent="0.25">
      <c r="A1071" t="s">
        <v>62</v>
      </c>
      <c r="B1071" t="s">
        <v>2305</v>
      </c>
      <c r="C1071" t="s">
        <v>1225</v>
      </c>
      <c r="F1071" s="10">
        <v>43468</v>
      </c>
      <c r="G1071">
        <v>5</v>
      </c>
      <c r="H1071">
        <v>15</v>
      </c>
      <c r="I1071" t="s">
        <v>1199</v>
      </c>
    </row>
    <row r="1072" spans="1:9" x14ac:dyDescent="0.25">
      <c r="A1072" t="s">
        <v>62</v>
      </c>
      <c r="B1072" t="s">
        <v>2306</v>
      </c>
      <c r="C1072" t="s">
        <v>1225</v>
      </c>
      <c r="D1072" s="13">
        <v>24000</v>
      </c>
      <c r="F1072" s="10">
        <v>44199</v>
      </c>
      <c r="G1072">
        <v>3</v>
      </c>
      <c r="H1072">
        <v>15</v>
      </c>
      <c r="I1072" t="s">
        <v>1199</v>
      </c>
    </row>
    <row r="1073" spans="1:12" x14ac:dyDescent="0.25">
      <c r="A1073" t="s">
        <v>62</v>
      </c>
      <c r="B1073" t="s">
        <v>2307</v>
      </c>
      <c r="C1073" t="s">
        <v>1222</v>
      </c>
      <c r="D1073" s="13">
        <v>24000</v>
      </c>
      <c r="F1073" s="10">
        <v>44199</v>
      </c>
      <c r="G1073">
        <v>3</v>
      </c>
      <c r="H1073">
        <v>15</v>
      </c>
      <c r="I1073" t="s">
        <v>1199</v>
      </c>
    </row>
    <row r="1074" spans="1:12" x14ac:dyDescent="0.25">
      <c r="A1074" t="s">
        <v>62</v>
      </c>
      <c r="B1074" t="s">
        <v>2308</v>
      </c>
      <c r="C1074" t="s">
        <v>1296</v>
      </c>
      <c r="D1074" s="13">
        <v>60000</v>
      </c>
      <c r="F1074" s="10">
        <v>39600</v>
      </c>
      <c r="I1074" t="s">
        <v>1198</v>
      </c>
    </row>
    <row r="1075" spans="1:12" x14ac:dyDescent="0.25">
      <c r="A1075" t="s">
        <v>62</v>
      </c>
      <c r="B1075" t="s">
        <v>2309</v>
      </c>
      <c r="C1075" t="s">
        <v>1296</v>
      </c>
      <c r="D1075" s="13">
        <v>90000</v>
      </c>
      <c r="F1075" s="10">
        <v>38353</v>
      </c>
      <c r="I1075" t="s">
        <v>1198</v>
      </c>
    </row>
    <row r="1076" spans="1:12" x14ac:dyDescent="0.25">
      <c r="A1076" t="s">
        <v>62</v>
      </c>
      <c r="B1076" t="s">
        <v>2310</v>
      </c>
      <c r="C1076" t="s">
        <v>1296</v>
      </c>
      <c r="D1076" s="13">
        <v>90000</v>
      </c>
      <c r="I1076" t="s">
        <v>1198</v>
      </c>
    </row>
    <row r="1077" spans="1:12" x14ac:dyDescent="0.25">
      <c r="A1077" t="s">
        <v>62</v>
      </c>
      <c r="B1077" t="s">
        <v>2311</v>
      </c>
      <c r="C1077" t="s">
        <v>1260</v>
      </c>
      <c r="D1077" s="13">
        <v>24000</v>
      </c>
      <c r="I1077" t="s">
        <v>1198</v>
      </c>
    </row>
    <row r="1078" spans="1:12" x14ac:dyDescent="0.25">
      <c r="A1078" t="s">
        <v>62</v>
      </c>
      <c r="B1078" t="s">
        <v>2312</v>
      </c>
      <c r="C1078" t="s">
        <v>1260</v>
      </c>
      <c r="I1078" t="s">
        <v>1198</v>
      </c>
    </row>
    <row r="1079" spans="1:12" x14ac:dyDescent="0.25">
      <c r="A1079" t="s">
        <v>62</v>
      </c>
      <c r="B1079" t="s">
        <v>2313</v>
      </c>
      <c r="C1079" t="s">
        <v>1222</v>
      </c>
      <c r="D1079" s="13">
        <v>24000</v>
      </c>
      <c r="I1079" t="s">
        <v>1198</v>
      </c>
    </row>
    <row r="1080" spans="1:12" x14ac:dyDescent="0.25">
      <c r="A1080" t="s">
        <v>62</v>
      </c>
      <c r="B1080" t="s">
        <v>2314</v>
      </c>
      <c r="C1080" t="s">
        <v>1260</v>
      </c>
      <c r="D1080" s="13">
        <v>24000</v>
      </c>
      <c r="I1080" t="s">
        <v>1198</v>
      </c>
    </row>
    <row r="1081" spans="1:12" x14ac:dyDescent="0.25">
      <c r="A1081" t="s">
        <v>62</v>
      </c>
      <c r="B1081" t="s">
        <v>2315</v>
      </c>
      <c r="C1081" t="s">
        <v>1296</v>
      </c>
      <c r="D1081" s="13">
        <v>90000</v>
      </c>
      <c r="F1081" s="10">
        <v>45554</v>
      </c>
      <c r="I1081" t="s">
        <v>1198</v>
      </c>
    </row>
    <row r="1082" spans="1:12" x14ac:dyDescent="0.25">
      <c r="A1082" t="s">
        <v>62</v>
      </c>
      <c r="B1082" t="s">
        <v>2316</v>
      </c>
      <c r="C1082" t="s">
        <v>1225</v>
      </c>
      <c r="F1082" s="10">
        <v>45554</v>
      </c>
      <c r="I1082" t="s">
        <v>1198</v>
      </c>
    </row>
    <row r="1083" spans="1:12" x14ac:dyDescent="0.25">
      <c r="A1083" t="s">
        <v>62</v>
      </c>
      <c r="B1083" t="s">
        <v>2317</v>
      </c>
      <c r="C1083" t="s">
        <v>1225</v>
      </c>
      <c r="F1083" s="10">
        <v>45554</v>
      </c>
      <c r="I1083" t="s">
        <v>1198</v>
      </c>
    </row>
    <row r="1084" spans="1:12" x14ac:dyDescent="0.25">
      <c r="A1084" t="s">
        <v>62</v>
      </c>
      <c r="B1084" t="s">
        <v>2318</v>
      </c>
      <c r="C1084" t="s">
        <v>1225</v>
      </c>
      <c r="I1084" t="s">
        <v>1198</v>
      </c>
    </row>
    <row r="1085" spans="1:12" x14ac:dyDescent="0.25">
      <c r="A1085" t="s">
        <v>62</v>
      </c>
      <c r="B1085" t="s">
        <v>2319</v>
      </c>
      <c r="C1085" t="s">
        <v>1225</v>
      </c>
      <c r="I1085" t="s">
        <v>1198</v>
      </c>
    </row>
    <row r="1086" spans="1:12" x14ac:dyDescent="0.25">
      <c r="A1086" t="s">
        <v>62</v>
      </c>
      <c r="B1086" t="s">
        <v>2320</v>
      </c>
      <c r="C1086" t="s">
        <v>1222</v>
      </c>
      <c r="I1086" t="s">
        <v>1198</v>
      </c>
    </row>
    <row r="1087" spans="1:12" x14ac:dyDescent="0.25">
      <c r="A1087" t="s">
        <v>218</v>
      </c>
      <c r="B1087" t="s">
        <v>2321</v>
      </c>
      <c r="C1087" t="s">
        <v>1218</v>
      </c>
      <c r="E1087">
        <v>150</v>
      </c>
      <c r="F1087" s="10">
        <v>32239</v>
      </c>
      <c r="G1087">
        <v>36</v>
      </c>
      <c r="H1087">
        <v>25</v>
      </c>
      <c r="I1087" t="s">
        <v>1198</v>
      </c>
      <c r="J1087" t="s">
        <v>1219</v>
      </c>
      <c r="K1087" t="s">
        <v>1234</v>
      </c>
      <c r="L1087">
        <v>867</v>
      </c>
    </row>
    <row r="1088" spans="1:12" x14ac:dyDescent="0.25">
      <c r="A1088" t="s">
        <v>218</v>
      </c>
      <c r="B1088" t="s">
        <v>2322</v>
      </c>
      <c r="C1088" t="s">
        <v>1225</v>
      </c>
      <c r="D1088" s="13">
        <v>90000</v>
      </c>
      <c r="F1088" s="10">
        <v>39570</v>
      </c>
      <c r="G1088">
        <v>16</v>
      </c>
      <c r="H1088">
        <v>15</v>
      </c>
      <c r="I1088" t="s">
        <v>1198</v>
      </c>
    </row>
    <row r="1089" spans="1:12" x14ac:dyDescent="0.25">
      <c r="A1089" t="s">
        <v>218</v>
      </c>
      <c r="B1089" t="s">
        <v>2323</v>
      </c>
      <c r="C1089" t="s">
        <v>1238</v>
      </c>
      <c r="I1089" t="s">
        <v>1198</v>
      </c>
    </row>
    <row r="1090" spans="1:12" x14ac:dyDescent="0.25">
      <c r="A1090" t="s">
        <v>218</v>
      </c>
      <c r="B1090" t="s">
        <v>2324</v>
      </c>
      <c r="C1090" t="s">
        <v>1222</v>
      </c>
      <c r="D1090" s="13">
        <v>90000</v>
      </c>
      <c r="F1090" s="10">
        <v>39576</v>
      </c>
      <c r="G1090">
        <v>16</v>
      </c>
      <c r="H1090">
        <v>15</v>
      </c>
      <c r="I1090" t="s">
        <v>1198</v>
      </c>
    </row>
    <row r="1091" spans="1:12" x14ac:dyDescent="0.25">
      <c r="A1091" t="s">
        <v>218</v>
      </c>
      <c r="B1091" t="s">
        <v>2325</v>
      </c>
      <c r="C1091" t="s">
        <v>1238</v>
      </c>
      <c r="D1091" s="13">
        <v>36000</v>
      </c>
      <c r="F1091" s="10">
        <v>43252</v>
      </c>
      <c r="G1091">
        <v>6</v>
      </c>
      <c r="H1091">
        <v>15</v>
      </c>
      <c r="I1091" t="s">
        <v>1199</v>
      </c>
    </row>
    <row r="1092" spans="1:12" x14ac:dyDescent="0.25">
      <c r="A1092" t="s">
        <v>218</v>
      </c>
      <c r="B1092" t="s">
        <v>2326</v>
      </c>
      <c r="C1092" t="s">
        <v>1238</v>
      </c>
      <c r="D1092" s="13">
        <v>36000</v>
      </c>
      <c r="F1092" s="10">
        <v>43252</v>
      </c>
      <c r="G1092">
        <v>6</v>
      </c>
      <c r="H1092">
        <v>15</v>
      </c>
      <c r="I1092" t="s">
        <v>1199</v>
      </c>
    </row>
    <row r="1093" spans="1:12" x14ac:dyDescent="0.25">
      <c r="A1093" t="s">
        <v>218</v>
      </c>
      <c r="B1093" t="s">
        <v>2327</v>
      </c>
      <c r="C1093" t="s">
        <v>1225</v>
      </c>
      <c r="D1093" s="13">
        <v>48000</v>
      </c>
      <c r="F1093" s="10">
        <v>43298</v>
      </c>
      <c r="I1093" t="s">
        <v>1198</v>
      </c>
    </row>
    <row r="1094" spans="1:12" x14ac:dyDescent="0.25">
      <c r="A1094" t="s">
        <v>218</v>
      </c>
      <c r="B1094" t="s">
        <v>2328</v>
      </c>
      <c r="C1094" t="s">
        <v>1222</v>
      </c>
      <c r="D1094" s="13">
        <v>36000</v>
      </c>
      <c r="F1094" s="10">
        <v>43412</v>
      </c>
      <c r="I1094" t="s">
        <v>1198</v>
      </c>
    </row>
    <row r="1095" spans="1:12" x14ac:dyDescent="0.25">
      <c r="A1095" t="s">
        <v>586</v>
      </c>
      <c r="B1095" t="s">
        <v>2329</v>
      </c>
      <c r="C1095" t="s">
        <v>1218</v>
      </c>
      <c r="E1095">
        <v>250</v>
      </c>
      <c r="F1095" s="10">
        <v>30682</v>
      </c>
      <c r="G1095">
        <v>40</v>
      </c>
      <c r="H1095">
        <v>25</v>
      </c>
      <c r="I1095" t="s">
        <v>1198</v>
      </c>
      <c r="J1095" t="s">
        <v>1219</v>
      </c>
      <c r="K1095" t="s">
        <v>1234</v>
      </c>
      <c r="L1095">
        <v>594.5</v>
      </c>
    </row>
    <row r="1096" spans="1:12" x14ac:dyDescent="0.25">
      <c r="A1096" t="s">
        <v>586</v>
      </c>
      <c r="B1096" t="s">
        <v>2330</v>
      </c>
      <c r="C1096" t="s">
        <v>1225</v>
      </c>
      <c r="D1096" s="13">
        <v>99600</v>
      </c>
      <c r="F1096" s="10">
        <v>42005</v>
      </c>
      <c r="G1096">
        <v>9</v>
      </c>
      <c r="H1096">
        <v>15</v>
      </c>
      <c r="I1096" t="s">
        <v>1199</v>
      </c>
    </row>
    <row r="1097" spans="1:12" x14ac:dyDescent="0.25">
      <c r="A1097" t="s">
        <v>586</v>
      </c>
      <c r="B1097" t="s">
        <v>2331</v>
      </c>
      <c r="C1097" t="s">
        <v>1225</v>
      </c>
      <c r="D1097" s="13">
        <v>120000</v>
      </c>
      <c r="F1097" s="10">
        <v>42675</v>
      </c>
      <c r="G1097">
        <v>7</v>
      </c>
      <c r="H1097">
        <v>15</v>
      </c>
      <c r="I1097" t="s">
        <v>1199</v>
      </c>
    </row>
    <row r="1098" spans="1:12" x14ac:dyDescent="0.25">
      <c r="A1098" t="s">
        <v>586</v>
      </c>
      <c r="B1098" t="s">
        <v>2332</v>
      </c>
      <c r="C1098" t="s">
        <v>1222</v>
      </c>
      <c r="D1098" s="13">
        <v>120000</v>
      </c>
      <c r="F1098" s="10">
        <v>42675</v>
      </c>
      <c r="G1098">
        <v>7</v>
      </c>
      <c r="H1098">
        <v>15</v>
      </c>
      <c r="I1098" t="s">
        <v>1199</v>
      </c>
    </row>
    <row r="1099" spans="1:12" x14ac:dyDescent="0.25">
      <c r="A1099" t="s">
        <v>586</v>
      </c>
      <c r="B1099" t="s">
        <v>2333</v>
      </c>
      <c r="C1099" t="s">
        <v>1222</v>
      </c>
      <c r="D1099" s="13">
        <v>120000</v>
      </c>
      <c r="F1099" s="10">
        <v>37509</v>
      </c>
      <c r="G1099">
        <v>22</v>
      </c>
      <c r="H1099">
        <v>15</v>
      </c>
      <c r="I1099" t="s">
        <v>1198</v>
      </c>
    </row>
    <row r="1100" spans="1:12" x14ac:dyDescent="0.25">
      <c r="A1100" t="s">
        <v>586</v>
      </c>
      <c r="B1100" t="s">
        <v>2334</v>
      </c>
      <c r="C1100" t="s">
        <v>1225</v>
      </c>
      <c r="I1100" t="s">
        <v>1198</v>
      </c>
    </row>
    <row r="1101" spans="1:12" x14ac:dyDescent="0.25">
      <c r="A1101" t="s">
        <v>586</v>
      </c>
      <c r="B1101" t="s">
        <v>2335</v>
      </c>
      <c r="C1101" t="s">
        <v>1222</v>
      </c>
      <c r="I1101" t="s">
        <v>1198</v>
      </c>
    </row>
    <row r="1102" spans="1:12" x14ac:dyDescent="0.25">
      <c r="A1102" t="s">
        <v>586</v>
      </c>
      <c r="B1102" t="s">
        <v>2336</v>
      </c>
      <c r="C1102" t="s">
        <v>1222</v>
      </c>
      <c r="I1102" t="s">
        <v>1198</v>
      </c>
    </row>
    <row r="1103" spans="1:12" x14ac:dyDescent="0.25">
      <c r="A1103" t="s">
        <v>586</v>
      </c>
      <c r="B1103" t="s">
        <v>2337</v>
      </c>
      <c r="C1103" t="s">
        <v>1225</v>
      </c>
      <c r="F1103" s="10">
        <v>31035</v>
      </c>
      <c r="G1103">
        <v>39</v>
      </c>
      <c r="H1103">
        <v>15</v>
      </c>
      <c r="I1103" t="s">
        <v>1198</v>
      </c>
    </row>
    <row r="1104" spans="1:12" x14ac:dyDescent="0.25">
      <c r="A1104" t="s">
        <v>586</v>
      </c>
      <c r="B1104" t="s">
        <v>2338</v>
      </c>
      <c r="C1104" t="s">
        <v>1222</v>
      </c>
      <c r="I1104" t="s">
        <v>1198</v>
      </c>
    </row>
    <row r="1105" spans="1:12" x14ac:dyDescent="0.25">
      <c r="A1105" t="s">
        <v>586</v>
      </c>
      <c r="B1105" t="s">
        <v>2339</v>
      </c>
      <c r="C1105" t="s">
        <v>1222</v>
      </c>
      <c r="I1105" t="s">
        <v>1198</v>
      </c>
    </row>
    <row r="1106" spans="1:12" x14ac:dyDescent="0.25">
      <c r="A1106" t="s">
        <v>586</v>
      </c>
      <c r="B1106" t="s">
        <v>2340</v>
      </c>
      <c r="C1106" t="s">
        <v>1225</v>
      </c>
      <c r="I1106" t="s">
        <v>1198</v>
      </c>
    </row>
    <row r="1107" spans="1:12" x14ac:dyDescent="0.25">
      <c r="A1107" t="s">
        <v>586</v>
      </c>
      <c r="B1107" t="s">
        <v>2341</v>
      </c>
      <c r="C1107" t="s">
        <v>1222</v>
      </c>
      <c r="F1107" s="10">
        <v>42545</v>
      </c>
      <c r="G1107">
        <v>8</v>
      </c>
      <c r="H1107">
        <v>15</v>
      </c>
      <c r="I1107" t="s">
        <v>1199</v>
      </c>
    </row>
    <row r="1108" spans="1:12" x14ac:dyDescent="0.25">
      <c r="A1108" t="s">
        <v>223</v>
      </c>
      <c r="B1108" t="s">
        <v>2342</v>
      </c>
      <c r="C1108" t="s">
        <v>1218</v>
      </c>
      <c r="E1108">
        <v>100</v>
      </c>
      <c r="I1108" t="s">
        <v>1198</v>
      </c>
      <c r="J1108" t="s">
        <v>1219</v>
      </c>
      <c r="K1108" t="s">
        <v>1234</v>
      </c>
      <c r="L1108">
        <v>1435.4</v>
      </c>
    </row>
    <row r="1109" spans="1:12" x14ac:dyDescent="0.25">
      <c r="A1109" t="s">
        <v>223</v>
      </c>
      <c r="B1109" t="s">
        <v>2343</v>
      </c>
      <c r="C1109" t="s">
        <v>1222</v>
      </c>
      <c r="F1109" s="10">
        <v>40238</v>
      </c>
      <c r="G1109">
        <v>14</v>
      </c>
      <c r="H1109">
        <v>15</v>
      </c>
      <c r="I1109" t="s">
        <v>1199</v>
      </c>
    </row>
    <row r="1110" spans="1:12" x14ac:dyDescent="0.25">
      <c r="A1110" t="s">
        <v>223</v>
      </c>
      <c r="B1110" t="s">
        <v>2344</v>
      </c>
      <c r="C1110" t="s">
        <v>1222</v>
      </c>
      <c r="F1110" s="10">
        <v>36831</v>
      </c>
      <c r="G1110">
        <v>23</v>
      </c>
      <c r="H1110">
        <v>15</v>
      </c>
      <c r="I1110" t="s">
        <v>1198</v>
      </c>
    </row>
    <row r="1111" spans="1:12" x14ac:dyDescent="0.25">
      <c r="A1111" t="s">
        <v>223</v>
      </c>
      <c r="B1111" t="s">
        <v>2345</v>
      </c>
      <c r="C1111" t="s">
        <v>1225</v>
      </c>
      <c r="D1111" s="13">
        <v>60000</v>
      </c>
      <c r="F1111" s="10">
        <v>43217</v>
      </c>
      <c r="G1111">
        <v>6</v>
      </c>
      <c r="H1111">
        <v>15</v>
      </c>
      <c r="I1111" t="s">
        <v>1199</v>
      </c>
    </row>
    <row r="1112" spans="1:12" x14ac:dyDescent="0.25">
      <c r="A1112" t="s">
        <v>223</v>
      </c>
      <c r="B1112" t="s">
        <v>2346</v>
      </c>
      <c r="C1112" t="s">
        <v>1222</v>
      </c>
      <c r="D1112" s="13">
        <v>60000</v>
      </c>
      <c r="F1112" s="10">
        <v>43217</v>
      </c>
      <c r="G1112">
        <v>6</v>
      </c>
      <c r="H1112">
        <v>15</v>
      </c>
      <c r="I1112" t="s">
        <v>1199</v>
      </c>
    </row>
    <row r="1113" spans="1:12" x14ac:dyDescent="0.25">
      <c r="A1113" t="s">
        <v>223</v>
      </c>
      <c r="B1113" t="s">
        <v>2347</v>
      </c>
      <c r="C1113" t="s">
        <v>1225</v>
      </c>
      <c r="I1113" t="s">
        <v>1198</v>
      </c>
    </row>
    <row r="1114" spans="1:12" x14ac:dyDescent="0.25">
      <c r="A1114" t="s">
        <v>223</v>
      </c>
      <c r="B1114" t="s">
        <v>2348</v>
      </c>
      <c r="C1114" t="s">
        <v>1225</v>
      </c>
      <c r="I1114" t="s">
        <v>1198</v>
      </c>
    </row>
    <row r="1115" spans="1:12" x14ac:dyDescent="0.25">
      <c r="A1115" t="s">
        <v>223</v>
      </c>
      <c r="B1115" t="s">
        <v>2349</v>
      </c>
      <c r="C1115" t="s">
        <v>1225</v>
      </c>
      <c r="I1115" t="s">
        <v>1198</v>
      </c>
    </row>
    <row r="1116" spans="1:12" x14ac:dyDescent="0.25">
      <c r="A1116" t="s">
        <v>223</v>
      </c>
      <c r="B1116" t="s">
        <v>2350</v>
      </c>
      <c r="C1116" t="s">
        <v>1296</v>
      </c>
      <c r="I1116" t="s">
        <v>1198</v>
      </c>
    </row>
    <row r="1117" spans="1:12" x14ac:dyDescent="0.25">
      <c r="A1117" t="s">
        <v>223</v>
      </c>
      <c r="B1117" t="s">
        <v>2351</v>
      </c>
      <c r="C1117" t="s">
        <v>1225</v>
      </c>
      <c r="I1117" t="s">
        <v>1198</v>
      </c>
    </row>
    <row r="1118" spans="1:12" x14ac:dyDescent="0.25">
      <c r="A1118" t="s">
        <v>223</v>
      </c>
      <c r="B1118" t="s">
        <v>2352</v>
      </c>
      <c r="C1118" t="s">
        <v>1296</v>
      </c>
      <c r="I1118" t="s">
        <v>1198</v>
      </c>
    </row>
    <row r="1119" spans="1:12" x14ac:dyDescent="0.25">
      <c r="A1119" t="s">
        <v>223</v>
      </c>
      <c r="B1119" t="s">
        <v>2353</v>
      </c>
      <c r="C1119" t="s">
        <v>1222</v>
      </c>
      <c r="I1119" t="s">
        <v>1198</v>
      </c>
    </row>
    <row r="1120" spans="1:12" x14ac:dyDescent="0.25">
      <c r="A1120" t="s">
        <v>223</v>
      </c>
      <c r="B1120" t="s">
        <v>2354</v>
      </c>
      <c r="C1120" t="s">
        <v>1238</v>
      </c>
      <c r="I1120" t="s">
        <v>1198</v>
      </c>
    </row>
    <row r="1121" spans="1:12" x14ac:dyDescent="0.25">
      <c r="A1121" t="s">
        <v>228</v>
      </c>
      <c r="B1121" t="s">
        <v>2355</v>
      </c>
      <c r="C1121" t="s">
        <v>1218</v>
      </c>
      <c r="E1121">
        <v>125</v>
      </c>
      <c r="I1121" t="s">
        <v>1198</v>
      </c>
      <c r="J1121" t="s">
        <v>1219</v>
      </c>
      <c r="K1121" t="s">
        <v>1220</v>
      </c>
      <c r="L1121">
        <v>2240.3000000000002</v>
      </c>
    </row>
    <row r="1122" spans="1:12" x14ac:dyDescent="0.25">
      <c r="A1122" t="s">
        <v>228</v>
      </c>
      <c r="B1122" t="s">
        <v>2356</v>
      </c>
      <c r="C1122" t="s">
        <v>1225</v>
      </c>
      <c r="D1122" s="13">
        <v>180000</v>
      </c>
      <c r="I1122" t="s">
        <v>1198</v>
      </c>
    </row>
    <row r="1123" spans="1:12" x14ac:dyDescent="0.25">
      <c r="A1123" t="s">
        <v>228</v>
      </c>
      <c r="B1123" t="s">
        <v>2357</v>
      </c>
      <c r="C1123" t="s">
        <v>1222</v>
      </c>
      <c r="D1123" s="13">
        <v>180000</v>
      </c>
      <c r="F1123" s="10">
        <v>33132</v>
      </c>
      <c r="I1123" t="s">
        <v>1198</v>
      </c>
    </row>
    <row r="1124" spans="1:12" x14ac:dyDescent="0.25">
      <c r="A1124" t="s">
        <v>228</v>
      </c>
      <c r="B1124" t="s">
        <v>2358</v>
      </c>
      <c r="C1124" t="s">
        <v>1296</v>
      </c>
      <c r="I1124" t="s">
        <v>1198</v>
      </c>
    </row>
    <row r="1125" spans="1:12" x14ac:dyDescent="0.25">
      <c r="A1125" t="s">
        <v>228</v>
      </c>
      <c r="B1125" t="s">
        <v>2359</v>
      </c>
      <c r="C1125" t="s">
        <v>1225</v>
      </c>
      <c r="D1125" s="13">
        <v>90000</v>
      </c>
      <c r="F1125" s="10">
        <v>44758</v>
      </c>
      <c r="I1125" t="s">
        <v>1198</v>
      </c>
    </row>
    <row r="1126" spans="1:12" x14ac:dyDescent="0.25">
      <c r="A1126" t="s">
        <v>228</v>
      </c>
      <c r="B1126" t="s">
        <v>2360</v>
      </c>
      <c r="C1126" t="s">
        <v>1238</v>
      </c>
      <c r="D1126" s="13">
        <v>36000</v>
      </c>
      <c r="F1126" s="10">
        <v>36951</v>
      </c>
      <c r="G1126">
        <v>23</v>
      </c>
      <c r="H1126">
        <v>15</v>
      </c>
      <c r="I1126" t="s">
        <v>1198</v>
      </c>
    </row>
    <row r="1127" spans="1:12" x14ac:dyDescent="0.25">
      <c r="A1127" t="s">
        <v>228</v>
      </c>
      <c r="B1127" t="s">
        <v>2361</v>
      </c>
      <c r="C1127" t="s">
        <v>1225</v>
      </c>
      <c r="D1127" s="13">
        <v>36000</v>
      </c>
      <c r="F1127" s="10">
        <v>44858</v>
      </c>
      <c r="G1127">
        <v>1</v>
      </c>
      <c r="H1127">
        <v>15</v>
      </c>
      <c r="I1127" t="s">
        <v>1199</v>
      </c>
    </row>
    <row r="1128" spans="1:12" x14ac:dyDescent="0.25">
      <c r="A1128" t="s">
        <v>228</v>
      </c>
      <c r="B1128" t="s">
        <v>2362</v>
      </c>
      <c r="C1128" t="s">
        <v>1222</v>
      </c>
      <c r="D1128" s="13">
        <v>36000</v>
      </c>
      <c r="F1128" s="10">
        <v>44828</v>
      </c>
      <c r="G1128">
        <v>1</v>
      </c>
      <c r="H1128">
        <v>15</v>
      </c>
      <c r="I1128" t="s">
        <v>1199</v>
      </c>
    </row>
    <row r="1129" spans="1:12" x14ac:dyDescent="0.25">
      <c r="A1129" t="s">
        <v>228</v>
      </c>
      <c r="B1129" t="s">
        <v>2363</v>
      </c>
      <c r="C1129" t="s">
        <v>1222</v>
      </c>
      <c r="D1129" s="13">
        <v>90000</v>
      </c>
      <c r="F1129" s="10">
        <v>44820</v>
      </c>
      <c r="I1129" t="s">
        <v>1198</v>
      </c>
    </row>
    <row r="1130" spans="1:12" x14ac:dyDescent="0.25">
      <c r="A1130" t="s">
        <v>228</v>
      </c>
      <c r="B1130" t="s">
        <v>2364</v>
      </c>
      <c r="C1130" t="s">
        <v>1238</v>
      </c>
      <c r="F1130" s="10">
        <v>44942</v>
      </c>
      <c r="I1130" t="s">
        <v>1198</v>
      </c>
    </row>
    <row r="1131" spans="1:12" x14ac:dyDescent="0.25">
      <c r="A1131" t="s">
        <v>754</v>
      </c>
      <c r="B1131" t="s">
        <v>2365</v>
      </c>
      <c r="C1131" t="s">
        <v>1225</v>
      </c>
      <c r="D1131" s="13">
        <v>120000</v>
      </c>
      <c r="F1131" s="10">
        <v>33604</v>
      </c>
      <c r="G1131">
        <v>32</v>
      </c>
      <c r="H1131">
        <v>15</v>
      </c>
      <c r="I1131" t="s">
        <v>1198</v>
      </c>
    </row>
    <row r="1132" spans="1:12" x14ac:dyDescent="0.25">
      <c r="A1132" t="s">
        <v>754</v>
      </c>
      <c r="B1132" t="s">
        <v>2366</v>
      </c>
      <c r="C1132" t="s">
        <v>1222</v>
      </c>
      <c r="D1132" s="13">
        <v>120000</v>
      </c>
      <c r="F1132" s="10">
        <v>33604</v>
      </c>
      <c r="G1132">
        <v>32</v>
      </c>
      <c r="H1132">
        <v>15</v>
      </c>
      <c r="I1132" t="s">
        <v>1198</v>
      </c>
    </row>
    <row r="1133" spans="1:12" x14ac:dyDescent="0.25">
      <c r="A1133" t="s">
        <v>754</v>
      </c>
      <c r="B1133" t="s">
        <v>2367</v>
      </c>
      <c r="C1133" t="s">
        <v>1225</v>
      </c>
      <c r="D1133" s="13">
        <v>120000</v>
      </c>
      <c r="F1133" s="10">
        <v>33604</v>
      </c>
      <c r="G1133">
        <v>32</v>
      </c>
      <c r="H1133">
        <v>15</v>
      </c>
      <c r="I1133" t="s">
        <v>1198</v>
      </c>
    </row>
    <row r="1134" spans="1:12" x14ac:dyDescent="0.25">
      <c r="A1134" t="s">
        <v>754</v>
      </c>
      <c r="B1134" t="s">
        <v>2368</v>
      </c>
      <c r="C1134" t="s">
        <v>1222</v>
      </c>
      <c r="D1134" s="13">
        <v>120000</v>
      </c>
      <c r="F1134" s="10">
        <v>33604</v>
      </c>
      <c r="G1134">
        <v>32</v>
      </c>
      <c r="H1134">
        <v>15</v>
      </c>
      <c r="I1134" t="s">
        <v>1198</v>
      </c>
    </row>
    <row r="1135" spans="1:12" x14ac:dyDescent="0.25">
      <c r="A1135" t="s">
        <v>754</v>
      </c>
      <c r="B1135" t="s">
        <v>2369</v>
      </c>
      <c r="C1135" t="s">
        <v>1225</v>
      </c>
      <c r="D1135" s="13">
        <v>60000</v>
      </c>
      <c r="F1135" s="10">
        <v>33604</v>
      </c>
      <c r="G1135">
        <v>32</v>
      </c>
      <c r="H1135">
        <v>15</v>
      </c>
      <c r="I1135" t="s">
        <v>1198</v>
      </c>
    </row>
    <row r="1136" spans="1:12" x14ac:dyDescent="0.25">
      <c r="A1136" t="s">
        <v>754</v>
      </c>
      <c r="B1136" t="s">
        <v>2370</v>
      </c>
      <c r="C1136" t="s">
        <v>1222</v>
      </c>
      <c r="I1136" t="s">
        <v>1198</v>
      </c>
    </row>
    <row r="1137" spans="1:12" x14ac:dyDescent="0.25">
      <c r="A1137" t="s">
        <v>754</v>
      </c>
      <c r="B1137" t="s">
        <v>2371</v>
      </c>
      <c r="C1137" t="s">
        <v>1218</v>
      </c>
      <c r="E1137">
        <v>85</v>
      </c>
      <c r="F1137" s="10">
        <v>42352</v>
      </c>
      <c r="G1137">
        <v>8</v>
      </c>
      <c r="H1137">
        <v>25</v>
      </c>
      <c r="I1137" t="s">
        <v>1199</v>
      </c>
      <c r="J1137" t="s">
        <v>1219</v>
      </c>
      <c r="K1137" t="s">
        <v>1220</v>
      </c>
      <c r="L1137">
        <v>270.39999999999998</v>
      </c>
    </row>
    <row r="1138" spans="1:12" x14ac:dyDescent="0.25">
      <c r="A1138" t="s">
        <v>754</v>
      </c>
      <c r="B1138" t="s">
        <v>2372</v>
      </c>
      <c r="C1138" t="s">
        <v>1222</v>
      </c>
      <c r="I1138" t="s">
        <v>1198</v>
      </c>
    </row>
    <row r="1139" spans="1:12" x14ac:dyDescent="0.25">
      <c r="A1139" t="s">
        <v>754</v>
      </c>
      <c r="B1139" t="s">
        <v>2373</v>
      </c>
      <c r="C1139" t="s">
        <v>1225</v>
      </c>
      <c r="I1139" t="s">
        <v>1198</v>
      </c>
    </row>
    <row r="1140" spans="1:12" x14ac:dyDescent="0.25">
      <c r="A1140" t="s">
        <v>754</v>
      </c>
      <c r="B1140" t="s">
        <v>2374</v>
      </c>
      <c r="C1140" t="s">
        <v>1225</v>
      </c>
      <c r="I1140" t="s">
        <v>1198</v>
      </c>
    </row>
    <row r="1141" spans="1:12" x14ac:dyDescent="0.25">
      <c r="A1141" t="s">
        <v>754</v>
      </c>
      <c r="B1141" t="s">
        <v>2375</v>
      </c>
      <c r="C1141" t="s">
        <v>1225</v>
      </c>
      <c r="I1141" t="s">
        <v>1198</v>
      </c>
    </row>
    <row r="1142" spans="1:12" x14ac:dyDescent="0.25">
      <c r="A1142" t="s">
        <v>754</v>
      </c>
      <c r="B1142" t="s">
        <v>2376</v>
      </c>
      <c r="C1142" t="s">
        <v>1222</v>
      </c>
      <c r="I1142" t="s">
        <v>1198</v>
      </c>
    </row>
    <row r="1143" spans="1:12" x14ac:dyDescent="0.25">
      <c r="A1143" t="s">
        <v>754</v>
      </c>
      <c r="B1143" t="s">
        <v>2377</v>
      </c>
      <c r="C1143" t="s">
        <v>1222</v>
      </c>
      <c r="I1143" t="s">
        <v>1198</v>
      </c>
    </row>
    <row r="1144" spans="1:12" x14ac:dyDescent="0.25">
      <c r="A1144" t="s">
        <v>754</v>
      </c>
      <c r="B1144" t="s">
        <v>2378</v>
      </c>
      <c r="C1144" t="s">
        <v>1225</v>
      </c>
      <c r="D1144" s="13">
        <v>90000</v>
      </c>
      <c r="F1144" s="10">
        <v>45962</v>
      </c>
      <c r="I1144" t="s">
        <v>1198</v>
      </c>
    </row>
    <row r="1145" spans="1:12" x14ac:dyDescent="0.25">
      <c r="A1145" t="s">
        <v>754</v>
      </c>
      <c r="B1145" t="s">
        <v>2379</v>
      </c>
      <c r="C1145" t="s">
        <v>1222</v>
      </c>
      <c r="D1145" s="13">
        <v>90000</v>
      </c>
      <c r="F1145" s="10">
        <v>45962</v>
      </c>
      <c r="I1145" t="s">
        <v>1198</v>
      </c>
    </row>
    <row r="1146" spans="1:12" x14ac:dyDescent="0.25">
      <c r="A1146" t="s">
        <v>749</v>
      </c>
      <c r="B1146" t="s">
        <v>2380</v>
      </c>
      <c r="C1146" t="s">
        <v>1225</v>
      </c>
      <c r="D1146" s="13">
        <v>100000</v>
      </c>
      <c r="F1146" s="10">
        <v>30590</v>
      </c>
      <c r="G1146">
        <v>41</v>
      </c>
      <c r="H1146">
        <v>15</v>
      </c>
      <c r="I1146" t="s">
        <v>1198</v>
      </c>
    </row>
    <row r="1147" spans="1:12" x14ac:dyDescent="0.25">
      <c r="A1147" t="s">
        <v>749</v>
      </c>
      <c r="B1147" t="s">
        <v>1242</v>
      </c>
      <c r="C1147" t="s">
        <v>1222</v>
      </c>
      <c r="I1147" t="s">
        <v>1198</v>
      </c>
    </row>
    <row r="1148" spans="1:12" x14ac:dyDescent="0.25">
      <c r="A1148" t="s">
        <v>749</v>
      </c>
      <c r="B1148" t="s">
        <v>2381</v>
      </c>
      <c r="C1148" t="s">
        <v>1218</v>
      </c>
      <c r="E1148">
        <v>125</v>
      </c>
      <c r="F1148" s="10">
        <v>42095</v>
      </c>
      <c r="G1148">
        <v>9</v>
      </c>
      <c r="H1148">
        <v>25</v>
      </c>
      <c r="I1148" t="s">
        <v>1199</v>
      </c>
      <c r="J1148" t="s">
        <v>1219</v>
      </c>
      <c r="K1148" t="s">
        <v>1234</v>
      </c>
      <c r="L1148">
        <v>81.8</v>
      </c>
    </row>
    <row r="1149" spans="1:12" x14ac:dyDescent="0.25">
      <c r="A1149" t="s">
        <v>749</v>
      </c>
      <c r="B1149" t="s">
        <v>2382</v>
      </c>
      <c r="C1149" t="s">
        <v>1225</v>
      </c>
      <c r="D1149" s="13">
        <v>192000</v>
      </c>
      <c r="I1149" t="s">
        <v>1198</v>
      </c>
    </row>
    <row r="1150" spans="1:12" x14ac:dyDescent="0.25">
      <c r="A1150" t="s">
        <v>749</v>
      </c>
      <c r="B1150" t="s">
        <v>2383</v>
      </c>
      <c r="C1150" t="s">
        <v>1222</v>
      </c>
      <c r="I1150" t="s">
        <v>1198</v>
      </c>
    </row>
    <row r="1151" spans="1:12" x14ac:dyDescent="0.25">
      <c r="A1151" t="s">
        <v>749</v>
      </c>
      <c r="B1151" t="s">
        <v>2384</v>
      </c>
      <c r="C1151" t="s">
        <v>1222</v>
      </c>
      <c r="D1151" s="13">
        <v>240000</v>
      </c>
      <c r="F1151" s="10">
        <v>38473</v>
      </c>
      <c r="G1151">
        <v>19</v>
      </c>
      <c r="H1151">
        <v>15</v>
      </c>
      <c r="I1151" t="s">
        <v>1198</v>
      </c>
    </row>
    <row r="1152" spans="1:12" x14ac:dyDescent="0.25">
      <c r="A1152" t="s">
        <v>749</v>
      </c>
      <c r="B1152" t="s">
        <v>2385</v>
      </c>
      <c r="C1152" t="s">
        <v>1296</v>
      </c>
      <c r="F1152" s="10">
        <v>33970</v>
      </c>
      <c r="G1152">
        <v>31</v>
      </c>
      <c r="H1152">
        <v>15</v>
      </c>
      <c r="I1152" t="s">
        <v>1198</v>
      </c>
    </row>
    <row r="1153" spans="1:12" x14ac:dyDescent="0.25">
      <c r="A1153" t="s">
        <v>749</v>
      </c>
      <c r="B1153" t="s">
        <v>2386</v>
      </c>
      <c r="C1153" t="s">
        <v>1225</v>
      </c>
      <c r="I1153" t="s">
        <v>1198</v>
      </c>
    </row>
    <row r="1154" spans="1:12" x14ac:dyDescent="0.25">
      <c r="A1154" t="s">
        <v>749</v>
      </c>
      <c r="B1154" t="s">
        <v>2387</v>
      </c>
      <c r="C1154" t="s">
        <v>1222</v>
      </c>
      <c r="I1154" t="s">
        <v>1198</v>
      </c>
    </row>
    <row r="1155" spans="1:12" x14ac:dyDescent="0.25">
      <c r="A1155" t="s">
        <v>749</v>
      </c>
      <c r="B1155" t="s">
        <v>2388</v>
      </c>
      <c r="C1155" t="s">
        <v>1225</v>
      </c>
      <c r="D1155" s="13">
        <v>192000</v>
      </c>
      <c r="I1155" t="s">
        <v>1198</v>
      </c>
    </row>
    <row r="1156" spans="1:12" x14ac:dyDescent="0.25">
      <c r="A1156" t="s">
        <v>749</v>
      </c>
      <c r="B1156" t="s">
        <v>2389</v>
      </c>
      <c r="C1156" t="s">
        <v>1222</v>
      </c>
      <c r="I1156" t="s">
        <v>1198</v>
      </c>
    </row>
    <row r="1157" spans="1:12" x14ac:dyDescent="0.25">
      <c r="A1157" t="s">
        <v>749</v>
      </c>
      <c r="B1157" t="s">
        <v>2390</v>
      </c>
      <c r="C1157" t="s">
        <v>1225</v>
      </c>
      <c r="I1157" t="s">
        <v>1198</v>
      </c>
    </row>
    <row r="1158" spans="1:12" x14ac:dyDescent="0.25">
      <c r="A1158" t="s">
        <v>2391</v>
      </c>
      <c r="B1158" t="s">
        <v>2392</v>
      </c>
      <c r="C1158" t="s">
        <v>1218</v>
      </c>
      <c r="E1158">
        <v>45</v>
      </c>
      <c r="F1158" s="10">
        <v>29495</v>
      </c>
      <c r="G1158">
        <v>44</v>
      </c>
      <c r="H1158">
        <v>25</v>
      </c>
      <c r="I1158" t="s">
        <v>1198</v>
      </c>
      <c r="J1158" t="s">
        <v>1341</v>
      </c>
      <c r="L1158">
        <v>476</v>
      </c>
    </row>
    <row r="1159" spans="1:12" x14ac:dyDescent="0.25">
      <c r="A1159" t="s">
        <v>2391</v>
      </c>
      <c r="B1159" t="s">
        <v>2393</v>
      </c>
      <c r="C1159" t="s">
        <v>1218</v>
      </c>
      <c r="E1159">
        <v>20</v>
      </c>
      <c r="F1159" s="10">
        <v>31199</v>
      </c>
      <c r="G1159">
        <v>39</v>
      </c>
      <c r="H1159">
        <v>25</v>
      </c>
      <c r="I1159" t="s">
        <v>1198</v>
      </c>
      <c r="J1159" t="s">
        <v>1341</v>
      </c>
      <c r="L1159">
        <v>569.6</v>
      </c>
    </row>
    <row r="1160" spans="1:12" x14ac:dyDescent="0.25">
      <c r="A1160" t="s">
        <v>2391</v>
      </c>
      <c r="B1160" t="s">
        <v>2394</v>
      </c>
      <c r="C1160" t="s">
        <v>1222</v>
      </c>
      <c r="D1160" s="13">
        <v>42000</v>
      </c>
      <c r="I1160" t="s">
        <v>1198</v>
      </c>
    </row>
    <row r="1161" spans="1:12" x14ac:dyDescent="0.25">
      <c r="A1161" t="s">
        <v>2391</v>
      </c>
      <c r="B1161" t="s">
        <v>2395</v>
      </c>
      <c r="C1161" t="s">
        <v>1222</v>
      </c>
      <c r="D1161" s="13">
        <v>48000</v>
      </c>
      <c r="I1161" t="s">
        <v>1198</v>
      </c>
    </row>
    <row r="1162" spans="1:12" x14ac:dyDescent="0.25">
      <c r="A1162" t="s">
        <v>2391</v>
      </c>
      <c r="B1162" t="s">
        <v>2396</v>
      </c>
      <c r="C1162" t="s">
        <v>1262</v>
      </c>
      <c r="I1162" t="s">
        <v>1198</v>
      </c>
    </row>
    <row r="1163" spans="1:12" x14ac:dyDescent="0.25">
      <c r="A1163" t="s">
        <v>2391</v>
      </c>
      <c r="B1163" t="s">
        <v>2397</v>
      </c>
      <c r="C1163" t="s">
        <v>1262</v>
      </c>
      <c r="I1163" t="s">
        <v>1198</v>
      </c>
    </row>
    <row r="1164" spans="1:12" x14ac:dyDescent="0.25">
      <c r="A1164" t="s">
        <v>2391</v>
      </c>
      <c r="B1164" t="s">
        <v>2398</v>
      </c>
      <c r="C1164" t="s">
        <v>1225</v>
      </c>
      <c r="D1164" s="13">
        <v>36000</v>
      </c>
      <c r="I1164" t="s">
        <v>1198</v>
      </c>
    </row>
    <row r="1165" spans="1:12" x14ac:dyDescent="0.25">
      <c r="A1165" t="s">
        <v>2391</v>
      </c>
      <c r="B1165" t="s">
        <v>2399</v>
      </c>
      <c r="C1165" t="s">
        <v>1225</v>
      </c>
      <c r="D1165" s="13">
        <v>42000</v>
      </c>
      <c r="F1165" s="10">
        <v>32082</v>
      </c>
      <c r="G1165">
        <v>36</v>
      </c>
      <c r="H1165">
        <v>15</v>
      </c>
      <c r="I1165" t="s">
        <v>1198</v>
      </c>
    </row>
    <row r="1166" spans="1:12" x14ac:dyDescent="0.25">
      <c r="A1166" t="s">
        <v>2391</v>
      </c>
      <c r="B1166" t="s">
        <v>2400</v>
      </c>
      <c r="C1166" t="s">
        <v>1222</v>
      </c>
      <c r="D1166" s="13">
        <v>42000</v>
      </c>
      <c r="F1166" s="10">
        <v>41821</v>
      </c>
      <c r="G1166">
        <v>10</v>
      </c>
      <c r="H1166">
        <v>15</v>
      </c>
      <c r="I1166" t="s">
        <v>1199</v>
      </c>
    </row>
    <row r="1167" spans="1:12" x14ac:dyDescent="0.25">
      <c r="A1167" t="s">
        <v>2391</v>
      </c>
      <c r="B1167" t="s">
        <v>2401</v>
      </c>
      <c r="C1167" t="s">
        <v>1225</v>
      </c>
      <c r="D1167" s="13">
        <v>42000</v>
      </c>
      <c r="I1167" t="s">
        <v>1198</v>
      </c>
    </row>
    <row r="1168" spans="1:12" x14ac:dyDescent="0.25">
      <c r="A1168" t="s">
        <v>422</v>
      </c>
      <c r="B1168" t="s">
        <v>2402</v>
      </c>
      <c r="C1168" t="s">
        <v>1218</v>
      </c>
      <c r="E1168">
        <v>300</v>
      </c>
      <c r="G1168">
        <v>24</v>
      </c>
      <c r="H1168">
        <v>25</v>
      </c>
      <c r="I1168" t="s">
        <v>1199</v>
      </c>
      <c r="J1168" t="s">
        <v>1219</v>
      </c>
      <c r="K1168" t="s">
        <v>1220</v>
      </c>
    </row>
    <row r="1169" spans="1:12" x14ac:dyDescent="0.25">
      <c r="A1169" t="s">
        <v>422</v>
      </c>
      <c r="B1169" t="s">
        <v>2403</v>
      </c>
      <c r="C1169" t="s">
        <v>1222</v>
      </c>
      <c r="D1169" s="13">
        <v>200000</v>
      </c>
      <c r="F1169" s="10">
        <v>41275</v>
      </c>
      <c r="G1169">
        <v>11</v>
      </c>
      <c r="H1169">
        <v>15</v>
      </c>
      <c r="I1169" t="s">
        <v>1199</v>
      </c>
    </row>
    <row r="1170" spans="1:12" x14ac:dyDescent="0.25">
      <c r="A1170" t="s">
        <v>422</v>
      </c>
      <c r="B1170" t="s">
        <v>2404</v>
      </c>
      <c r="C1170" t="s">
        <v>1225</v>
      </c>
      <c r="D1170" s="13">
        <v>180000</v>
      </c>
      <c r="F1170" s="10">
        <v>41275</v>
      </c>
      <c r="G1170">
        <v>11</v>
      </c>
      <c r="H1170">
        <v>15</v>
      </c>
      <c r="I1170" t="s">
        <v>1199</v>
      </c>
    </row>
    <row r="1171" spans="1:12" x14ac:dyDescent="0.25">
      <c r="A1171" t="s">
        <v>422</v>
      </c>
      <c r="B1171" t="s">
        <v>2405</v>
      </c>
      <c r="C1171" t="s">
        <v>1222</v>
      </c>
      <c r="D1171" s="13">
        <v>200000</v>
      </c>
      <c r="F1171" s="10">
        <v>41275</v>
      </c>
      <c r="G1171">
        <v>11</v>
      </c>
      <c r="H1171">
        <v>15</v>
      </c>
      <c r="I1171" t="s">
        <v>1199</v>
      </c>
    </row>
    <row r="1172" spans="1:12" x14ac:dyDescent="0.25">
      <c r="A1172" t="s">
        <v>422</v>
      </c>
      <c r="B1172" t="s">
        <v>2406</v>
      </c>
      <c r="C1172" t="s">
        <v>1225</v>
      </c>
      <c r="D1172" s="13">
        <v>180000</v>
      </c>
      <c r="F1172" s="10">
        <v>41275</v>
      </c>
      <c r="G1172">
        <v>11</v>
      </c>
      <c r="H1172">
        <v>15</v>
      </c>
      <c r="I1172" t="s">
        <v>1199</v>
      </c>
    </row>
    <row r="1173" spans="1:12" x14ac:dyDescent="0.25">
      <c r="A1173" t="s">
        <v>422</v>
      </c>
      <c r="B1173" t="s">
        <v>2407</v>
      </c>
      <c r="C1173" t="s">
        <v>1225</v>
      </c>
      <c r="D1173" s="13">
        <v>24000</v>
      </c>
      <c r="F1173" s="10">
        <v>34943</v>
      </c>
      <c r="G1173">
        <v>29</v>
      </c>
      <c r="H1173">
        <v>15</v>
      </c>
      <c r="I1173" t="s">
        <v>1198</v>
      </c>
    </row>
    <row r="1174" spans="1:12" x14ac:dyDescent="0.25">
      <c r="A1174" t="s">
        <v>422</v>
      </c>
      <c r="B1174" t="s">
        <v>2408</v>
      </c>
      <c r="C1174" t="s">
        <v>1225</v>
      </c>
      <c r="D1174" s="13">
        <v>24000</v>
      </c>
      <c r="F1174" s="10">
        <v>34943</v>
      </c>
      <c r="G1174">
        <v>29</v>
      </c>
      <c r="H1174">
        <v>15</v>
      </c>
      <c r="I1174" t="s">
        <v>1198</v>
      </c>
    </row>
    <row r="1175" spans="1:12" x14ac:dyDescent="0.25">
      <c r="A1175" t="s">
        <v>422</v>
      </c>
      <c r="B1175" t="s">
        <v>2409</v>
      </c>
      <c r="C1175" t="s">
        <v>1225</v>
      </c>
      <c r="D1175" s="13">
        <v>24000</v>
      </c>
      <c r="F1175" s="10">
        <v>35796</v>
      </c>
      <c r="G1175">
        <v>26</v>
      </c>
      <c r="H1175">
        <v>15</v>
      </c>
      <c r="I1175" t="s">
        <v>1198</v>
      </c>
    </row>
    <row r="1176" spans="1:12" x14ac:dyDescent="0.25">
      <c r="A1176" t="s">
        <v>422</v>
      </c>
      <c r="B1176" t="s">
        <v>2410</v>
      </c>
      <c r="C1176" t="s">
        <v>1222</v>
      </c>
      <c r="D1176" s="13">
        <v>240000</v>
      </c>
      <c r="F1176" s="10">
        <v>34973</v>
      </c>
      <c r="G1176">
        <v>29</v>
      </c>
      <c r="H1176">
        <v>15</v>
      </c>
      <c r="I1176" t="s">
        <v>1198</v>
      </c>
    </row>
    <row r="1177" spans="1:12" x14ac:dyDescent="0.25">
      <c r="A1177" t="s">
        <v>422</v>
      </c>
      <c r="B1177" t="s">
        <v>2411</v>
      </c>
      <c r="C1177" t="s">
        <v>1222</v>
      </c>
      <c r="D1177" s="13">
        <v>24000</v>
      </c>
      <c r="F1177" s="10">
        <v>34973</v>
      </c>
      <c r="G1177">
        <v>29</v>
      </c>
      <c r="H1177">
        <v>15</v>
      </c>
      <c r="I1177" t="s">
        <v>1198</v>
      </c>
    </row>
    <row r="1178" spans="1:12" x14ac:dyDescent="0.25">
      <c r="A1178" t="s">
        <v>422</v>
      </c>
      <c r="B1178" t="s">
        <v>2412</v>
      </c>
      <c r="C1178" t="s">
        <v>1222</v>
      </c>
      <c r="D1178" s="13">
        <v>60000</v>
      </c>
      <c r="F1178" s="10">
        <v>35796</v>
      </c>
      <c r="G1178">
        <v>26</v>
      </c>
      <c r="H1178">
        <v>15</v>
      </c>
      <c r="I1178" t="s">
        <v>1198</v>
      </c>
    </row>
    <row r="1179" spans="1:12" x14ac:dyDescent="0.25">
      <c r="A1179" t="s">
        <v>422</v>
      </c>
      <c r="B1179" t="s">
        <v>2413</v>
      </c>
      <c r="C1179" t="s">
        <v>1218</v>
      </c>
      <c r="E1179">
        <v>300</v>
      </c>
      <c r="F1179" s="10">
        <v>36465</v>
      </c>
      <c r="I1179" t="s">
        <v>1198</v>
      </c>
      <c r="J1179" t="s">
        <v>1219</v>
      </c>
      <c r="K1179" t="s">
        <v>1220</v>
      </c>
      <c r="L1179">
        <v>271.2</v>
      </c>
    </row>
    <row r="1180" spans="1:12" x14ac:dyDescent="0.25">
      <c r="A1180" t="s">
        <v>1203</v>
      </c>
      <c r="B1180" t="s">
        <v>2414</v>
      </c>
      <c r="C1180" t="s">
        <v>1238</v>
      </c>
      <c r="D1180" s="13">
        <v>24000</v>
      </c>
      <c r="I1180" t="s">
        <v>1198</v>
      </c>
    </row>
    <row r="1181" spans="1:12" x14ac:dyDescent="0.25">
      <c r="A1181" t="s">
        <v>1203</v>
      </c>
      <c r="B1181" t="s">
        <v>2415</v>
      </c>
      <c r="C1181" t="s">
        <v>1296</v>
      </c>
      <c r="D1181" s="13">
        <v>12000</v>
      </c>
      <c r="F1181" s="10">
        <v>44383</v>
      </c>
      <c r="G1181">
        <v>3</v>
      </c>
      <c r="H1181">
        <v>15</v>
      </c>
      <c r="I1181" t="s">
        <v>1199</v>
      </c>
    </row>
    <row r="1182" spans="1:12" x14ac:dyDescent="0.25">
      <c r="A1182" t="s">
        <v>1203</v>
      </c>
      <c r="B1182" t="s">
        <v>2416</v>
      </c>
      <c r="C1182" t="s">
        <v>1296</v>
      </c>
      <c r="D1182" s="13">
        <v>12000</v>
      </c>
      <c r="F1182" s="10">
        <v>44383</v>
      </c>
      <c r="I1182" t="s">
        <v>1198</v>
      </c>
    </row>
    <row r="1183" spans="1:12" x14ac:dyDescent="0.25">
      <c r="A1183" t="s">
        <v>943</v>
      </c>
      <c r="B1183" t="s">
        <v>2417</v>
      </c>
      <c r="C1183" t="s">
        <v>1225</v>
      </c>
      <c r="F1183" s="10">
        <v>33482</v>
      </c>
      <c r="G1183">
        <v>33</v>
      </c>
      <c r="H1183">
        <v>15</v>
      </c>
      <c r="I1183" t="s">
        <v>1198</v>
      </c>
    </row>
    <row r="1184" spans="1:12" x14ac:dyDescent="0.25">
      <c r="A1184" t="s">
        <v>943</v>
      </c>
      <c r="B1184" t="s">
        <v>2418</v>
      </c>
      <c r="C1184" t="s">
        <v>1225</v>
      </c>
      <c r="D1184" s="13">
        <v>120000</v>
      </c>
      <c r="F1184" s="10">
        <v>33239</v>
      </c>
      <c r="G1184">
        <v>33</v>
      </c>
      <c r="H1184">
        <v>15</v>
      </c>
      <c r="I1184" t="s">
        <v>1198</v>
      </c>
    </row>
    <row r="1185" spans="1:12" x14ac:dyDescent="0.25">
      <c r="A1185" t="s">
        <v>943</v>
      </c>
      <c r="B1185" t="s">
        <v>2419</v>
      </c>
      <c r="C1185" t="s">
        <v>1225</v>
      </c>
      <c r="F1185" s="10">
        <v>34243</v>
      </c>
      <c r="G1185">
        <v>31</v>
      </c>
      <c r="H1185">
        <v>15</v>
      </c>
      <c r="I1185" t="s">
        <v>1198</v>
      </c>
    </row>
    <row r="1186" spans="1:12" x14ac:dyDescent="0.25">
      <c r="A1186" t="s">
        <v>943</v>
      </c>
      <c r="B1186" t="s">
        <v>2420</v>
      </c>
      <c r="C1186" t="s">
        <v>1225</v>
      </c>
      <c r="F1186" s="10">
        <v>34243</v>
      </c>
      <c r="G1186">
        <v>31</v>
      </c>
      <c r="H1186">
        <v>15</v>
      </c>
      <c r="I1186" t="s">
        <v>1198</v>
      </c>
    </row>
    <row r="1187" spans="1:12" x14ac:dyDescent="0.25">
      <c r="A1187" t="s">
        <v>943</v>
      </c>
      <c r="B1187" t="s">
        <v>2421</v>
      </c>
      <c r="C1187" t="s">
        <v>1225</v>
      </c>
      <c r="F1187" s="10">
        <v>34243</v>
      </c>
      <c r="G1187">
        <v>31</v>
      </c>
      <c r="H1187">
        <v>15</v>
      </c>
      <c r="I1187" t="s">
        <v>1198</v>
      </c>
    </row>
    <row r="1188" spans="1:12" x14ac:dyDescent="0.25">
      <c r="A1188" t="s">
        <v>943</v>
      </c>
      <c r="B1188" t="s">
        <v>2422</v>
      </c>
      <c r="C1188" t="s">
        <v>1225</v>
      </c>
      <c r="F1188" s="10">
        <v>34243</v>
      </c>
      <c r="G1188">
        <v>31</v>
      </c>
      <c r="H1188">
        <v>15</v>
      </c>
      <c r="I1188" t="s">
        <v>1198</v>
      </c>
    </row>
    <row r="1189" spans="1:12" x14ac:dyDescent="0.25">
      <c r="A1189" t="s">
        <v>943</v>
      </c>
      <c r="B1189" t="s">
        <v>2423</v>
      </c>
      <c r="C1189" t="s">
        <v>1225</v>
      </c>
      <c r="I1189" t="s">
        <v>1198</v>
      </c>
    </row>
    <row r="1190" spans="1:12" x14ac:dyDescent="0.25">
      <c r="A1190" t="s">
        <v>943</v>
      </c>
      <c r="B1190" t="s">
        <v>2424</v>
      </c>
      <c r="C1190" t="s">
        <v>1225</v>
      </c>
      <c r="F1190" s="10">
        <v>32874</v>
      </c>
      <c r="G1190">
        <v>34</v>
      </c>
      <c r="H1190">
        <v>15</v>
      </c>
      <c r="I1190" t="s">
        <v>1198</v>
      </c>
    </row>
    <row r="1191" spans="1:12" x14ac:dyDescent="0.25">
      <c r="A1191" t="s">
        <v>943</v>
      </c>
      <c r="B1191" t="s">
        <v>2425</v>
      </c>
      <c r="C1191" t="s">
        <v>1225</v>
      </c>
      <c r="D1191" s="13">
        <v>60000</v>
      </c>
      <c r="F1191" s="10">
        <v>42736</v>
      </c>
      <c r="G1191">
        <v>7</v>
      </c>
      <c r="H1191">
        <v>15</v>
      </c>
      <c r="I1191" t="s">
        <v>1199</v>
      </c>
    </row>
    <row r="1192" spans="1:12" x14ac:dyDescent="0.25">
      <c r="A1192" t="s">
        <v>943</v>
      </c>
      <c r="B1192" t="s">
        <v>2426</v>
      </c>
      <c r="C1192" t="s">
        <v>1222</v>
      </c>
      <c r="D1192" s="13">
        <v>60000</v>
      </c>
      <c r="F1192" s="10">
        <v>42736</v>
      </c>
      <c r="G1192">
        <v>7</v>
      </c>
      <c r="H1192">
        <v>15</v>
      </c>
      <c r="I1192" t="s">
        <v>1199</v>
      </c>
    </row>
    <row r="1193" spans="1:12" x14ac:dyDescent="0.25">
      <c r="A1193" t="s">
        <v>943</v>
      </c>
      <c r="B1193" t="s">
        <v>2427</v>
      </c>
      <c r="C1193" t="s">
        <v>1218</v>
      </c>
      <c r="E1193">
        <v>300</v>
      </c>
      <c r="F1193" s="10">
        <v>42370</v>
      </c>
      <c r="G1193">
        <v>8</v>
      </c>
      <c r="H1193">
        <v>25</v>
      </c>
      <c r="I1193" t="s">
        <v>1199</v>
      </c>
      <c r="J1193" t="s">
        <v>1219</v>
      </c>
      <c r="K1193" t="s">
        <v>1220</v>
      </c>
      <c r="L1193">
        <v>316.60000000000002</v>
      </c>
    </row>
    <row r="1194" spans="1:12" x14ac:dyDescent="0.25">
      <c r="A1194" t="s">
        <v>947</v>
      </c>
      <c r="B1194" t="s">
        <v>2428</v>
      </c>
      <c r="C1194" t="s">
        <v>1218</v>
      </c>
      <c r="E1194">
        <v>60</v>
      </c>
      <c r="F1194" s="10">
        <v>37622</v>
      </c>
      <c r="G1194">
        <v>21</v>
      </c>
      <c r="H1194">
        <v>25</v>
      </c>
      <c r="I1194" t="s">
        <v>1199</v>
      </c>
      <c r="J1194" t="s">
        <v>1219</v>
      </c>
      <c r="K1194" t="s">
        <v>1220</v>
      </c>
      <c r="L1194">
        <v>185.4</v>
      </c>
    </row>
    <row r="1195" spans="1:12" x14ac:dyDescent="0.25">
      <c r="A1195" t="s">
        <v>947</v>
      </c>
      <c r="B1195" t="s">
        <v>2429</v>
      </c>
      <c r="C1195" t="s">
        <v>1238</v>
      </c>
      <c r="D1195" s="13">
        <v>36000</v>
      </c>
      <c r="F1195" s="10">
        <v>41275</v>
      </c>
      <c r="G1195">
        <v>11</v>
      </c>
      <c r="H1195">
        <v>15</v>
      </c>
      <c r="I1195" t="s">
        <v>1199</v>
      </c>
    </row>
    <row r="1196" spans="1:12" x14ac:dyDescent="0.25">
      <c r="A1196" t="s">
        <v>947</v>
      </c>
      <c r="B1196" t="s">
        <v>2430</v>
      </c>
      <c r="C1196" t="s">
        <v>1238</v>
      </c>
      <c r="D1196" s="13">
        <v>36000</v>
      </c>
      <c r="F1196" s="10">
        <v>41579</v>
      </c>
      <c r="G1196">
        <v>10</v>
      </c>
      <c r="H1196">
        <v>15</v>
      </c>
      <c r="I1196" t="s">
        <v>1199</v>
      </c>
    </row>
    <row r="1197" spans="1:12" x14ac:dyDescent="0.25">
      <c r="A1197" t="s">
        <v>947</v>
      </c>
      <c r="B1197" t="s">
        <v>2431</v>
      </c>
      <c r="C1197" t="s">
        <v>1238</v>
      </c>
      <c r="D1197" s="13">
        <v>36000</v>
      </c>
      <c r="F1197" s="10">
        <v>41730</v>
      </c>
      <c r="G1197">
        <v>10</v>
      </c>
      <c r="H1197">
        <v>15</v>
      </c>
      <c r="I1197" t="s">
        <v>1199</v>
      </c>
    </row>
    <row r="1198" spans="1:12" x14ac:dyDescent="0.25">
      <c r="A1198" t="s">
        <v>947</v>
      </c>
      <c r="B1198" t="s">
        <v>2432</v>
      </c>
      <c r="C1198" t="s">
        <v>1225</v>
      </c>
      <c r="I1198" t="s">
        <v>1198</v>
      </c>
    </row>
    <row r="1199" spans="1:12" x14ac:dyDescent="0.25">
      <c r="A1199" t="s">
        <v>947</v>
      </c>
      <c r="B1199" t="s">
        <v>2433</v>
      </c>
      <c r="C1199" t="s">
        <v>1222</v>
      </c>
      <c r="I1199" t="s">
        <v>1198</v>
      </c>
    </row>
    <row r="1200" spans="1:12" x14ac:dyDescent="0.25">
      <c r="A1200" t="s">
        <v>947</v>
      </c>
      <c r="B1200" t="s">
        <v>2434</v>
      </c>
      <c r="C1200" t="s">
        <v>1222</v>
      </c>
      <c r="I1200" t="s">
        <v>1198</v>
      </c>
    </row>
    <row r="1201" spans="1:12" x14ac:dyDescent="0.25">
      <c r="A1201" t="s">
        <v>237</v>
      </c>
      <c r="B1201" t="s">
        <v>2435</v>
      </c>
      <c r="C1201" t="s">
        <v>1218</v>
      </c>
      <c r="E1201">
        <v>150</v>
      </c>
      <c r="I1201" t="s">
        <v>1198</v>
      </c>
      <c r="J1201" t="s">
        <v>1219</v>
      </c>
      <c r="K1201" t="s">
        <v>1234</v>
      </c>
      <c r="L1201">
        <v>1879</v>
      </c>
    </row>
    <row r="1202" spans="1:12" x14ac:dyDescent="0.25">
      <c r="A1202" t="s">
        <v>237</v>
      </c>
      <c r="B1202" t="s">
        <v>2436</v>
      </c>
      <c r="C1202" t="s">
        <v>1296</v>
      </c>
      <c r="D1202" s="13">
        <v>120000</v>
      </c>
      <c r="F1202" s="10">
        <v>40483</v>
      </c>
      <c r="G1202">
        <v>13</v>
      </c>
      <c r="H1202">
        <v>15</v>
      </c>
      <c r="I1202" t="s">
        <v>1199</v>
      </c>
    </row>
    <row r="1203" spans="1:12" x14ac:dyDescent="0.25">
      <c r="A1203" t="s">
        <v>237</v>
      </c>
      <c r="B1203" t="s">
        <v>2437</v>
      </c>
      <c r="C1203" t="s">
        <v>1238</v>
      </c>
      <c r="D1203" s="13">
        <v>60000</v>
      </c>
      <c r="F1203" s="10">
        <v>36678</v>
      </c>
      <c r="G1203">
        <v>24</v>
      </c>
      <c r="H1203">
        <v>15</v>
      </c>
      <c r="I1203" t="s">
        <v>1198</v>
      </c>
    </row>
    <row r="1204" spans="1:12" x14ac:dyDescent="0.25">
      <c r="A1204" t="s">
        <v>237</v>
      </c>
      <c r="B1204" t="s">
        <v>2438</v>
      </c>
      <c r="C1204" t="s">
        <v>1238</v>
      </c>
      <c r="D1204" s="13">
        <v>60000</v>
      </c>
      <c r="F1204" s="10">
        <v>37104</v>
      </c>
      <c r="G1204">
        <v>23</v>
      </c>
      <c r="H1204">
        <v>15</v>
      </c>
      <c r="I1204" t="s">
        <v>1198</v>
      </c>
    </row>
    <row r="1205" spans="1:12" x14ac:dyDescent="0.25">
      <c r="A1205" t="s">
        <v>237</v>
      </c>
      <c r="B1205" t="s">
        <v>2439</v>
      </c>
      <c r="C1205" t="s">
        <v>1238</v>
      </c>
      <c r="D1205" s="13">
        <v>60000</v>
      </c>
      <c r="F1205" s="10">
        <v>36678</v>
      </c>
      <c r="G1205">
        <v>24</v>
      </c>
      <c r="H1205">
        <v>15</v>
      </c>
      <c r="I1205" t="s">
        <v>1198</v>
      </c>
    </row>
    <row r="1206" spans="1:12" x14ac:dyDescent="0.25">
      <c r="A1206" t="s">
        <v>237</v>
      </c>
      <c r="B1206" t="s">
        <v>2440</v>
      </c>
      <c r="C1206" t="s">
        <v>1238</v>
      </c>
      <c r="D1206" s="13">
        <v>60000</v>
      </c>
      <c r="F1206" s="10">
        <v>42826</v>
      </c>
      <c r="G1206">
        <v>7</v>
      </c>
      <c r="H1206">
        <v>15</v>
      </c>
      <c r="I1206" t="s">
        <v>1199</v>
      </c>
    </row>
    <row r="1207" spans="1:12" x14ac:dyDescent="0.25">
      <c r="A1207" t="s">
        <v>237</v>
      </c>
      <c r="B1207" t="s">
        <v>2441</v>
      </c>
      <c r="C1207" t="s">
        <v>1225</v>
      </c>
      <c r="I1207" t="s">
        <v>1198</v>
      </c>
    </row>
    <row r="1208" spans="1:12" x14ac:dyDescent="0.25">
      <c r="A1208" t="s">
        <v>237</v>
      </c>
      <c r="B1208" t="s">
        <v>2442</v>
      </c>
      <c r="C1208" t="s">
        <v>1222</v>
      </c>
      <c r="I1208" t="s">
        <v>1198</v>
      </c>
    </row>
    <row r="1209" spans="1:12" x14ac:dyDescent="0.25">
      <c r="A1209" t="s">
        <v>23</v>
      </c>
      <c r="B1209" t="s">
        <v>2443</v>
      </c>
      <c r="C1209" t="s">
        <v>1218</v>
      </c>
      <c r="E1209">
        <v>125</v>
      </c>
      <c r="F1209" s="10">
        <v>28856</v>
      </c>
      <c r="G1209">
        <v>45</v>
      </c>
      <c r="H1209">
        <v>25</v>
      </c>
      <c r="I1209" t="s">
        <v>1198</v>
      </c>
      <c r="J1209" t="s">
        <v>1219</v>
      </c>
      <c r="K1209" t="s">
        <v>1234</v>
      </c>
      <c r="L1209">
        <v>2117.6</v>
      </c>
    </row>
    <row r="1210" spans="1:12" x14ac:dyDescent="0.25">
      <c r="A1210" t="s">
        <v>23</v>
      </c>
      <c r="B1210" t="s">
        <v>2444</v>
      </c>
      <c r="C1210" t="s">
        <v>1225</v>
      </c>
      <c r="D1210" s="13">
        <v>60000</v>
      </c>
      <c r="F1210" s="10">
        <v>37987</v>
      </c>
      <c r="G1210">
        <v>20</v>
      </c>
      <c r="H1210">
        <v>15</v>
      </c>
      <c r="I1210" t="s">
        <v>1198</v>
      </c>
    </row>
    <row r="1211" spans="1:12" x14ac:dyDescent="0.25">
      <c r="A1211" t="s">
        <v>23</v>
      </c>
      <c r="B1211" t="s">
        <v>2445</v>
      </c>
      <c r="C1211" t="s">
        <v>1296</v>
      </c>
      <c r="D1211" s="13">
        <v>120000</v>
      </c>
      <c r="F1211" s="10">
        <v>41640</v>
      </c>
      <c r="G1211">
        <v>10</v>
      </c>
      <c r="H1211">
        <v>15</v>
      </c>
      <c r="I1211" t="s">
        <v>1199</v>
      </c>
    </row>
    <row r="1212" spans="1:12" x14ac:dyDescent="0.25">
      <c r="A1212" t="s">
        <v>23</v>
      </c>
      <c r="B1212" t="s">
        <v>2446</v>
      </c>
      <c r="C1212" t="s">
        <v>1296</v>
      </c>
      <c r="D1212" s="13">
        <v>48000</v>
      </c>
      <c r="F1212" s="10">
        <v>37257</v>
      </c>
      <c r="G1212">
        <v>22</v>
      </c>
      <c r="H1212">
        <v>15</v>
      </c>
      <c r="I1212" t="s">
        <v>1198</v>
      </c>
    </row>
    <row r="1213" spans="1:12" x14ac:dyDescent="0.25">
      <c r="A1213" t="s">
        <v>23</v>
      </c>
      <c r="B1213" t="s">
        <v>2447</v>
      </c>
      <c r="C1213" t="s">
        <v>1296</v>
      </c>
      <c r="D1213" s="13">
        <v>48000</v>
      </c>
      <c r="F1213" s="10">
        <v>38718</v>
      </c>
      <c r="G1213">
        <v>18</v>
      </c>
      <c r="H1213">
        <v>15</v>
      </c>
      <c r="I1213" t="s">
        <v>1198</v>
      </c>
    </row>
    <row r="1214" spans="1:12" x14ac:dyDescent="0.25">
      <c r="A1214" t="s">
        <v>23</v>
      </c>
      <c r="B1214" t="s">
        <v>2448</v>
      </c>
      <c r="C1214" t="s">
        <v>1222</v>
      </c>
      <c r="D1214" s="13">
        <v>48000</v>
      </c>
      <c r="F1214" s="10">
        <v>41640</v>
      </c>
      <c r="G1214">
        <v>10</v>
      </c>
      <c r="H1214">
        <v>15</v>
      </c>
      <c r="I1214" t="s">
        <v>1199</v>
      </c>
    </row>
    <row r="1215" spans="1:12" x14ac:dyDescent="0.25">
      <c r="A1215" t="s">
        <v>23</v>
      </c>
      <c r="B1215" t="s">
        <v>2449</v>
      </c>
      <c r="C1215" t="s">
        <v>1296</v>
      </c>
      <c r="D1215" s="13">
        <v>48000</v>
      </c>
      <c r="F1215" s="10">
        <v>38718</v>
      </c>
      <c r="G1215">
        <v>18</v>
      </c>
      <c r="H1215">
        <v>15</v>
      </c>
      <c r="I1215" t="s">
        <v>1198</v>
      </c>
    </row>
    <row r="1216" spans="1:12" x14ac:dyDescent="0.25">
      <c r="A1216" t="s">
        <v>23</v>
      </c>
      <c r="B1216" t="s">
        <v>2450</v>
      </c>
      <c r="C1216" t="s">
        <v>1296</v>
      </c>
      <c r="D1216" s="13">
        <v>60000</v>
      </c>
      <c r="F1216" s="10">
        <v>44562</v>
      </c>
      <c r="G1216">
        <v>2</v>
      </c>
      <c r="H1216">
        <v>15</v>
      </c>
      <c r="I1216" t="s">
        <v>1199</v>
      </c>
    </row>
    <row r="1217" spans="1:12" x14ac:dyDescent="0.25">
      <c r="A1217" t="s">
        <v>23</v>
      </c>
      <c r="B1217" t="s">
        <v>2451</v>
      </c>
      <c r="C1217" t="s">
        <v>1296</v>
      </c>
      <c r="D1217" s="13">
        <v>90000</v>
      </c>
      <c r="F1217" s="10">
        <v>45280</v>
      </c>
      <c r="G1217">
        <v>0</v>
      </c>
      <c r="H1217">
        <v>15</v>
      </c>
      <c r="I1217" t="s">
        <v>1199</v>
      </c>
    </row>
    <row r="1218" spans="1:12" x14ac:dyDescent="0.25">
      <c r="A1218" t="s">
        <v>23</v>
      </c>
      <c r="B1218" t="s">
        <v>2452</v>
      </c>
      <c r="C1218" t="s">
        <v>1225</v>
      </c>
      <c r="I1218" t="s">
        <v>1198</v>
      </c>
    </row>
    <row r="1219" spans="1:12" x14ac:dyDescent="0.25">
      <c r="A1219" t="s">
        <v>23</v>
      </c>
      <c r="B1219" t="s">
        <v>2453</v>
      </c>
      <c r="C1219" t="s">
        <v>1222</v>
      </c>
      <c r="I1219" t="s">
        <v>1198</v>
      </c>
    </row>
    <row r="1220" spans="1:12" x14ac:dyDescent="0.25">
      <c r="A1220" t="s">
        <v>29</v>
      </c>
      <c r="B1220" t="s">
        <v>2454</v>
      </c>
      <c r="C1220" t="s">
        <v>1218</v>
      </c>
      <c r="E1220">
        <v>200</v>
      </c>
      <c r="F1220" s="10">
        <v>38443</v>
      </c>
      <c r="G1220">
        <v>19</v>
      </c>
      <c r="H1220">
        <v>25</v>
      </c>
      <c r="I1220" t="s">
        <v>1199</v>
      </c>
      <c r="J1220" t="s">
        <v>1219</v>
      </c>
      <c r="K1220" t="s">
        <v>1234</v>
      </c>
      <c r="L1220">
        <v>740.6</v>
      </c>
    </row>
    <row r="1221" spans="1:12" x14ac:dyDescent="0.25">
      <c r="A1221" t="s">
        <v>29</v>
      </c>
      <c r="B1221" t="s">
        <v>2455</v>
      </c>
      <c r="C1221" t="s">
        <v>1225</v>
      </c>
      <c r="D1221" s="13">
        <v>36000</v>
      </c>
      <c r="F1221" s="10">
        <v>34700</v>
      </c>
      <c r="G1221">
        <v>29</v>
      </c>
      <c r="H1221">
        <v>15</v>
      </c>
      <c r="I1221" t="s">
        <v>1198</v>
      </c>
    </row>
    <row r="1222" spans="1:12" x14ac:dyDescent="0.25">
      <c r="A1222" t="s">
        <v>29</v>
      </c>
      <c r="B1222" t="s">
        <v>2456</v>
      </c>
      <c r="C1222" t="s">
        <v>1222</v>
      </c>
      <c r="D1222" s="13">
        <v>240000</v>
      </c>
      <c r="F1222" s="10">
        <v>37987</v>
      </c>
      <c r="G1222">
        <v>20</v>
      </c>
      <c r="H1222">
        <v>15</v>
      </c>
      <c r="I1222" t="s">
        <v>1198</v>
      </c>
    </row>
    <row r="1223" spans="1:12" x14ac:dyDescent="0.25">
      <c r="A1223" t="s">
        <v>29</v>
      </c>
      <c r="B1223" t="s">
        <v>2457</v>
      </c>
      <c r="C1223" t="s">
        <v>1222</v>
      </c>
      <c r="D1223" s="13">
        <v>240000</v>
      </c>
      <c r="F1223" s="10">
        <v>40179</v>
      </c>
      <c r="G1223">
        <v>14</v>
      </c>
      <c r="H1223">
        <v>15</v>
      </c>
      <c r="I1223" t="s">
        <v>1199</v>
      </c>
    </row>
    <row r="1224" spans="1:12" x14ac:dyDescent="0.25">
      <c r="A1224" t="s">
        <v>29</v>
      </c>
      <c r="B1224" t="s">
        <v>2458</v>
      </c>
      <c r="C1224" t="s">
        <v>1222</v>
      </c>
      <c r="D1224" s="13">
        <v>36000</v>
      </c>
      <c r="F1224" s="10">
        <v>42005</v>
      </c>
      <c r="G1224">
        <v>9</v>
      </c>
      <c r="H1224">
        <v>15</v>
      </c>
      <c r="I1224" t="s">
        <v>1199</v>
      </c>
    </row>
    <row r="1225" spans="1:12" x14ac:dyDescent="0.25">
      <c r="A1225" t="s">
        <v>29</v>
      </c>
      <c r="B1225" t="s">
        <v>2459</v>
      </c>
      <c r="C1225" t="s">
        <v>1225</v>
      </c>
      <c r="F1225" s="10">
        <v>42005</v>
      </c>
      <c r="G1225">
        <v>9</v>
      </c>
      <c r="H1225">
        <v>15</v>
      </c>
      <c r="I1225" t="s">
        <v>1199</v>
      </c>
    </row>
    <row r="1226" spans="1:12" x14ac:dyDescent="0.25">
      <c r="A1226" t="s">
        <v>29</v>
      </c>
      <c r="B1226" t="s">
        <v>2460</v>
      </c>
      <c r="C1226" t="s">
        <v>1225</v>
      </c>
      <c r="F1226" s="10">
        <v>42370</v>
      </c>
      <c r="G1226">
        <v>8</v>
      </c>
      <c r="H1226">
        <v>15</v>
      </c>
      <c r="I1226" t="s">
        <v>1199</v>
      </c>
    </row>
    <row r="1227" spans="1:12" x14ac:dyDescent="0.25">
      <c r="A1227" t="s">
        <v>29</v>
      </c>
      <c r="B1227" t="s">
        <v>2461</v>
      </c>
      <c r="C1227" t="s">
        <v>1222</v>
      </c>
      <c r="F1227" s="10">
        <v>42736</v>
      </c>
      <c r="G1227">
        <v>7</v>
      </c>
      <c r="H1227">
        <v>15</v>
      </c>
      <c r="I1227" t="s">
        <v>1199</v>
      </c>
    </row>
    <row r="1228" spans="1:12" x14ac:dyDescent="0.25">
      <c r="A1228" t="s">
        <v>29</v>
      </c>
      <c r="B1228" t="s">
        <v>2462</v>
      </c>
      <c r="C1228" t="s">
        <v>1222</v>
      </c>
      <c r="F1228" s="10">
        <v>42736</v>
      </c>
      <c r="G1228">
        <v>7</v>
      </c>
      <c r="H1228">
        <v>15</v>
      </c>
      <c r="I1228" t="s">
        <v>1199</v>
      </c>
    </row>
    <row r="1229" spans="1:12" x14ac:dyDescent="0.25">
      <c r="A1229" t="s">
        <v>29</v>
      </c>
      <c r="B1229" t="s">
        <v>2463</v>
      </c>
      <c r="C1229" t="s">
        <v>1222</v>
      </c>
      <c r="F1229" s="10">
        <v>34700</v>
      </c>
      <c r="G1229">
        <v>29</v>
      </c>
      <c r="H1229">
        <v>15</v>
      </c>
      <c r="I1229" t="s">
        <v>1198</v>
      </c>
    </row>
    <row r="1230" spans="1:12" x14ac:dyDescent="0.25">
      <c r="A1230" t="s">
        <v>29</v>
      </c>
      <c r="B1230" t="s">
        <v>2464</v>
      </c>
      <c r="C1230" t="s">
        <v>1222</v>
      </c>
      <c r="F1230" s="10">
        <v>42736</v>
      </c>
      <c r="I1230" t="s">
        <v>1198</v>
      </c>
    </row>
    <row r="1231" spans="1:12" x14ac:dyDescent="0.25">
      <c r="A1231" t="s">
        <v>29</v>
      </c>
      <c r="B1231" t="s">
        <v>2465</v>
      </c>
      <c r="C1231" t="s">
        <v>1222</v>
      </c>
      <c r="I1231" t="s">
        <v>1198</v>
      </c>
    </row>
    <row r="1232" spans="1:12" x14ac:dyDescent="0.25">
      <c r="A1232" t="s">
        <v>232</v>
      </c>
      <c r="B1232" t="s">
        <v>2466</v>
      </c>
      <c r="C1232" t="s">
        <v>1218</v>
      </c>
      <c r="E1232">
        <v>125</v>
      </c>
      <c r="I1232" t="s">
        <v>1198</v>
      </c>
      <c r="J1232" t="s">
        <v>1219</v>
      </c>
      <c r="K1232" t="s">
        <v>1234</v>
      </c>
      <c r="L1232">
        <v>578.9</v>
      </c>
    </row>
    <row r="1233" spans="1:12" x14ac:dyDescent="0.25">
      <c r="A1233" t="s">
        <v>232</v>
      </c>
      <c r="B1233" t="s">
        <v>2467</v>
      </c>
      <c r="C1233" t="s">
        <v>1296</v>
      </c>
      <c r="D1233" s="13">
        <v>120000</v>
      </c>
      <c r="F1233" s="10">
        <v>36951</v>
      </c>
      <c r="G1233">
        <v>23</v>
      </c>
      <c r="H1233">
        <v>15</v>
      </c>
      <c r="I1233" t="s">
        <v>1198</v>
      </c>
    </row>
    <row r="1234" spans="1:12" x14ac:dyDescent="0.25">
      <c r="A1234" t="s">
        <v>232</v>
      </c>
      <c r="B1234" t="s">
        <v>2468</v>
      </c>
      <c r="C1234" t="s">
        <v>1296</v>
      </c>
      <c r="D1234" s="13">
        <v>180000</v>
      </c>
      <c r="F1234" s="10">
        <v>36220</v>
      </c>
      <c r="G1234">
        <v>25</v>
      </c>
      <c r="H1234">
        <v>15</v>
      </c>
      <c r="I1234" t="s">
        <v>1198</v>
      </c>
    </row>
    <row r="1235" spans="1:12" x14ac:dyDescent="0.25">
      <c r="A1235" t="s">
        <v>232</v>
      </c>
      <c r="B1235" t="s">
        <v>2469</v>
      </c>
      <c r="C1235" t="s">
        <v>1222</v>
      </c>
      <c r="D1235" s="13">
        <v>7500</v>
      </c>
      <c r="F1235" s="10">
        <v>37136</v>
      </c>
      <c r="I1235" t="s">
        <v>1198</v>
      </c>
    </row>
    <row r="1236" spans="1:12" x14ac:dyDescent="0.25">
      <c r="A1236" t="s">
        <v>232</v>
      </c>
      <c r="B1236" t="s">
        <v>2470</v>
      </c>
      <c r="C1236" t="s">
        <v>1225</v>
      </c>
      <c r="D1236" s="13">
        <v>15000</v>
      </c>
      <c r="F1236" s="10">
        <v>42980</v>
      </c>
      <c r="I1236" t="s">
        <v>1198</v>
      </c>
    </row>
    <row r="1237" spans="1:12" x14ac:dyDescent="0.25">
      <c r="A1237" t="s">
        <v>232</v>
      </c>
      <c r="B1237" t="s">
        <v>2471</v>
      </c>
      <c r="C1237" t="s">
        <v>1222</v>
      </c>
      <c r="D1237" s="13">
        <v>15000</v>
      </c>
      <c r="I1237" t="s">
        <v>1198</v>
      </c>
    </row>
    <row r="1238" spans="1:12" x14ac:dyDescent="0.25">
      <c r="A1238" t="s">
        <v>591</v>
      </c>
      <c r="B1238" t="s">
        <v>2472</v>
      </c>
      <c r="C1238" t="s">
        <v>1262</v>
      </c>
      <c r="I1238" t="s">
        <v>1198</v>
      </c>
    </row>
    <row r="1239" spans="1:12" x14ac:dyDescent="0.25">
      <c r="A1239" t="s">
        <v>591</v>
      </c>
      <c r="B1239" t="s">
        <v>2473</v>
      </c>
      <c r="C1239" t="s">
        <v>1218</v>
      </c>
      <c r="E1239">
        <v>100</v>
      </c>
      <c r="F1239" s="10">
        <v>42522</v>
      </c>
      <c r="G1239">
        <v>8</v>
      </c>
      <c r="H1239">
        <v>25</v>
      </c>
      <c r="I1239" t="s">
        <v>1199</v>
      </c>
      <c r="J1239" t="s">
        <v>1219</v>
      </c>
      <c r="L1239">
        <v>53.6</v>
      </c>
    </row>
    <row r="1240" spans="1:12" x14ac:dyDescent="0.25">
      <c r="A1240" t="s">
        <v>591</v>
      </c>
      <c r="B1240" t="s">
        <v>2474</v>
      </c>
      <c r="C1240" t="s">
        <v>1238</v>
      </c>
      <c r="D1240" s="13">
        <v>60000</v>
      </c>
      <c r="F1240" s="10">
        <v>41760</v>
      </c>
      <c r="G1240">
        <v>10</v>
      </c>
      <c r="H1240">
        <v>15</v>
      </c>
      <c r="I1240" t="s">
        <v>1199</v>
      </c>
    </row>
    <row r="1241" spans="1:12" x14ac:dyDescent="0.25">
      <c r="A1241" t="s">
        <v>591</v>
      </c>
      <c r="B1241" t="s">
        <v>2475</v>
      </c>
      <c r="C1241" t="s">
        <v>1225</v>
      </c>
      <c r="F1241" s="10">
        <v>42095</v>
      </c>
      <c r="G1241">
        <v>9</v>
      </c>
      <c r="H1241">
        <v>15</v>
      </c>
      <c r="I1241" t="s">
        <v>1199</v>
      </c>
    </row>
    <row r="1242" spans="1:12" x14ac:dyDescent="0.25">
      <c r="A1242" t="s">
        <v>591</v>
      </c>
      <c r="B1242" t="s">
        <v>2476</v>
      </c>
      <c r="C1242" t="s">
        <v>1222</v>
      </c>
      <c r="F1242" s="10">
        <v>42036</v>
      </c>
      <c r="G1242">
        <v>9</v>
      </c>
      <c r="H1242">
        <v>15</v>
      </c>
      <c r="I1242" t="s">
        <v>1199</v>
      </c>
    </row>
    <row r="1243" spans="1:12" x14ac:dyDescent="0.25">
      <c r="A1243" t="s">
        <v>591</v>
      </c>
      <c r="B1243" t="s">
        <v>2477</v>
      </c>
      <c r="C1243" t="s">
        <v>1225</v>
      </c>
      <c r="D1243" s="13">
        <v>120000</v>
      </c>
      <c r="I1243" t="s">
        <v>1198</v>
      </c>
    </row>
    <row r="1244" spans="1:12" x14ac:dyDescent="0.25">
      <c r="A1244" t="s">
        <v>591</v>
      </c>
      <c r="B1244" t="s">
        <v>2478</v>
      </c>
      <c r="C1244" t="s">
        <v>1222</v>
      </c>
      <c r="D1244" s="13">
        <v>120000</v>
      </c>
      <c r="I1244" t="s">
        <v>1198</v>
      </c>
    </row>
    <row r="1245" spans="1:12" x14ac:dyDescent="0.25">
      <c r="A1245" t="s">
        <v>591</v>
      </c>
      <c r="B1245" t="s">
        <v>2479</v>
      </c>
      <c r="C1245" t="s">
        <v>1225</v>
      </c>
      <c r="D1245" s="13">
        <v>60000</v>
      </c>
      <c r="F1245" s="10">
        <v>44124</v>
      </c>
      <c r="G1245">
        <v>3</v>
      </c>
      <c r="H1245">
        <v>15</v>
      </c>
      <c r="I1245" t="s">
        <v>1199</v>
      </c>
    </row>
    <row r="1246" spans="1:12" x14ac:dyDescent="0.25">
      <c r="A1246" t="s">
        <v>591</v>
      </c>
      <c r="B1246" t="s">
        <v>2480</v>
      </c>
      <c r="C1246" t="s">
        <v>1222</v>
      </c>
      <c r="D1246" s="13">
        <v>60000</v>
      </c>
      <c r="F1246" s="10">
        <v>44124</v>
      </c>
      <c r="G1246">
        <v>3</v>
      </c>
      <c r="H1246">
        <v>15</v>
      </c>
      <c r="I1246" t="s">
        <v>1199</v>
      </c>
    </row>
    <row r="1247" spans="1:12" x14ac:dyDescent="0.25">
      <c r="A1247" t="s">
        <v>591</v>
      </c>
      <c r="B1247" t="s">
        <v>2481</v>
      </c>
      <c r="C1247" t="s">
        <v>1225</v>
      </c>
      <c r="D1247" s="13">
        <v>24000</v>
      </c>
      <c r="F1247" s="10">
        <v>44881</v>
      </c>
      <c r="I1247" t="s">
        <v>1198</v>
      </c>
    </row>
    <row r="1248" spans="1:12" x14ac:dyDescent="0.25">
      <c r="A1248" t="s">
        <v>591</v>
      </c>
      <c r="B1248" t="s">
        <v>2482</v>
      </c>
      <c r="C1248" t="s">
        <v>1222</v>
      </c>
      <c r="D1248" s="13">
        <v>24000</v>
      </c>
      <c r="F1248" s="10">
        <v>44881</v>
      </c>
      <c r="I1248" t="s">
        <v>1198</v>
      </c>
    </row>
    <row r="1249" spans="1:12" x14ac:dyDescent="0.25">
      <c r="A1249" t="s">
        <v>591</v>
      </c>
      <c r="B1249" t="s">
        <v>2483</v>
      </c>
      <c r="C1249" t="s">
        <v>1225</v>
      </c>
      <c r="D1249" s="13">
        <v>12000</v>
      </c>
      <c r="F1249" s="10">
        <v>46063</v>
      </c>
      <c r="I1249" t="s">
        <v>1198</v>
      </c>
    </row>
    <row r="1250" spans="1:12" x14ac:dyDescent="0.25">
      <c r="A1250" t="s">
        <v>591</v>
      </c>
      <c r="B1250" t="s">
        <v>2484</v>
      </c>
      <c r="C1250" t="s">
        <v>1222</v>
      </c>
      <c r="D1250" s="13">
        <v>12000</v>
      </c>
      <c r="F1250" s="10">
        <v>46063</v>
      </c>
      <c r="I1250" t="s">
        <v>1198</v>
      </c>
    </row>
    <row r="1251" spans="1:12" x14ac:dyDescent="0.25">
      <c r="A1251" t="s">
        <v>956</v>
      </c>
      <c r="B1251" t="s">
        <v>2485</v>
      </c>
      <c r="C1251" t="s">
        <v>1218</v>
      </c>
      <c r="E1251">
        <v>250</v>
      </c>
      <c r="I1251" t="s">
        <v>1198</v>
      </c>
      <c r="J1251" t="s">
        <v>1219</v>
      </c>
      <c r="K1251" t="s">
        <v>1234</v>
      </c>
      <c r="L1251">
        <v>354</v>
      </c>
    </row>
    <row r="1252" spans="1:12" x14ac:dyDescent="0.25">
      <c r="A1252" t="s">
        <v>956</v>
      </c>
      <c r="B1252" t="s">
        <v>2486</v>
      </c>
      <c r="C1252" t="s">
        <v>1222</v>
      </c>
      <c r="D1252" s="13">
        <v>30000</v>
      </c>
      <c r="F1252" s="10">
        <v>41730</v>
      </c>
      <c r="G1252">
        <v>10</v>
      </c>
      <c r="H1252">
        <v>15</v>
      </c>
      <c r="I1252" t="s">
        <v>1199</v>
      </c>
    </row>
    <row r="1253" spans="1:12" x14ac:dyDescent="0.25">
      <c r="A1253" t="s">
        <v>956</v>
      </c>
      <c r="B1253" t="s">
        <v>2487</v>
      </c>
      <c r="C1253" t="s">
        <v>1222</v>
      </c>
      <c r="D1253" s="13">
        <v>42000</v>
      </c>
      <c r="F1253" s="10">
        <v>41699</v>
      </c>
      <c r="G1253">
        <v>10</v>
      </c>
      <c r="H1253">
        <v>15</v>
      </c>
      <c r="I1253" t="s">
        <v>1199</v>
      </c>
    </row>
    <row r="1254" spans="1:12" x14ac:dyDescent="0.25">
      <c r="A1254" t="s">
        <v>956</v>
      </c>
      <c r="B1254" t="s">
        <v>2488</v>
      </c>
      <c r="C1254" t="s">
        <v>1222</v>
      </c>
      <c r="D1254" s="13">
        <v>360000</v>
      </c>
      <c r="F1254" s="10">
        <v>41699</v>
      </c>
      <c r="G1254">
        <v>10</v>
      </c>
      <c r="H1254">
        <v>15</v>
      </c>
      <c r="I1254" t="s">
        <v>1199</v>
      </c>
    </row>
    <row r="1255" spans="1:12" x14ac:dyDescent="0.25">
      <c r="A1255" t="s">
        <v>956</v>
      </c>
      <c r="B1255" t="s">
        <v>2489</v>
      </c>
      <c r="C1255" t="s">
        <v>1222</v>
      </c>
      <c r="D1255" s="13">
        <v>40000</v>
      </c>
      <c r="F1255" s="10">
        <v>41699</v>
      </c>
      <c r="G1255">
        <v>10</v>
      </c>
      <c r="H1255">
        <v>15</v>
      </c>
      <c r="I1255" t="s">
        <v>1199</v>
      </c>
    </row>
    <row r="1256" spans="1:12" x14ac:dyDescent="0.25">
      <c r="A1256" t="s">
        <v>956</v>
      </c>
      <c r="B1256" t="s">
        <v>2490</v>
      </c>
      <c r="C1256" t="s">
        <v>1222</v>
      </c>
      <c r="D1256" s="13">
        <v>251000</v>
      </c>
      <c r="F1256" s="10">
        <v>41640</v>
      </c>
      <c r="G1256">
        <v>10</v>
      </c>
      <c r="H1256">
        <v>15</v>
      </c>
      <c r="I1256" t="s">
        <v>1199</v>
      </c>
    </row>
    <row r="1257" spans="1:12" x14ac:dyDescent="0.25">
      <c r="A1257" t="s">
        <v>956</v>
      </c>
      <c r="B1257" t="s">
        <v>2491</v>
      </c>
      <c r="C1257" t="s">
        <v>1225</v>
      </c>
      <c r="D1257" s="13">
        <v>96000</v>
      </c>
      <c r="F1257" s="10">
        <v>41640</v>
      </c>
      <c r="G1257">
        <v>10</v>
      </c>
      <c r="H1257">
        <v>15</v>
      </c>
      <c r="I1257" t="s">
        <v>1199</v>
      </c>
    </row>
    <row r="1258" spans="1:12" x14ac:dyDescent="0.25">
      <c r="A1258" t="s">
        <v>956</v>
      </c>
      <c r="B1258" t="s">
        <v>2492</v>
      </c>
      <c r="C1258" t="s">
        <v>1225</v>
      </c>
      <c r="D1258" s="13">
        <v>60000</v>
      </c>
      <c r="F1258" s="10">
        <v>41640</v>
      </c>
      <c r="G1258">
        <v>10</v>
      </c>
      <c r="H1258">
        <v>15</v>
      </c>
      <c r="I1258" t="s">
        <v>1199</v>
      </c>
    </row>
    <row r="1259" spans="1:12" x14ac:dyDescent="0.25">
      <c r="A1259" t="s">
        <v>956</v>
      </c>
      <c r="B1259" t="s">
        <v>2493</v>
      </c>
      <c r="C1259" t="s">
        <v>1225</v>
      </c>
      <c r="D1259" s="13">
        <v>60000</v>
      </c>
      <c r="F1259" s="10">
        <v>30317</v>
      </c>
      <c r="G1259">
        <v>41</v>
      </c>
      <c r="H1259">
        <v>15</v>
      </c>
      <c r="I1259" t="s">
        <v>1198</v>
      </c>
    </row>
    <row r="1260" spans="1:12" x14ac:dyDescent="0.25">
      <c r="A1260" t="s">
        <v>956</v>
      </c>
      <c r="B1260" t="s">
        <v>2494</v>
      </c>
      <c r="C1260" t="s">
        <v>1225</v>
      </c>
      <c r="D1260" s="13">
        <v>60000</v>
      </c>
      <c r="F1260" s="10">
        <v>30317</v>
      </c>
      <c r="G1260">
        <v>41</v>
      </c>
      <c r="H1260">
        <v>15</v>
      </c>
      <c r="I1260" t="s">
        <v>1198</v>
      </c>
    </row>
    <row r="1261" spans="1:12" x14ac:dyDescent="0.25">
      <c r="A1261" t="s">
        <v>956</v>
      </c>
      <c r="B1261" t="s">
        <v>2495</v>
      </c>
      <c r="C1261" t="s">
        <v>1222</v>
      </c>
      <c r="D1261" s="13">
        <v>60000</v>
      </c>
      <c r="F1261" s="10">
        <v>30317</v>
      </c>
      <c r="G1261">
        <v>41</v>
      </c>
      <c r="H1261">
        <v>15</v>
      </c>
      <c r="I1261" t="s">
        <v>1198</v>
      </c>
    </row>
    <row r="1262" spans="1:12" x14ac:dyDescent="0.25">
      <c r="A1262" t="s">
        <v>956</v>
      </c>
      <c r="B1262" t="s">
        <v>2496</v>
      </c>
      <c r="C1262" t="s">
        <v>1222</v>
      </c>
      <c r="D1262" s="13">
        <v>60000</v>
      </c>
      <c r="F1262" s="10">
        <v>30317</v>
      </c>
      <c r="G1262">
        <v>41</v>
      </c>
      <c r="H1262">
        <v>15</v>
      </c>
      <c r="I1262" t="s">
        <v>1198</v>
      </c>
    </row>
    <row r="1263" spans="1:12" x14ac:dyDescent="0.25">
      <c r="A1263" t="s">
        <v>956</v>
      </c>
      <c r="B1263" t="s">
        <v>2497</v>
      </c>
      <c r="C1263" t="s">
        <v>1225</v>
      </c>
      <c r="I1263" t="s">
        <v>1198</v>
      </c>
    </row>
    <row r="1264" spans="1:12" x14ac:dyDescent="0.25">
      <c r="A1264" t="s">
        <v>956</v>
      </c>
      <c r="B1264" t="s">
        <v>2498</v>
      </c>
      <c r="C1264" t="s">
        <v>1225</v>
      </c>
      <c r="D1264" s="13">
        <v>60000</v>
      </c>
      <c r="F1264" s="10">
        <v>41699</v>
      </c>
      <c r="G1264">
        <v>10</v>
      </c>
      <c r="H1264">
        <v>15</v>
      </c>
      <c r="I1264" t="s">
        <v>1199</v>
      </c>
    </row>
    <row r="1265" spans="1:12" x14ac:dyDescent="0.25">
      <c r="A1265" t="s">
        <v>956</v>
      </c>
      <c r="B1265" t="s">
        <v>2499</v>
      </c>
      <c r="C1265" t="s">
        <v>1225</v>
      </c>
      <c r="D1265" s="13">
        <v>60000</v>
      </c>
      <c r="F1265" s="10">
        <v>41730</v>
      </c>
      <c r="G1265">
        <v>10</v>
      </c>
      <c r="H1265">
        <v>15</v>
      </c>
      <c r="I1265" t="s">
        <v>1199</v>
      </c>
    </row>
    <row r="1266" spans="1:12" x14ac:dyDescent="0.25">
      <c r="A1266" t="s">
        <v>956</v>
      </c>
      <c r="B1266" t="s">
        <v>2500</v>
      </c>
      <c r="C1266" t="s">
        <v>1225</v>
      </c>
      <c r="D1266" s="13">
        <v>42000</v>
      </c>
      <c r="F1266" s="10">
        <v>41760</v>
      </c>
      <c r="G1266">
        <v>10</v>
      </c>
      <c r="H1266">
        <v>15</v>
      </c>
      <c r="I1266" t="s">
        <v>1199</v>
      </c>
    </row>
    <row r="1267" spans="1:12" x14ac:dyDescent="0.25">
      <c r="A1267" t="s">
        <v>956</v>
      </c>
      <c r="B1267" t="s">
        <v>2501</v>
      </c>
      <c r="C1267" t="s">
        <v>1225</v>
      </c>
      <c r="D1267" s="13">
        <v>30000</v>
      </c>
      <c r="F1267" s="10">
        <v>41760</v>
      </c>
      <c r="G1267">
        <v>10</v>
      </c>
      <c r="H1267">
        <v>15</v>
      </c>
      <c r="I1267" t="s">
        <v>1199</v>
      </c>
    </row>
    <row r="1268" spans="1:12" x14ac:dyDescent="0.25">
      <c r="A1268" t="s">
        <v>956</v>
      </c>
      <c r="B1268" t="s">
        <v>2502</v>
      </c>
      <c r="C1268" t="s">
        <v>1222</v>
      </c>
      <c r="I1268" t="s">
        <v>1198</v>
      </c>
    </row>
    <row r="1269" spans="1:12" x14ac:dyDescent="0.25">
      <c r="A1269" t="s">
        <v>956</v>
      </c>
      <c r="B1269" t="s">
        <v>2503</v>
      </c>
      <c r="C1269" t="s">
        <v>1222</v>
      </c>
      <c r="D1269" s="13">
        <v>165000</v>
      </c>
      <c r="F1269" s="10">
        <v>41640</v>
      </c>
      <c r="G1269">
        <v>10</v>
      </c>
      <c r="H1269">
        <v>15</v>
      </c>
      <c r="I1269" t="s">
        <v>1199</v>
      </c>
    </row>
    <row r="1270" spans="1:12" x14ac:dyDescent="0.25">
      <c r="A1270" t="s">
        <v>956</v>
      </c>
      <c r="B1270" t="s">
        <v>2504</v>
      </c>
      <c r="C1270" t="s">
        <v>1225</v>
      </c>
      <c r="F1270" s="10">
        <v>43831</v>
      </c>
      <c r="G1270">
        <v>4</v>
      </c>
      <c r="H1270">
        <v>15</v>
      </c>
      <c r="I1270" t="s">
        <v>1199</v>
      </c>
    </row>
    <row r="1271" spans="1:12" x14ac:dyDescent="0.25">
      <c r="A1271" t="s">
        <v>956</v>
      </c>
      <c r="B1271" t="s">
        <v>2505</v>
      </c>
      <c r="C1271" t="s">
        <v>1222</v>
      </c>
      <c r="D1271" s="13">
        <v>60000</v>
      </c>
      <c r="F1271" s="10">
        <v>43831</v>
      </c>
      <c r="G1271">
        <v>4</v>
      </c>
      <c r="H1271">
        <v>15</v>
      </c>
      <c r="I1271" t="s">
        <v>1199</v>
      </c>
    </row>
    <row r="1272" spans="1:12" x14ac:dyDescent="0.25">
      <c r="A1272" t="s">
        <v>956</v>
      </c>
      <c r="B1272" t="s">
        <v>2506</v>
      </c>
      <c r="C1272" t="s">
        <v>1222</v>
      </c>
      <c r="I1272" t="s">
        <v>1198</v>
      </c>
    </row>
    <row r="1273" spans="1:12" x14ac:dyDescent="0.25">
      <c r="A1273" t="s">
        <v>956</v>
      </c>
      <c r="B1273" t="s">
        <v>2507</v>
      </c>
      <c r="C1273" t="s">
        <v>1225</v>
      </c>
      <c r="D1273" s="13">
        <v>90000</v>
      </c>
      <c r="F1273" s="10">
        <v>45597</v>
      </c>
      <c r="I1273" t="s">
        <v>1198</v>
      </c>
    </row>
    <row r="1274" spans="1:12" x14ac:dyDescent="0.25">
      <c r="A1274" t="s">
        <v>956</v>
      </c>
      <c r="B1274" t="s">
        <v>2508</v>
      </c>
      <c r="C1274" t="s">
        <v>1222</v>
      </c>
      <c r="D1274" s="13">
        <v>90000</v>
      </c>
      <c r="F1274" s="10">
        <v>45597</v>
      </c>
      <c r="I1274" t="s">
        <v>1198</v>
      </c>
    </row>
    <row r="1275" spans="1:12" x14ac:dyDescent="0.25">
      <c r="A1275" t="s">
        <v>951</v>
      </c>
      <c r="B1275" t="s">
        <v>2509</v>
      </c>
      <c r="C1275" t="s">
        <v>1218</v>
      </c>
      <c r="E1275">
        <v>300</v>
      </c>
      <c r="I1275" t="s">
        <v>1198</v>
      </c>
      <c r="J1275" t="s">
        <v>1219</v>
      </c>
      <c r="K1275" t="s">
        <v>1234</v>
      </c>
    </row>
    <row r="1276" spans="1:12" x14ac:dyDescent="0.25">
      <c r="A1276" t="s">
        <v>951</v>
      </c>
      <c r="B1276" t="s">
        <v>2510</v>
      </c>
      <c r="C1276" t="s">
        <v>1218</v>
      </c>
      <c r="E1276">
        <v>150</v>
      </c>
      <c r="I1276" t="s">
        <v>1198</v>
      </c>
      <c r="J1276" t="s">
        <v>1341</v>
      </c>
      <c r="K1276" t="s">
        <v>1234</v>
      </c>
      <c r="L1276">
        <v>400.5</v>
      </c>
    </row>
    <row r="1277" spans="1:12" x14ac:dyDescent="0.25">
      <c r="A1277" t="s">
        <v>951</v>
      </c>
      <c r="B1277" t="s">
        <v>2511</v>
      </c>
      <c r="C1277" t="s">
        <v>1225</v>
      </c>
      <c r="D1277" s="13">
        <v>180000</v>
      </c>
      <c r="F1277" s="10">
        <v>44927</v>
      </c>
      <c r="G1277">
        <v>50</v>
      </c>
      <c r="H1277">
        <v>15</v>
      </c>
      <c r="I1277" t="s">
        <v>1198</v>
      </c>
    </row>
    <row r="1278" spans="1:12" x14ac:dyDescent="0.25">
      <c r="A1278" t="s">
        <v>951</v>
      </c>
      <c r="B1278" t="s">
        <v>2512</v>
      </c>
      <c r="C1278" t="s">
        <v>1222</v>
      </c>
      <c r="D1278" s="13">
        <v>240000</v>
      </c>
      <c r="F1278" s="10">
        <v>35431</v>
      </c>
      <c r="G1278">
        <v>27</v>
      </c>
      <c r="H1278">
        <v>15</v>
      </c>
      <c r="I1278" t="s">
        <v>1198</v>
      </c>
    </row>
    <row r="1279" spans="1:12" x14ac:dyDescent="0.25">
      <c r="A1279" t="s">
        <v>951</v>
      </c>
      <c r="B1279" t="s">
        <v>2513</v>
      </c>
      <c r="C1279" t="s">
        <v>1225</v>
      </c>
      <c r="D1279" s="13">
        <v>216000</v>
      </c>
      <c r="F1279" s="10">
        <v>35431</v>
      </c>
      <c r="G1279">
        <v>27</v>
      </c>
      <c r="H1279">
        <v>15</v>
      </c>
      <c r="I1279" t="s">
        <v>1198</v>
      </c>
    </row>
    <row r="1280" spans="1:12" x14ac:dyDescent="0.25">
      <c r="A1280" t="s">
        <v>951</v>
      </c>
      <c r="B1280" t="s">
        <v>2514</v>
      </c>
      <c r="C1280" t="s">
        <v>1222</v>
      </c>
      <c r="D1280" s="13">
        <v>240000</v>
      </c>
      <c r="F1280" s="10">
        <v>35431</v>
      </c>
      <c r="G1280">
        <v>27</v>
      </c>
      <c r="H1280">
        <v>15</v>
      </c>
      <c r="I1280" t="s">
        <v>1198</v>
      </c>
    </row>
    <row r="1281" spans="1:12" x14ac:dyDescent="0.25">
      <c r="A1281" t="s">
        <v>951</v>
      </c>
      <c r="B1281" t="s">
        <v>2515</v>
      </c>
      <c r="C1281" t="s">
        <v>1225</v>
      </c>
      <c r="D1281" s="13">
        <v>216000</v>
      </c>
      <c r="F1281" s="10">
        <v>35431</v>
      </c>
      <c r="G1281">
        <v>27</v>
      </c>
      <c r="H1281">
        <v>15</v>
      </c>
      <c r="I1281" t="s">
        <v>1198</v>
      </c>
    </row>
    <row r="1282" spans="1:12" x14ac:dyDescent="0.25">
      <c r="A1282" t="s">
        <v>951</v>
      </c>
      <c r="B1282" t="s">
        <v>2516</v>
      </c>
      <c r="C1282" t="s">
        <v>1222</v>
      </c>
      <c r="D1282" s="13">
        <v>60000</v>
      </c>
      <c r="F1282" s="10">
        <v>33604</v>
      </c>
      <c r="G1282">
        <v>32</v>
      </c>
      <c r="H1282">
        <v>15</v>
      </c>
      <c r="I1282" t="s">
        <v>1198</v>
      </c>
    </row>
    <row r="1283" spans="1:12" x14ac:dyDescent="0.25">
      <c r="A1283" t="s">
        <v>951</v>
      </c>
      <c r="B1283" t="s">
        <v>2517</v>
      </c>
      <c r="C1283" t="s">
        <v>1225</v>
      </c>
      <c r="F1283" s="10">
        <v>33604</v>
      </c>
      <c r="G1283">
        <v>32</v>
      </c>
      <c r="H1283">
        <v>15</v>
      </c>
      <c r="I1283" t="s">
        <v>1198</v>
      </c>
    </row>
    <row r="1284" spans="1:12" x14ac:dyDescent="0.25">
      <c r="A1284" t="s">
        <v>951</v>
      </c>
      <c r="B1284" t="s">
        <v>2518</v>
      </c>
      <c r="C1284" t="s">
        <v>1225</v>
      </c>
      <c r="D1284" s="13">
        <v>180000</v>
      </c>
      <c r="F1284" s="10">
        <v>42736</v>
      </c>
      <c r="G1284">
        <v>7</v>
      </c>
      <c r="H1284">
        <v>15</v>
      </c>
      <c r="I1284" t="s">
        <v>1199</v>
      </c>
    </row>
    <row r="1285" spans="1:12" x14ac:dyDescent="0.25">
      <c r="A1285" t="s">
        <v>951</v>
      </c>
      <c r="B1285" t="s">
        <v>2519</v>
      </c>
      <c r="C1285" t="s">
        <v>1222</v>
      </c>
      <c r="D1285" s="13">
        <v>180000</v>
      </c>
      <c r="F1285" s="10">
        <v>43132</v>
      </c>
      <c r="G1285">
        <v>6</v>
      </c>
      <c r="H1285">
        <v>15</v>
      </c>
      <c r="I1285" t="s">
        <v>1199</v>
      </c>
    </row>
    <row r="1286" spans="1:12" x14ac:dyDescent="0.25">
      <c r="A1286" t="s">
        <v>951</v>
      </c>
      <c r="B1286" t="s">
        <v>2520</v>
      </c>
      <c r="C1286" t="s">
        <v>1225</v>
      </c>
      <c r="D1286" s="13">
        <v>48000</v>
      </c>
      <c r="F1286" s="10">
        <v>43132</v>
      </c>
      <c r="G1286">
        <v>6</v>
      </c>
      <c r="H1286">
        <v>15</v>
      </c>
      <c r="I1286" t="s">
        <v>1199</v>
      </c>
    </row>
    <row r="1287" spans="1:12" x14ac:dyDescent="0.25">
      <c r="A1287" t="s">
        <v>951</v>
      </c>
      <c r="B1287" t="s">
        <v>2521</v>
      </c>
      <c r="C1287" t="s">
        <v>1222</v>
      </c>
      <c r="D1287" s="13">
        <v>48000</v>
      </c>
      <c r="F1287" s="10">
        <v>43132</v>
      </c>
      <c r="G1287">
        <v>6</v>
      </c>
      <c r="H1287">
        <v>15</v>
      </c>
      <c r="I1287" t="s">
        <v>1199</v>
      </c>
    </row>
    <row r="1288" spans="1:12" x14ac:dyDescent="0.25">
      <c r="A1288" t="s">
        <v>951</v>
      </c>
      <c r="B1288" t="s">
        <v>2522</v>
      </c>
      <c r="C1288" t="s">
        <v>1225</v>
      </c>
      <c r="F1288" s="10">
        <v>33604</v>
      </c>
      <c r="G1288">
        <v>32</v>
      </c>
      <c r="H1288">
        <v>15</v>
      </c>
      <c r="I1288" t="s">
        <v>1198</v>
      </c>
    </row>
    <row r="1289" spans="1:12" x14ac:dyDescent="0.25">
      <c r="A1289" t="s">
        <v>951</v>
      </c>
      <c r="B1289" t="s">
        <v>2523</v>
      </c>
      <c r="C1289" t="s">
        <v>1222</v>
      </c>
      <c r="D1289" s="13">
        <v>180000</v>
      </c>
      <c r="F1289" s="10">
        <v>45091</v>
      </c>
      <c r="G1289">
        <v>1</v>
      </c>
      <c r="H1289">
        <v>15</v>
      </c>
      <c r="I1289" t="s">
        <v>1199</v>
      </c>
    </row>
    <row r="1290" spans="1:12" x14ac:dyDescent="0.25">
      <c r="A1290" t="s">
        <v>951</v>
      </c>
      <c r="B1290" t="s">
        <v>2524</v>
      </c>
      <c r="C1290" t="s">
        <v>1218</v>
      </c>
      <c r="E1290">
        <v>150</v>
      </c>
      <c r="F1290" s="10">
        <v>45748</v>
      </c>
      <c r="I1290" t="s">
        <v>1198</v>
      </c>
      <c r="J1290" t="s">
        <v>1219</v>
      </c>
    </row>
    <row r="1291" spans="1:12" x14ac:dyDescent="0.25">
      <c r="A1291" t="s">
        <v>110</v>
      </c>
      <c r="B1291" t="s">
        <v>2525</v>
      </c>
      <c r="C1291" t="s">
        <v>1218</v>
      </c>
      <c r="E1291">
        <v>400</v>
      </c>
      <c r="F1291" s="10">
        <v>42551</v>
      </c>
      <c r="G1291">
        <v>8</v>
      </c>
      <c r="H1291">
        <v>25</v>
      </c>
      <c r="I1291" t="s">
        <v>1199</v>
      </c>
      <c r="J1291" t="s">
        <v>1219</v>
      </c>
      <c r="K1291" t="s">
        <v>1234</v>
      </c>
      <c r="L1291">
        <v>216.09</v>
      </c>
    </row>
    <row r="1292" spans="1:12" x14ac:dyDescent="0.25">
      <c r="A1292" t="s">
        <v>110</v>
      </c>
      <c r="B1292" t="s">
        <v>2526</v>
      </c>
      <c r="C1292" t="s">
        <v>1222</v>
      </c>
      <c r="D1292" s="13">
        <v>300000</v>
      </c>
      <c r="F1292" s="10">
        <v>42826</v>
      </c>
      <c r="G1292">
        <v>7</v>
      </c>
      <c r="H1292">
        <v>15</v>
      </c>
      <c r="I1292" t="s">
        <v>1199</v>
      </c>
    </row>
    <row r="1293" spans="1:12" x14ac:dyDescent="0.25">
      <c r="A1293" t="s">
        <v>110</v>
      </c>
      <c r="B1293" t="s">
        <v>2527</v>
      </c>
      <c r="C1293" t="s">
        <v>1225</v>
      </c>
      <c r="D1293" s="13">
        <v>300000</v>
      </c>
      <c r="F1293" s="10">
        <v>42826</v>
      </c>
      <c r="G1293">
        <v>7</v>
      </c>
      <c r="H1293">
        <v>15</v>
      </c>
      <c r="I1293" t="s">
        <v>1199</v>
      </c>
    </row>
    <row r="1294" spans="1:12" x14ac:dyDescent="0.25">
      <c r="A1294" t="s">
        <v>110</v>
      </c>
      <c r="B1294" t="s">
        <v>2528</v>
      </c>
      <c r="C1294" t="s">
        <v>1225</v>
      </c>
      <c r="I1294" t="s">
        <v>1198</v>
      </c>
    </row>
    <row r="1295" spans="1:12" x14ac:dyDescent="0.25">
      <c r="A1295" t="s">
        <v>110</v>
      </c>
      <c r="B1295" t="s">
        <v>2529</v>
      </c>
      <c r="C1295" t="s">
        <v>1225</v>
      </c>
      <c r="D1295" s="13">
        <v>480000</v>
      </c>
      <c r="I1295" t="s">
        <v>1198</v>
      </c>
    </row>
    <row r="1296" spans="1:12" x14ac:dyDescent="0.25">
      <c r="A1296" t="s">
        <v>110</v>
      </c>
      <c r="B1296" t="s">
        <v>2530</v>
      </c>
      <c r="C1296" t="s">
        <v>1296</v>
      </c>
      <c r="I1296" t="s">
        <v>1198</v>
      </c>
    </row>
    <row r="1297" spans="1:12" x14ac:dyDescent="0.25">
      <c r="A1297" t="s">
        <v>110</v>
      </c>
      <c r="B1297" t="s">
        <v>2531</v>
      </c>
      <c r="C1297" t="s">
        <v>1296</v>
      </c>
      <c r="I1297" t="s">
        <v>1198</v>
      </c>
    </row>
    <row r="1298" spans="1:12" x14ac:dyDescent="0.25">
      <c r="A1298" t="s">
        <v>110</v>
      </c>
      <c r="B1298" t="s">
        <v>2532</v>
      </c>
      <c r="C1298" t="s">
        <v>1225</v>
      </c>
      <c r="I1298" t="s">
        <v>1198</v>
      </c>
    </row>
    <row r="1299" spans="1:12" x14ac:dyDescent="0.25">
      <c r="A1299" t="s">
        <v>110</v>
      </c>
      <c r="B1299" t="s">
        <v>2533</v>
      </c>
      <c r="C1299" t="s">
        <v>1222</v>
      </c>
      <c r="I1299" t="s">
        <v>1198</v>
      </c>
    </row>
    <row r="1300" spans="1:12" x14ac:dyDescent="0.25">
      <c r="A1300" t="s">
        <v>110</v>
      </c>
      <c r="B1300" t="s">
        <v>2534</v>
      </c>
      <c r="C1300" t="s">
        <v>1296</v>
      </c>
      <c r="I1300" t="s">
        <v>1198</v>
      </c>
    </row>
    <row r="1301" spans="1:12" x14ac:dyDescent="0.25">
      <c r="A1301" t="s">
        <v>110</v>
      </c>
      <c r="B1301" t="s">
        <v>2535</v>
      </c>
      <c r="C1301" t="s">
        <v>1296</v>
      </c>
      <c r="I1301" t="s">
        <v>1198</v>
      </c>
    </row>
    <row r="1302" spans="1:12" x14ac:dyDescent="0.25">
      <c r="A1302" t="s">
        <v>110</v>
      </c>
      <c r="B1302" t="s">
        <v>2536</v>
      </c>
      <c r="C1302" t="s">
        <v>1222</v>
      </c>
      <c r="D1302" s="13">
        <v>300000</v>
      </c>
      <c r="F1302" s="10">
        <v>42826</v>
      </c>
      <c r="I1302" t="s">
        <v>1198</v>
      </c>
    </row>
    <row r="1303" spans="1:12" x14ac:dyDescent="0.25">
      <c r="A1303" t="s">
        <v>110</v>
      </c>
      <c r="B1303" t="s">
        <v>2537</v>
      </c>
      <c r="C1303" t="s">
        <v>1225</v>
      </c>
      <c r="D1303" s="13">
        <v>480000</v>
      </c>
      <c r="I1303" t="s">
        <v>1198</v>
      </c>
    </row>
    <row r="1304" spans="1:12" x14ac:dyDescent="0.25">
      <c r="A1304" t="s">
        <v>110</v>
      </c>
      <c r="B1304" t="s">
        <v>2538</v>
      </c>
      <c r="C1304" t="s">
        <v>1222</v>
      </c>
      <c r="I1304" t="s">
        <v>1198</v>
      </c>
    </row>
    <row r="1305" spans="1:12" x14ac:dyDescent="0.25">
      <c r="A1305" t="s">
        <v>110</v>
      </c>
      <c r="B1305" t="s">
        <v>2539</v>
      </c>
      <c r="C1305" t="s">
        <v>1296</v>
      </c>
      <c r="D1305" s="13">
        <v>60000</v>
      </c>
      <c r="F1305" s="10">
        <v>46120</v>
      </c>
      <c r="I1305" t="s">
        <v>1198</v>
      </c>
    </row>
    <row r="1306" spans="1:12" x14ac:dyDescent="0.25">
      <c r="A1306" t="s">
        <v>115</v>
      </c>
      <c r="B1306" t="s">
        <v>2540</v>
      </c>
      <c r="C1306" t="s">
        <v>1218</v>
      </c>
      <c r="E1306">
        <v>60</v>
      </c>
      <c r="F1306" s="10">
        <v>39766</v>
      </c>
      <c r="G1306">
        <v>15</v>
      </c>
      <c r="H1306">
        <v>25</v>
      </c>
      <c r="I1306" t="s">
        <v>1199</v>
      </c>
      <c r="J1306" t="s">
        <v>1219</v>
      </c>
      <c r="K1306" t="s">
        <v>1487</v>
      </c>
      <c r="L1306">
        <v>654</v>
      </c>
    </row>
    <row r="1307" spans="1:12" x14ac:dyDescent="0.25">
      <c r="A1307" t="s">
        <v>115</v>
      </c>
      <c r="B1307" t="s">
        <v>2541</v>
      </c>
      <c r="C1307" t="s">
        <v>1225</v>
      </c>
      <c r="D1307" s="13">
        <v>120000</v>
      </c>
      <c r="I1307" t="s">
        <v>1198</v>
      </c>
    </row>
    <row r="1308" spans="1:12" x14ac:dyDescent="0.25">
      <c r="A1308" t="s">
        <v>115</v>
      </c>
      <c r="B1308" t="s">
        <v>2542</v>
      </c>
      <c r="C1308" t="s">
        <v>1222</v>
      </c>
      <c r="D1308" s="13">
        <v>120000</v>
      </c>
      <c r="F1308" s="10">
        <v>33604</v>
      </c>
      <c r="I1308" t="s">
        <v>1198</v>
      </c>
    </row>
    <row r="1309" spans="1:12" x14ac:dyDescent="0.25">
      <c r="A1309" t="s">
        <v>115</v>
      </c>
      <c r="B1309" t="s">
        <v>2543</v>
      </c>
      <c r="C1309" t="s">
        <v>1225</v>
      </c>
      <c r="D1309" s="13">
        <v>150000</v>
      </c>
      <c r="F1309" s="10">
        <v>42826</v>
      </c>
      <c r="G1309">
        <v>7</v>
      </c>
      <c r="H1309">
        <v>15</v>
      </c>
      <c r="I1309" t="s">
        <v>1199</v>
      </c>
    </row>
    <row r="1310" spans="1:12" x14ac:dyDescent="0.25">
      <c r="A1310" t="s">
        <v>115</v>
      </c>
      <c r="B1310" t="s">
        <v>2544</v>
      </c>
      <c r="C1310" t="s">
        <v>1222</v>
      </c>
      <c r="D1310" s="13">
        <v>150000</v>
      </c>
      <c r="F1310" s="10">
        <v>42826</v>
      </c>
      <c r="G1310">
        <v>7</v>
      </c>
      <c r="H1310">
        <v>15</v>
      </c>
      <c r="I1310" t="s">
        <v>1199</v>
      </c>
    </row>
    <row r="1311" spans="1:12" x14ac:dyDescent="0.25">
      <c r="A1311" t="s">
        <v>115</v>
      </c>
      <c r="B1311" t="s">
        <v>2545</v>
      </c>
      <c r="C1311" t="s">
        <v>1225</v>
      </c>
      <c r="I1311" t="s">
        <v>1198</v>
      </c>
    </row>
    <row r="1312" spans="1:12" x14ac:dyDescent="0.25">
      <c r="A1312" t="s">
        <v>115</v>
      </c>
      <c r="B1312" t="s">
        <v>2546</v>
      </c>
      <c r="C1312" t="s">
        <v>1222</v>
      </c>
      <c r="I1312" t="s">
        <v>1198</v>
      </c>
    </row>
    <row r="1313" spans="1:12" x14ac:dyDescent="0.25">
      <c r="A1313" t="s">
        <v>247</v>
      </c>
      <c r="B1313" t="s">
        <v>2547</v>
      </c>
      <c r="C1313" t="s">
        <v>1218</v>
      </c>
      <c r="E1313">
        <v>60</v>
      </c>
      <c r="F1313" s="10">
        <v>34516</v>
      </c>
      <c r="G1313">
        <v>30</v>
      </c>
      <c r="H1313">
        <v>25</v>
      </c>
      <c r="I1313" t="s">
        <v>1198</v>
      </c>
      <c r="J1313" t="s">
        <v>1219</v>
      </c>
      <c r="K1313" t="s">
        <v>1234</v>
      </c>
      <c r="L1313">
        <v>1322.6</v>
      </c>
    </row>
    <row r="1314" spans="1:12" x14ac:dyDescent="0.25">
      <c r="A1314" t="s">
        <v>247</v>
      </c>
      <c r="B1314" t="s">
        <v>2548</v>
      </c>
      <c r="C1314" t="s">
        <v>1238</v>
      </c>
      <c r="D1314" s="13">
        <v>48000</v>
      </c>
      <c r="F1314" s="10">
        <v>37257</v>
      </c>
      <c r="G1314">
        <v>22</v>
      </c>
      <c r="H1314">
        <v>15</v>
      </c>
      <c r="I1314" t="s">
        <v>1198</v>
      </c>
    </row>
    <row r="1315" spans="1:12" x14ac:dyDescent="0.25">
      <c r="A1315" t="s">
        <v>247</v>
      </c>
      <c r="B1315" t="s">
        <v>2549</v>
      </c>
      <c r="C1315" t="s">
        <v>1238</v>
      </c>
      <c r="D1315" s="13">
        <v>48000</v>
      </c>
      <c r="F1315" s="10">
        <v>41183</v>
      </c>
      <c r="G1315">
        <v>12</v>
      </c>
      <c r="H1315">
        <v>15</v>
      </c>
      <c r="I1315" t="s">
        <v>1199</v>
      </c>
    </row>
    <row r="1316" spans="1:12" x14ac:dyDescent="0.25">
      <c r="A1316" t="s">
        <v>247</v>
      </c>
      <c r="B1316" t="s">
        <v>2550</v>
      </c>
      <c r="C1316" t="s">
        <v>1225</v>
      </c>
      <c r="I1316" t="s">
        <v>1198</v>
      </c>
    </row>
    <row r="1317" spans="1:12" x14ac:dyDescent="0.25">
      <c r="A1317" t="s">
        <v>247</v>
      </c>
      <c r="B1317" t="s">
        <v>2551</v>
      </c>
      <c r="C1317" t="s">
        <v>1222</v>
      </c>
      <c r="I1317" t="s">
        <v>1198</v>
      </c>
    </row>
    <row r="1318" spans="1:12" x14ac:dyDescent="0.25">
      <c r="A1318" t="s">
        <v>764</v>
      </c>
      <c r="B1318" t="s">
        <v>2383</v>
      </c>
      <c r="C1318" t="s">
        <v>1222</v>
      </c>
      <c r="F1318" s="10">
        <v>31413</v>
      </c>
      <c r="G1318">
        <v>38</v>
      </c>
      <c r="H1318">
        <v>15</v>
      </c>
      <c r="I1318" t="s">
        <v>1198</v>
      </c>
    </row>
    <row r="1319" spans="1:12" x14ac:dyDescent="0.25">
      <c r="A1319" t="s">
        <v>764</v>
      </c>
      <c r="B1319" t="s">
        <v>2552</v>
      </c>
      <c r="C1319" t="s">
        <v>1262</v>
      </c>
      <c r="I1319" t="s">
        <v>1198</v>
      </c>
    </row>
    <row r="1320" spans="1:12" x14ac:dyDescent="0.25">
      <c r="A1320" t="s">
        <v>764</v>
      </c>
      <c r="B1320" t="s">
        <v>2553</v>
      </c>
      <c r="C1320" t="s">
        <v>1262</v>
      </c>
      <c r="I1320" t="s">
        <v>1198</v>
      </c>
    </row>
    <row r="1321" spans="1:12" x14ac:dyDescent="0.25">
      <c r="A1321" t="s">
        <v>764</v>
      </c>
      <c r="B1321" t="s">
        <v>2554</v>
      </c>
      <c r="C1321" t="s">
        <v>1225</v>
      </c>
      <c r="D1321" s="13">
        <v>36000</v>
      </c>
      <c r="F1321" s="10">
        <v>37895</v>
      </c>
      <c r="G1321">
        <v>21</v>
      </c>
      <c r="H1321">
        <v>15</v>
      </c>
      <c r="I1321" t="s">
        <v>1198</v>
      </c>
    </row>
    <row r="1322" spans="1:12" x14ac:dyDescent="0.25">
      <c r="A1322" t="s">
        <v>764</v>
      </c>
      <c r="B1322" t="s">
        <v>2555</v>
      </c>
      <c r="C1322" t="s">
        <v>1222</v>
      </c>
      <c r="D1322" s="13">
        <v>36000</v>
      </c>
      <c r="F1322" s="10">
        <v>37895</v>
      </c>
      <c r="G1322">
        <v>21</v>
      </c>
      <c r="H1322">
        <v>15</v>
      </c>
      <c r="I1322" t="s">
        <v>1198</v>
      </c>
    </row>
    <row r="1323" spans="1:12" x14ac:dyDescent="0.25">
      <c r="A1323" t="s">
        <v>764</v>
      </c>
      <c r="B1323" t="s">
        <v>2556</v>
      </c>
      <c r="C1323" t="s">
        <v>1218</v>
      </c>
      <c r="E1323">
        <v>125</v>
      </c>
      <c r="F1323" s="10">
        <v>42795</v>
      </c>
      <c r="G1323">
        <v>7</v>
      </c>
      <c r="H1323">
        <v>25</v>
      </c>
      <c r="I1323" t="s">
        <v>1199</v>
      </c>
      <c r="J1323" t="s">
        <v>1219</v>
      </c>
      <c r="K1323" t="s">
        <v>1234</v>
      </c>
      <c r="L1323">
        <v>324.2</v>
      </c>
    </row>
    <row r="1324" spans="1:12" x14ac:dyDescent="0.25">
      <c r="A1324" t="s">
        <v>764</v>
      </c>
      <c r="B1324" t="s">
        <v>2557</v>
      </c>
      <c r="C1324" t="s">
        <v>1222</v>
      </c>
      <c r="F1324" s="10">
        <v>31413</v>
      </c>
      <c r="I1324" t="s">
        <v>1198</v>
      </c>
    </row>
    <row r="1325" spans="1:12" x14ac:dyDescent="0.25">
      <c r="A1325" t="s">
        <v>764</v>
      </c>
      <c r="B1325" t="s">
        <v>2558</v>
      </c>
      <c r="C1325" t="s">
        <v>1225</v>
      </c>
      <c r="D1325" s="13">
        <v>36000</v>
      </c>
      <c r="F1325" s="10">
        <v>37895</v>
      </c>
      <c r="I1325" t="s">
        <v>1198</v>
      </c>
    </row>
    <row r="1326" spans="1:12" x14ac:dyDescent="0.25">
      <c r="A1326" t="s">
        <v>764</v>
      </c>
      <c r="B1326" t="s">
        <v>2559</v>
      </c>
      <c r="C1326" t="s">
        <v>1222</v>
      </c>
      <c r="D1326" s="13">
        <v>36000</v>
      </c>
      <c r="F1326" s="10">
        <v>37895</v>
      </c>
      <c r="I1326" t="s">
        <v>1198</v>
      </c>
    </row>
    <row r="1327" spans="1:12" x14ac:dyDescent="0.25">
      <c r="A1327" t="s">
        <v>764</v>
      </c>
      <c r="B1327" t="s">
        <v>2560</v>
      </c>
      <c r="C1327" t="s">
        <v>1225</v>
      </c>
      <c r="I1327" t="s">
        <v>1198</v>
      </c>
    </row>
    <row r="1328" spans="1:12" x14ac:dyDescent="0.25">
      <c r="A1328" t="s">
        <v>252</v>
      </c>
      <c r="B1328" t="s">
        <v>2561</v>
      </c>
      <c r="C1328" t="s">
        <v>1218</v>
      </c>
      <c r="E1328">
        <v>250</v>
      </c>
      <c r="I1328" t="s">
        <v>1198</v>
      </c>
      <c r="J1328" t="s">
        <v>1219</v>
      </c>
      <c r="K1328" t="s">
        <v>1220</v>
      </c>
      <c r="L1328">
        <v>131.5</v>
      </c>
    </row>
    <row r="1329" spans="1:12" x14ac:dyDescent="0.25">
      <c r="A1329" t="s">
        <v>252</v>
      </c>
      <c r="B1329" t="s">
        <v>2562</v>
      </c>
      <c r="C1329" t="s">
        <v>1225</v>
      </c>
      <c r="I1329" t="s">
        <v>1198</v>
      </c>
    </row>
    <row r="1330" spans="1:12" x14ac:dyDescent="0.25">
      <c r="A1330" t="s">
        <v>252</v>
      </c>
      <c r="B1330" t="s">
        <v>2563</v>
      </c>
      <c r="C1330" t="s">
        <v>1225</v>
      </c>
      <c r="D1330">
        <v>10</v>
      </c>
      <c r="F1330" s="10">
        <v>39083</v>
      </c>
      <c r="I1330" t="s">
        <v>1198</v>
      </c>
    </row>
    <row r="1331" spans="1:12" x14ac:dyDescent="0.25">
      <c r="A1331" t="s">
        <v>252</v>
      </c>
      <c r="B1331" t="s">
        <v>2564</v>
      </c>
      <c r="C1331" t="s">
        <v>1225</v>
      </c>
      <c r="F1331" s="10">
        <v>38720</v>
      </c>
      <c r="I1331" t="s">
        <v>1198</v>
      </c>
    </row>
    <row r="1332" spans="1:12" x14ac:dyDescent="0.25">
      <c r="A1332" t="s">
        <v>252</v>
      </c>
      <c r="B1332" t="s">
        <v>2565</v>
      </c>
      <c r="C1332" t="s">
        <v>1225</v>
      </c>
      <c r="F1332" s="10">
        <v>42372</v>
      </c>
      <c r="I1332" t="s">
        <v>1198</v>
      </c>
    </row>
    <row r="1333" spans="1:12" x14ac:dyDescent="0.25">
      <c r="A1333" t="s">
        <v>252</v>
      </c>
      <c r="B1333" t="s">
        <v>2566</v>
      </c>
      <c r="C1333" t="s">
        <v>1225</v>
      </c>
      <c r="F1333" s="10">
        <v>47121</v>
      </c>
      <c r="I1333" t="s">
        <v>1198</v>
      </c>
    </row>
    <row r="1334" spans="1:12" x14ac:dyDescent="0.25">
      <c r="A1334" t="s">
        <v>252</v>
      </c>
      <c r="B1334" t="s">
        <v>2567</v>
      </c>
      <c r="C1334" t="s">
        <v>1225</v>
      </c>
      <c r="F1334" s="10">
        <v>43468</v>
      </c>
      <c r="I1334" t="s">
        <v>1198</v>
      </c>
    </row>
    <row r="1335" spans="1:12" x14ac:dyDescent="0.25">
      <c r="A1335" t="s">
        <v>252</v>
      </c>
      <c r="B1335" t="s">
        <v>2568</v>
      </c>
      <c r="C1335" t="s">
        <v>1222</v>
      </c>
      <c r="D1335" s="13">
        <v>240000</v>
      </c>
      <c r="F1335" s="10">
        <v>43468</v>
      </c>
      <c r="I1335" t="s">
        <v>1198</v>
      </c>
    </row>
    <row r="1336" spans="1:12" x14ac:dyDescent="0.25">
      <c r="A1336" t="s">
        <v>252</v>
      </c>
      <c r="B1336" t="s">
        <v>2569</v>
      </c>
      <c r="C1336" t="s">
        <v>1222</v>
      </c>
      <c r="F1336" s="10">
        <v>39085</v>
      </c>
      <c r="I1336" t="s">
        <v>1198</v>
      </c>
    </row>
    <row r="1337" spans="1:12" x14ac:dyDescent="0.25">
      <c r="A1337" t="s">
        <v>252</v>
      </c>
      <c r="B1337" t="s">
        <v>2570</v>
      </c>
      <c r="C1337" t="s">
        <v>1222</v>
      </c>
      <c r="F1337" s="10">
        <v>42372</v>
      </c>
      <c r="I1337" t="s">
        <v>1198</v>
      </c>
    </row>
    <row r="1338" spans="1:12" x14ac:dyDescent="0.25">
      <c r="A1338" t="s">
        <v>252</v>
      </c>
      <c r="B1338" t="s">
        <v>2571</v>
      </c>
      <c r="C1338" t="s">
        <v>1222</v>
      </c>
      <c r="F1338" s="10">
        <v>43468</v>
      </c>
      <c r="I1338" t="s">
        <v>1198</v>
      </c>
    </row>
    <row r="1339" spans="1:12" x14ac:dyDescent="0.25">
      <c r="A1339" t="s">
        <v>525</v>
      </c>
      <c r="B1339" t="s">
        <v>2572</v>
      </c>
      <c r="C1339" t="s">
        <v>1218</v>
      </c>
      <c r="E1339">
        <v>200</v>
      </c>
      <c r="F1339" s="10">
        <v>30682</v>
      </c>
      <c r="G1339">
        <v>40</v>
      </c>
      <c r="H1339">
        <v>25</v>
      </c>
      <c r="I1339" t="s">
        <v>1198</v>
      </c>
      <c r="J1339" t="s">
        <v>1219</v>
      </c>
      <c r="K1339" t="s">
        <v>1234</v>
      </c>
      <c r="L1339">
        <v>564.4</v>
      </c>
    </row>
    <row r="1340" spans="1:12" x14ac:dyDescent="0.25">
      <c r="A1340" t="s">
        <v>525</v>
      </c>
      <c r="B1340" t="s">
        <v>2573</v>
      </c>
      <c r="C1340" t="s">
        <v>1225</v>
      </c>
      <c r="D1340" s="13">
        <v>90000</v>
      </c>
      <c r="F1340" s="10">
        <v>37834</v>
      </c>
      <c r="G1340">
        <v>21</v>
      </c>
      <c r="H1340">
        <v>15</v>
      </c>
      <c r="I1340" t="s">
        <v>1198</v>
      </c>
    </row>
    <row r="1341" spans="1:12" x14ac:dyDescent="0.25">
      <c r="A1341" t="s">
        <v>525</v>
      </c>
      <c r="B1341" t="s">
        <v>2574</v>
      </c>
      <c r="C1341" t="s">
        <v>1222</v>
      </c>
      <c r="F1341" s="10">
        <v>37895</v>
      </c>
      <c r="G1341">
        <v>21</v>
      </c>
      <c r="H1341">
        <v>15</v>
      </c>
      <c r="I1341" t="s">
        <v>1198</v>
      </c>
    </row>
    <row r="1342" spans="1:12" x14ac:dyDescent="0.25">
      <c r="A1342" t="s">
        <v>525</v>
      </c>
      <c r="B1342" t="s">
        <v>2575</v>
      </c>
      <c r="C1342" t="s">
        <v>1222</v>
      </c>
      <c r="D1342" s="13">
        <v>48000</v>
      </c>
      <c r="F1342" s="10">
        <v>37895</v>
      </c>
      <c r="G1342">
        <v>21</v>
      </c>
      <c r="H1342">
        <v>15</v>
      </c>
      <c r="I1342" t="s">
        <v>1198</v>
      </c>
    </row>
    <row r="1343" spans="1:12" x14ac:dyDescent="0.25">
      <c r="A1343" t="s">
        <v>525</v>
      </c>
      <c r="B1343" t="s">
        <v>2576</v>
      </c>
      <c r="C1343" t="s">
        <v>1225</v>
      </c>
      <c r="D1343" s="13">
        <v>48000</v>
      </c>
      <c r="F1343" s="10">
        <v>37926</v>
      </c>
      <c r="G1343">
        <v>20</v>
      </c>
      <c r="H1343">
        <v>15</v>
      </c>
      <c r="I1343" t="s">
        <v>1198</v>
      </c>
    </row>
    <row r="1344" spans="1:12" x14ac:dyDescent="0.25">
      <c r="A1344" t="s">
        <v>525</v>
      </c>
      <c r="B1344" t="s">
        <v>2577</v>
      </c>
      <c r="C1344" t="s">
        <v>1225</v>
      </c>
      <c r="D1344" s="13">
        <v>180000</v>
      </c>
      <c r="F1344" s="10">
        <v>30682</v>
      </c>
      <c r="G1344">
        <v>40</v>
      </c>
      <c r="H1344">
        <v>15</v>
      </c>
      <c r="I1344" t="s">
        <v>1198</v>
      </c>
    </row>
    <row r="1345" spans="1:12" x14ac:dyDescent="0.25">
      <c r="A1345" t="s">
        <v>525</v>
      </c>
      <c r="B1345" t="s">
        <v>2578</v>
      </c>
      <c r="C1345" t="s">
        <v>1222</v>
      </c>
      <c r="F1345" s="10">
        <v>30682</v>
      </c>
      <c r="G1345">
        <v>40</v>
      </c>
      <c r="H1345">
        <v>15</v>
      </c>
      <c r="I1345" t="s">
        <v>1198</v>
      </c>
    </row>
    <row r="1346" spans="1:12" x14ac:dyDescent="0.25">
      <c r="A1346" t="s">
        <v>525</v>
      </c>
      <c r="B1346" t="s">
        <v>2579</v>
      </c>
      <c r="C1346" t="s">
        <v>1238</v>
      </c>
      <c r="D1346" s="13">
        <v>60000</v>
      </c>
      <c r="F1346" s="10">
        <v>40269</v>
      </c>
      <c r="G1346">
        <v>14</v>
      </c>
      <c r="H1346">
        <v>15</v>
      </c>
      <c r="I1346" t="s">
        <v>1199</v>
      </c>
    </row>
    <row r="1347" spans="1:12" x14ac:dyDescent="0.25">
      <c r="A1347" t="s">
        <v>525</v>
      </c>
      <c r="B1347" t="s">
        <v>2580</v>
      </c>
      <c r="C1347" t="s">
        <v>1222</v>
      </c>
      <c r="D1347">
        <v>17</v>
      </c>
      <c r="F1347" s="10">
        <v>43770</v>
      </c>
      <c r="G1347">
        <v>4</v>
      </c>
      <c r="H1347">
        <v>15</v>
      </c>
      <c r="I1347" t="s">
        <v>1199</v>
      </c>
    </row>
    <row r="1348" spans="1:12" x14ac:dyDescent="0.25">
      <c r="A1348" t="s">
        <v>525</v>
      </c>
      <c r="B1348" t="s">
        <v>2581</v>
      </c>
      <c r="C1348" t="s">
        <v>1225</v>
      </c>
      <c r="I1348" t="s">
        <v>1198</v>
      </c>
    </row>
    <row r="1349" spans="1:12" x14ac:dyDescent="0.25">
      <c r="A1349" t="s">
        <v>525</v>
      </c>
      <c r="B1349" t="s">
        <v>2582</v>
      </c>
      <c r="C1349" t="s">
        <v>1222</v>
      </c>
      <c r="I1349" t="s">
        <v>1198</v>
      </c>
    </row>
    <row r="1350" spans="1:12" x14ac:dyDescent="0.25">
      <c r="A1350" t="s">
        <v>447</v>
      </c>
      <c r="B1350" t="s">
        <v>2583</v>
      </c>
      <c r="C1350" t="s">
        <v>1238</v>
      </c>
      <c r="D1350" s="13">
        <v>24000</v>
      </c>
      <c r="F1350" s="10">
        <v>32933</v>
      </c>
      <c r="G1350">
        <v>34</v>
      </c>
      <c r="H1350">
        <v>15</v>
      </c>
      <c r="I1350" t="s">
        <v>1198</v>
      </c>
    </row>
    <row r="1351" spans="1:12" x14ac:dyDescent="0.25">
      <c r="A1351" t="s">
        <v>447</v>
      </c>
      <c r="B1351" t="s">
        <v>2584</v>
      </c>
      <c r="C1351" t="s">
        <v>1238</v>
      </c>
      <c r="D1351" s="13">
        <v>18000</v>
      </c>
      <c r="I1351" t="s">
        <v>1198</v>
      </c>
    </row>
    <row r="1352" spans="1:12" x14ac:dyDescent="0.25">
      <c r="A1352" t="s">
        <v>271</v>
      </c>
      <c r="B1352" t="s">
        <v>2585</v>
      </c>
      <c r="C1352" t="s">
        <v>1218</v>
      </c>
      <c r="E1352">
        <v>100</v>
      </c>
      <c r="F1352" s="10">
        <v>33970</v>
      </c>
      <c r="G1352">
        <v>31</v>
      </c>
      <c r="H1352">
        <v>25</v>
      </c>
      <c r="I1352" t="s">
        <v>1198</v>
      </c>
      <c r="J1352" t="s">
        <v>1219</v>
      </c>
      <c r="K1352" t="s">
        <v>1234</v>
      </c>
      <c r="L1352">
        <v>877</v>
      </c>
    </row>
    <row r="1353" spans="1:12" x14ac:dyDescent="0.25">
      <c r="A1353" t="s">
        <v>271</v>
      </c>
      <c r="B1353" t="s">
        <v>2586</v>
      </c>
      <c r="C1353" t="s">
        <v>1218</v>
      </c>
      <c r="E1353">
        <v>50</v>
      </c>
      <c r="I1353" t="s">
        <v>1198</v>
      </c>
      <c r="J1353" t="s">
        <v>1341</v>
      </c>
      <c r="K1353" t="s">
        <v>1234</v>
      </c>
      <c r="L1353">
        <v>330.2</v>
      </c>
    </row>
    <row r="1354" spans="1:12" x14ac:dyDescent="0.25">
      <c r="A1354" t="s">
        <v>271</v>
      </c>
      <c r="B1354" t="s">
        <v>2587</v>
      </c>
      <c r="C1354" t="s">
        <v>1222</v>
      </c>
      <c r="D1354" s="13">
        <v>60000</v>
      </c>
      <c r="I1354" t="s">
        <v>1198</v>
      </c>
    </row>
    <row r="1355" spans="1:12" x14ac:dyDescent="0.25">
      <c r="A1355" t="s">
        <v>271</v>
      </c>
      <c r="B1355" t="s">
        <v>2588</v>
      </c>
      <c r="C1355" t="s">
        <v>1222</v>
      </c>
      <c r="D1355" s="13">
        <v>42000</v>
      </c>
      <c r="I1355" t="s">
        <v>1198</v>
      </c>
    </row>
    <row r="1356" spans="1:12" x14ac:dyDescent="0.25">
      <c r="A1356" t="s">
        <v>271</v>
      </c>
      <c r="B1356" t="s">
        <v>2589</v>
      </c>
      <c r="C1356" t="s">
        <v>1222</v>
      </c>
      <c r="I1356" t="s">
        <v>1198</v>
      </c>
    </row>
    <row r="1357" spans="1:12" x14ac:dyDescent="0.25">
      <c r="A1357" t="s">
        <v>271</v>
      </c>
      <c r="B1357" t="s">
        <v>2590</v>
      </c>
      <c r="C1357" t="s">
        <v>1222</v>
      </c>
      <c r="D1357" s="13">
        <v>48000</v>
      </c>
      <c r="I1357" t="s">
        <v>1198</v>
      </c>
    </row>
    <row r="1358" spans="1:12" x14ac:dyDescent="0.25">
      <c r="A1358" t="s">
        <v>271</v>
      </c>
      <c r="B1358" t="s">
        <v>2591</v>
      </c>
      <c r="C1358" t="s">
        <v>1222</v>
      </c>
      <c r="D1358" s="13">
        <v>90000</v>
      </c>
      <c r="I1358" t="s">
        <v>1198</v>
      </c>
    </row>
    <row r="1359" spans="1:12" x14ac:dyDescent="0.25">
      <c r="A1359" t="s">
        <v>271</v>
      </c>
      <c r="B1359" t="s">
        <v>2592</v>
      </c>
      <c r="C1359" t="s">
        <v>1225</v>
      </c>
      <c r="D1359" s="13">
        <v>90000</v>
      </c>
      <c r="F1359" s="10">
        <v>41518</v>
      </c>
      <c r="G1359">
        <v>11</v>
      </c>
      <c r="H1359">
        <v>15</v>
      </c>
      <c r="I1359" t="s">
        <v>1199</v>
      </c>
    </row>
    <row r="1360" spans="1:12" x14ac:dyDescent="0.25">
      <c r="A1360" t="s">
        <v>271</v>
      </c>
      <c r="B1360" t="s">
        <v>2593</v>
      </c>
      <c r="C1360" t="s">
        <v>1296</v>
      </c>
      <c r="D1360" s="13">
        <v>60000</v>
      </c>
      <c r="I1360" t="s">
        <v>1198</v>
      </c>
    </row>
    <row r="1361" spans="1:9" x14ac:dyDescent="0.25">
      <c r="A1361" t="s">
        <v>271</v>
      </c>
      <c r="B1361" t="s">
        <v>2594</v>
      </c>
      <c r="C1361" t="s">
        <v>1296</v>
      </c>
      <c r="I1361" t="s">
        <v>1198</v>
      </c>
    </row>
    <row r="1362" spans="1:9" x14ac:dyDescent="0.25">
      <c r="A1362" t="s">
        <v>271</v>
      </c>
      <c r="B1362" t="s">
        <v>2595</v>
      </c>
      <c r="C1362" t="s">
        <v>1296</v>
      </c>
      <c r="I1362" t="s">
        <v>1198</v>
      </c>
    </row>
    <row r="1363" spans="1:9" x14ac:dyDescent="0.25">
      <c r="A1363" t="s">
        <v>271</v>
      </c>
      <c r="B1363" t="s">
        <v>2596</v>
      </c>
      <c r="C1363" t="s">
        <v>1296</v>
      </c>
      <c r="D1363" s="13">
        <v>60000</v>
      </c>
      <c r="I1363" t="s">
        <v>1198</v>
      </c>
    </row>
    <row r="1364" spans="1:9" x14ac:dyDescent="0.25">
      <c r="A1364" t="s">
        <v>271</v>
      </c>
      <c r="B1364" t="s">
        <v>2597</v>
      </c>
      <c r="C1364" t="s">
        <v>1222</v>
      </c>
      <c r="I1364" t="s">
        <v>1198</v>
      </c>
    </row>
    <row r="1365" spans="1:9" x14ac:dyDescent="0.25">
      <c r="A1365" t="s">
        <v>271</v>
      </c>
      <c r="B1365" t="s">
        <v>2598</v>
      </c>
      <c r="C1365" t="s">
        <v>1225</v>
      </c>
      <c r="D1365" s="13">
        <v>60000</v>
      </c>
      <c r="F1365" s="10">
        <v>45866</v>
      </c>
      <c r="I1365" t="s">
        <v>1198</v>
      </c>
    </row>
    <row r="1366" spans="1:9" x14ac:dyDescent="0.25">
      <c r="A1366" t="s">
        <v>271</v>
      </c>
      <c r="B1366" t="s">
        <v>2599</v>
      </c>
      <c r="C1366" t="s">
        <v>1222</v>
      </c>
      <c r="D1366" s="13">
        <v>60000</v>
      </c>
      <c r="F1366" s="10">
        <v>45866</v>
      </c>
      <c r="I1366" t="s">
        <v>1198</v>
      </c>
    </row>
    <row r="1367" spans="1:9" x14ac:dyDescent="0.25">
      <c r="A1367" t="s">
        <v>271</v>
      </c>
      <c r="B1367" t="s">
        <v>2600</v>
      </c>
      <c r="C1367" t="s">
        <v>1222</v>
      </c>
      <c r="F1367" s="10">
        <v>45979</v>
      </c>
      <c r="I1367" t="s">
        <v>1198</v>
      </c>
    </row>
    <row r="1368" spans="1:9" x14ac:dyDescent="0.25">
      <c r="A1368" t="s">
        <v>271</v>
      </c>
      <c r="B1368" t="s">
        <v>2601</v>
      </c>
      <c r="C1368" t="s">
        <v>1225</v>
      </c>
      <c r="F1368" s="10">
        <v>45979</v>
      </c>
      <c r="I1368" t="s">
        <v>1198</v>
      </c>
    </row>
    <row r="1369" spans="1:9" x14ac:dyDescent="0.25">
      <c r="A1369" t="s">
        <v>271</v>
      </c>
      <c r="B1369" t="s">
        <v>2602</v>
      </c>
      <c r="C1369" t="s">
        <v>1225</v>
      </c>
      <c r="I1369" t="s">
        <v>1198</v>
      </c>
    </row>
    <row r="1370" spans="1:9" x14ac:dyDescent="0.25">
      <c r="A1370" t="s">
        <v>271</v>
      </c>
      <c r="B1370" t="s">
        <v>2603</v>
      </c>
      <c r="C1370" t="s">
        <v>1225</v>
      </c>
      <c r="I1370" t="s">
        <v>1198</v>
      </c>
    </row>
    <row r="1371" spans="1:9" x14ac:dyDescent="0.25">
      <c r="A1371" t="s">
        <v>271</v>
      </c>
      <c r="B1371" t="s">
        <v>2604</v>
      </c>
      <c r="C1371" t="s">
        <v>1225</v>
      </c>
      <c r="I1371" t="s">
        <v>1198</v>
      </c>
    </row>
    <row r="1372" spans="1:9" x14ac:dyDescent="0.25">
      <c r="A1372" t="s">
        <v>271</v>
      </c>
      <c r="B1372" t="s">
        <v>2605</v>
      </c>
      <c r="C1372" t="s">
        <v>1225</v>
      </c>
      <c r="I1372" t="s">
        <v>1198</v>
      </c>
    </row>
    <row r="1373" spans="1:9" x14ac:dyDescent="0.25">
      <c r="A1373" t="s">
        <v>271</v>
      </c>
      <c r="B1373" t="s">
        <v>2606</v>
      </c>
      <c r="C1373" t="s">
        <v>1225</v>
      </c>
      <c r="I1373" t="s">
        <v>1198</v>
      </c>
    </row>
    <row r="1374" spans="1:9" x14ac:dyDescent="0.25">
      <c r="A1374" t="s">
        <v>271</v>
      </c>
      <c r="B1374" t="s">
        <v>2607</v>
      </c>
      <c r="C1374" t="s">
        <v>1225</v>
      </c>
      <c r="I1374" t="s">
        <v>1198</v>
      </c>
    </row>
    <row r="1375" spans="1:9" x14ac:dyDescent="0.25">
      <c r="A1375" t="s">
        <v>271</v>
      </c>
      <c r="B1375" t="s">
        <v>2608</v>
      </c>
      <c r="C1375" t="s">
        <v>1222</v>
      </c>
      <c r="I1375" t="s">
        <v>1198</v>
      </c>
    </row>
    <row r="1376" spans="1:9" x14ac:dyDescent="0.25">
      <c r="A1376" t="s">
        <v>271</v>
      </c>
      <c r="B1376" t="s">
        <v>2609</v>
      </c>
      <c r="C1376" t="s">
        <v>1222</v>
      </c>
      <c r="I1376" t="s">
        <v>1198</v>
      </c>
    </row>
    <row r="1377" spans="1:12" x14ac:dyDescent="0.25">
      <c r="A1377" t="s">
        <v>271</v>
      </c>
      <c r="B1377" t="s">
        <v>2610</v>
      </c>
      <c r="C1377" t="s">
        <v>1225</v>
      </c>
      <c r="I1377" t="s">
        <v>1198</v>
      </c>
    </row>
    <row r="1378" spans="1:12" x14ac:dyDescent="0.25">
      <c r="A1378" t="s">
        <v>271</v>
      </c>
      <c r="B1378" t="s">
        <v>2611</v>
      </c>
      <c r="C1378" t="s">
        <v>1225</v>
      </c>
      <c r="I1378" t="s">
        <v>1198</v>
      </c>
    </row>
    <row r="1379" spans="1:12" x14ac:dyDescent="0.25">
      <c r="A1379" t="s">
        <v>271</v>
      </c>
      <c r="B1379" t="s">
        <v>2612</v>
      </c>
      <c r="C1379" t="s">
        <v>1222</v>
      </c>
      <c r="I1379" t="s">
        <v>1198</v>
      </c>
    </row>
    <row r="1380" spans="1:12" x14ac:dyDescent="0.25">
      <c r="A1380" t="s">
        <v>271</v>
      </c>
      <c r="B1380" t="s">
        <v>2613</v>
      </c>
      <c r="C1380" t="s">
        <v>1225</v>
      </c>
      <c r="I1380" t="s">
        <v>1198</v>
      </c>
    </row>
    <row r="1381" spans="1:12" x14ac:dyDescent="0.25">
      <c r="A1381" t="s">
        <v>276</v>
      </c>
      <c r="B1381" t="s">
        <v>2614</v>
      </c>
      <c r="C1381" t="s">
        <v>1218</v>
      </c>
      <c r="E1381">
        <v>500</v>
      </c>
      <c r="F1381" s="10">
        <v>35370</v>
      </c>
      <c r="G1381">
        <v>27</v>
      </c>
      <c r="H1381">
        <v>25</v>
      </c>
      <c r="I1381" t="s">
        <v>1198</v>
      </c>
      <c r="J1381" t="s">
        <v>1219</v>
      </c>
      <c r="K1381" t="s">
        <v>1234</v>
      </c>
      <c r="L1381">
        <v>360.6</v>
      </c>
    </row>
    <row r="1382" spans="1:12" x14ac:dyDescent="0.25">
      <c r="A1382" t="s">
        <v>276</v>
      </c>
      <c r="B1382" t="s">
        <v>2615</v>
      </c>
      <c r="C1382" t="s">
        <v>1222</v>
      </c>
      <c r="D1382" s="13">
        <v>90000</v>
      </c>
      <c r="I1382" t="s">
        <v>1198</v>
      </c>
    </row>
    <row r="1383" spans="1:12" x14ac:dyDescent="0.25">
      <c r="A1383" t="s">
        <v>276</v>
      </c>
      <c r="B1383" t="s">
        <v>2616</v>
      </c>
      <c r="C1383" t="s">
        <v>1222</v>
      </c>
      <c r="D1383" s="13">
        <v>240000</v>
      </c>
      <c r="I1383" t="s">
        <v>1198</v>
      </c>
    </row>
    <row r="1384" spans="1:12" x14ac:dyDescent="0.25">
      <c r="A1384" t="s">
        <v>276</v>
      </c>
      <c r="B1384" t="s">
        <v>2617</v>
      </c>
      <c r="C1384" t="s">
        <v>1222</v>
      </c>
      <c r="D1384" s="13">
        <v>240000</v>
      </c>
      <c r="I1384" t="s">
        <v>1198</v>
      </c>
    </row>
    <row r="1385" spans="1:12" x14ac:dyDescent="0.25">
      <c r="A1385" t="s">
        <v>276</v>
      </c>
      <c r="B1385" t="s">
        <v>2618</v>
      </c>
      <c r="C1385" t="s">
        <v>1222</v>
      </c>
      <c r="F1385" s="10">
        <v>32843</v>
      </c>
      <c r="G1385">
        <v>34</v>
      </c>
      <c r="H1385">
        <v>15</v>
      </c>
      <c r="I1385" t="s">
        <v>1198</v>
      </c>
    </row>
    <row r="1386" spans="1:12" x14ac:dyDescent="0.25">
      <c r="A1386" t="s">
        <v>276</v>
      </c>
      <c r="B1386" t="s">
        <v>2619</v>
      </c>
      <c r="C1386" t="s">
        <v>1296</v>
      </c>
      <c r="I1386" t="s">
        <v>1198</v>
      </c>
    </row>
    <row r="1387" spans="1:12" x14ac:dyDescent="0.25">
      <c r="A1387" t="s">
        <v>276</v>
      </c>
      <c r="B1387" t="s">
        <v>2620</v>
      </c>
      <c r="C1387" t="s">
        <v>1222</v>
      </c>
      <c r="I1387" t="s">
        <v>1198</v>
      </c>
    </row>
    <row r="1388" spans="1:12" x14ac:dyDescent="0.25">
      <c r="A1388" t="s">
        <v>276</v>
      </c>
      <c r="B1388" t="s">
        <v>2621</v>
      </c>
      <c r="C1388" t="s">
        <v>1225</v>
      </c>
      <c r="D1388" s="13">
        <v>260000</v>
      </c>
      <c r="I1388" t="s">
        <v>1198</v>
      </c>
    </row>
    <row r="1389" spans="1:12" x14ac:dyDescent="0.25">
      <c r="A1389" t="s">
        <v>276</v>
      </c>
      <c r="B1389" t="s">
        <v>2622</v>
      </c>
      <c r="C1389" t="s">
        <v>1225</v>
      </c>
      <c r="D1389" s="13">
        <v>240000</v>
      </c>
      <c r="I1389" t="s">
        <v>1198</v>
      </c>
    </row>
    <row r="1390" spans="1:12" x14ac:dyDescent="0.25">
      <c r="A1390" t="s">
        <v>276</v>
      </c>
      <c r="B1390" t="s">
        <v>2623</v>
      </c>
      <c r="C1390" t="s">
        <v>1222</v>
      </c>
      <c r="D1390" s="13">
        <v>240000</v>
      </c>
      <c r="I1390" t="s">
        <v>1198</v>
      </c>
    </row>
    <row r="1391" spans="1:12" x14ac:dyDescent="0.25">
      <c r="A1391" t="s">
        <v>276</v>
      </c>
      <c r="B1391" t="s">
        <v>2624</v>
      </c>
      <c r="C1391" t="s">
        <v>1225</v>
      </c>
      <c r="I1391" t="s">
        <v>1198</v>
      </c>
    </row>
    <row r="1392" spans="1:12" x14ac:dyDescent="0.25">
      <c r="A1392" t="s">
        <v>276</v>
      </c>
      <c r="B1392" t="s">
        <v>2625</v>
      </c>
      <c r="C1392" t="s">
        <v>1296</v>
      </c>
      <c r="D1392" s="13">
        <v>180000</v>
      </c>
      <c r="I1392" t="s">
        <v>1198</v>
      </c>
    </row>
    <row r="1393" spans="1:12" x14ac:dyDescent="0.25">
      <c r="A1393" t="s">
        <v>276</v>
      </c>
      <c r="B1393" t="s">
        <v>2626</v>
      </c>
      <c r="C1393" t="s">
        <v>1225</v>
      </c>
      <c r="D1393" s="13">
        <v>180000</v>
      </c>
      <c r="F1393" s="10">
        <v>42370</v>
      </c>
      <c r="G1393">
        <v>8</v>
      </c>
      <c r="H1393">
        <v>15</v>
      </c>
      <c r="I1393" t="s">
        <v>1199</v>
      </c>
    </row>
    <row r="1394" spans="1:12" x14ac:dyDescent="0.25">
      <c r="A1394" t="s">
        <v>276</v>
      </c>
      <c r="B1394" t="s">
        <v>2627</v>
      </c>
      <c r="C1394" t="s">
        <v>1222</v>
      </c>
      <c r="D1394" s="13">
        <v>180000</v>
      </c>
      <c r="F1394" s="10">
        <v>42370</v>
      </c>
      <c r="G1394">
        <v>8</v>
      </c>
      <c r="H1394">
        <v>15</v>
      </c>
      <c r="I1394" t="s">
        <v>1199</v>
      </c>
    </row>
    <row r="1395" spans="1:12" x14ac:dyDescent="0.25">
      <c r="A1395" t="s">
        <v>276</v>
      </c>
      <c r="B1395" t="s">
        <v>2628</v>
      </c>
      <c r="C1395" t="s">
        <v>1225</v>
      </c>
      <c r="D1395" s="13">
        <v>240000</v>
      </c>
      <c r="F1395" s="10">
        <v>42979</v>
      </c>
      <c r="G1395">
        <v>7</v>
      </c>
      <c r="H1395">
        <v>15</v>
      </c>
      <c r="I1395" t="s">
        <v>1199</v>
      </c>
    </row>
    <row r="1396" spans="1:12" x14ac:dyDescent="0.25">
      <c r="A1396" t="s">
        <v>276</v>
      </c>
      <c r="B1396" t="s">
        <v>2629</v>
      </c>
      <c r="C1396" t="s">
        <v>1222</v>
      </c>
      <c r="D1396" s="13">
        <v>240000</v>
      </c>
      <c r="F1396" s="10">
        <v>42979</v>
      </c>
      <c r="G1396">
        <v>7</v>
      </c>
      <c r="H1396">
        <v>15</v>
      </c>
      <c r="I1396" t="s">
        <v>1199</v>
      </c>
    </row>
    <row r="1397" spans="1:12" x14ac:dyDescent="0.25">
      <c r="A1397" t="s">
        <v>276</v>
      </c>
      <c r="B1397" t="s">
        <v>2630</v>
      </c>
      <c r="C1397" t="s">
        <v>1222</v>
      </c>
      <c r="D1397" s="13">
        <v>240000</v>
      </c>
      <c r="F1397" s="10">
        <v>43217</v>
      </c>
      <c r="G1397">
        <v>6</v>
      </c>
      <c r="H1397">
        <v>15</v>
      </c>
      <c r="I1397" t="s">
        <v>1199</v>
      </c>
    </row>
    <row r="1398" spans="1:12" x14ac:dyDescent="0.25">
      <c r="A1398" t="s">
        <v>276</v>
      </c>
      <c r="B1398" t="s">
        <v>2631</v>
      </c>
      <c r="C1398" t="s">
        <v>1222</v>
      </c>
      <c r="I1398" t="s">
        <v>1198</v>
      </c>
    </row>
    <row r="1399" spans="1:12" x14ac:dyDescent="0.25">
      <c r="A1399" t="s">
        <v>276</v>
      </c>
      <c r="B1399" t="s">
        <v>2632</v>
      </c>
      <c r="C1399" t="s">
        <v>1222</v>
      </c>
      <c r="I1399" t="s">
        <v>1198</v>
      </c>
    </row>
    <row r="1400" spans="1:12" x14ac:dyDescent="0.25">
      <c r="A1400" t="s">
        <v>276</v>
      </c>
      <c r="B1400" t="s">
        <v>2633</v>
      </c>
      <c r="C1400" t="s">
        <v>1225</v>
      </c>
      <c r="I1400" t="s">
        <v>1198</v>
      </c>
    </row>
    <row r="1401" spans="1:12" x14ac:dyDescent="0.25">
      <c r="A1401" t="s">
        <v>276</v>
      </c>
      <c r="B1401" t="s">
        <v>2634</v>
      </c>
      <c r="C1401" t="s">
        <v>1225</v>
      </c>
      <c r="I1401" t="s">
        <v>1198</v>
      </c>
    </row>
    <row r="1402" spans="1:12" x14ac:dyDescent="0.25">
      <c r="A1402" t="s">
        <v>276</v>
      </c>
      <c r="B1402" t="s">
        <v>2635</v>
      </c>
      <c r="C1402" t="s">
        <v>1222</v>
      </c>
      <c r="D1402" s="13">
        <v>240000</v>
      </c>
      <c r="I1402" t="s">
        <v>1198</v>
      </c>
    </row>
    <row r="1403" spans="1:12" x14ac:dyDescent="0.25">
      <c r="A1403" t="s">
        <v>276</v>
      </c>
      <c r="B1403" t="s">
        <v>2636</v>
      </c>
      <c r="C1403" t="s">
        <v>1296</v>
      </c>
      <c r="D1403" s="13">
        <v>180000</v>
      </c>
      <c r="I1403" t="s">
        <v>1198</v>
      </c>
    </row>
    <row r="1404" spans="1:12" x14ac:dyDescent="0.25">
      <c r="A1404" t="s">
        <v>276</v>
      </c>
      <c r="B1404" t="s">
        <v>2637</v>
      </c>
      <c r="C1404" t="s">
        <v>1222</v>
      </c>
      <c r="I1404" t="s">
        <v>1198</v>
      </c>
    </row>
    <row r="1405" spans="1:12" x14ac:dyDescent="0.25">
      <c r="A1405" t="s">
        <v>276</v>
      </c>
      <c r="B1405" t="s">
        <v>2638</v>
      </c>
      <c r="C1405" t="s">
        <v>1225</v>
      </c>
      <c r="I1405" t="s">
        <v>1198</v>
      </c>
    </row>
    <row r="1406" spans="1:12" x14ac:dyDescent="0.25">
      <c r="A1406" t="s">
        <v>960</v>
      </c>
      <c r="B1406" t="s">
        <v>2639</v>
      </c>
      <c r="C1406" t="s">
        <v>1218</v>
      </c>
      <c r="E1406">
        <v>300</v>
      </c>
      <c r="F1406" s="10">
        <v>31048</v>
      </c>
      <c r="G1406">
        <v>39</v>
      </c>
      <c r="H1406">
        <v>25</v>
      </c>
      <c r="I1406" t="s">
        <v>1198</v>
      </c>
      <c r="J1406" t="s">
        <v>1219</v>
      </c>
      <c r="K1406" t="s">
        <v>1234</v>
      </c>
      <c r="L1406">
        <v>449</v>
      </c>
    </row>
    <row r="1407" spans="1:12" x14ac:dyDescent="0.25">
      <c r="A1407" t="s">
        <v>960</v>
      </c>
      <c r="B1407" t="s">
        <v>2640</v>
      </c>
      <c r="C1407" t="s">
        <v>1222</v>
      </c>
      <c r="D1407" s="13">
        <v>36000</v>
      </c>
      <c r="F1407" s="10">
        <v>33239</v>
      </c>
      <c r="G1407">
        <v>33</v>
      </c>
      <c r="H1407">
        <v>15</v>
      </c>
      <c r="I1407" t="s">
        <v>1198</v>
      </c>
    </row>
    <row r="1408" spans="1:12" x14ac:dyDescent="0.25">
      <c r="A1408" t="s">
        <v>960</v>
      </c>
      <c r="B1408" t="s">
        <v>2641</v>
      </c>
      <c r="C1408" t="s">
        <v>1225</v>
      </c>
      <c r="G1408">
        <v>25</v>
      </c>
      <c r="H1408">
        <v>15</v>
      </c>
      <c r="I1408" t="s">
        <v>1198</v>
      </c>
    </row>
    <row r="1409" spans="1:9" x14ac:dyDescent="0.25">
      <c r="A1409" t="s">
        <v>960</v>
      </c>
      <c r="B1409" t="s">
        <v>2642</v>
      </c>
      <c r="C1409" t="s">
        <v>1222</v>
      </c>
      <c r="D1409" s="13">
        <v>60000</v>
      </c>
      <c r="F1409" s="10">
        <v>39814</v>
      </c>
      <c r="G1409">
        <v>15</v>
      </c>
      <c r="H1409">
        <v>15</v>
      </c>
      <c r="I1409" t="s">
        <v>1198</v>
      </c>
    </row>
    <row r="1410" spans="1:9" x14ac:dyDescent="0.25">
      <c r="A1410" t="s">
        <v>960</v>
      </c>
      <c r="B1410" t="s">
        <v>2643</v>
      </c>
      <c r="C1410" t="s">
        <v>1225</v>
      </c>
      <c r="F1410" s="10">
        <v>40179</v>
      </c>
      <c r="G1410">
        <v>14</v>
      </c>
      <c r="H1410">
        <v>15</v>
      </c>
      <c r="I1410" t="s">
        <v>1199</v>
      </c>
    </row>
    <row r="1411" spans="1:9" x14ac:dyDescent="0.25">
      <c r="A1411" t="s">
        <v>960</v>
      </c>
      <c r="B1411" t="s">
        <v>2644</v>
      </c>
      <c r="C1411" t="s">
        <v>1222</v>
      </c>
      <c r="D1411" s="13">
        <v>120000</v>
      </c>
      <c r="F1411" s="10">
        <v>33239</v>
      </c>
      <c r="G1411">
        <v>33</v>
      </c>
      <c r="H1411">
        <v>15</v>
      </c>
      <c r="I1411" t="s">
        <v>1198</v>
      </c>
    </row>
    <row r="1412" spans="1:9" x14ac:dyDescent="0.25">
      <c r="A1412" t="s">
        <v>960</v>
      </c>
      <c r="B1412" t="s">
        <v>2645</v>
      </c>
      <c r="C1412" t="s">
        <v>1225</v>
      </c>
      <c r="D1412" s="13">
        <v>120000</v>
      </c>
      <c r="F1412" s="10">
        <v>31048</v>
      </c>
      <c r="G1412">
        <v>39</v>
      </c>
      <c r="H1412">
        <v>15</v>
      </c>
      <c r="I1412" t="s">
        <v>1198</v>
      </c>
    </row>
    <row r="1413" spans="1:9" x14ac:dyDescent="0.25">
      <c r="A1413" t="s">
        <v>960</v>
      </c>
      <c r="B1413" t="s">
        <v>2646</v>
      </c>
      <c r="C1413" t="s">
        <v>1225</v>
      </c>
      <c r="D1413" s="13">
        <v>240000</v>
      </c>
      <c r="F1413" s="10">
        <v>42370</v>
      </c>
      <c r="G1413">
        <v>8</v>
      </c>
      <c r="H1413">
        <v>15</v>
      </c>
      <c r="I1413" t="s">
        <v>1199</v>
      </c>
    </row>
    <row r="1414" spans="1:9" x14ac:dyDescent="0.25">
      <c r="A1414" t="s">
        <v>960</v>
      </c>
      <c r="B1414" t="s">
        <v>2647</v>
      </c>
      <c r="C1414" t="s">
        <v>1225</v>
      </c>
      <c r="D1414" s="13">
        <v>240000</v>
      </c>
      <c r="F1414" s="10">
        <v>42370</v>
      </c>
      <c r="G1414">
        <v>8</v>
      </c>
      <c r="H1414">
        <v>15</v>
      </c>
      <c r="I1414" t="s">
        <v>1199</v>
      </c>
    </row>
    <row r="1415" spans="1:9" x14ac:dyDescent="0.25">
      <c r="A1415" t="s">
        <v>960</v>
      </c>
      <c r="B1415" t="s">
        <v>2648</v>
      </c>
      <c r="C1415" t="s">
        <v>1222</v>
      </c>
      <c r="D1415" s="13">
        <v>240000</v>
      </c>
      <c r="I1415" t="s">
        <v>1198</v>
      </c>
    </row>
    <row r="1416" spans="1:9" x14ac:dyDescent="0.25">
      <c r="A1416" t="s">
        <v>960</v>
      </c>
      <c r="B1416" t="s">
        <v>2649</v>
      </c>
      <c r="C1416" t="s">
        <v>1222</v>
      </c>
      <c r="D1416" s="13">
        <v>240000</v>
      </c>
      <c r="F1416" s="10">
        <v>32874</v>
      </c>
      <c r="G1416">
        <v>34</v>
      </c>
      <c r="H1416">
        <v>15</v>
      </c>
      <c r="I1416" t="s">
        <v>1198</v>
      </c>
    </row>
    <row r="1417" spans="1:9" x14ac:dyDescent="0.25">
      <c r="A1417" t="s">
        <v>960</v>
      </c>
      <c r="B1417" t="s">
        <v>2650</v>
      </c>
      <c r="C1417" t="s">
        <v>1238</v>
      </c>
      <c r="D1417" s="13">
        <v>24000</v>
      </c>
      <c r="F1417" s="10">
        <v>34335</v>
      </c>
      <c r="G1417">
        <v>30</v>
      </c>
      <c r="H1417">
        <v>15</v>
      </c>
      <c r="I1417" t="s">
        <v>1198</v>
      </c>
    </row>
    <row r="1418" spans="1:9" x14ac:dyDescent="0.25">
      <c r="A1418" t="s">
        <v>960</v>
      </c>
      <c r="B1418" t="s">
        <v>2651</v>
      </c>
      <c r="C1418" t="s">
        <v>1225</v>
      </c>
      <c r="F1418" s="10">
        <v>42370</v>
      </c>
      <c r="G1418">
        <v>8</v>
      </c>
      <c r="H1418">
        <v>15</v>
      </c>
      <c r="I1418" t="s">
        <v>1199</v>
      </c>
    </row>
    <row r="1419" spans="1:9" x14ac:dyDescent="0.25">
      <c r="A1419" t="s">
        <v>960</v>
      </c>
      <c r="B1419" t="s">
        <v>2652</v>
      </c>
      <c r="C1419" t="s">
        <v>1222</v>
      </c>
      <c r="I1419" t="s">
        <v>1198</v>
      </c>
    </row>
    <row r="1420" spans="1:9" x14ac:dyDescent="0.25">
      <c r="A1420" t="s">
        <v>960</v>
      </c>
      <c r="B1420" t="s">
        <v>2653</v>
      </c>
      <c r="C1420" t="s">
        <v>1225</v>
      </c>
      <c r="I1420" t="s">
        <v>1198</v>
      </c>
    </row>
    <row r="1421" spans="1:9" x14ac:dyDescent="0.25">
      <c r="A1421" t="s">
        <v>960</v>
      </c>
      <c r="B1421" t="s">
        <v>2654</v>
      </c>
      <c r="C1421" t="s">
        <v>1222</v>
      </c>
      <c r="I1421" t="s">
        <v>1198</v>
      </c>
    </row>
    <row r="1422" spans="1:9" x14ac:dyDescent="0.25">
      <c r="A1422" t="s">
        <v>960</v>
      </c>
      <c r="B1422" t="s">
        <v>2655</v>
      </c>
      <c r="C1422" t="s">
        <v>1225</v>
      </c>
      <c r="I1422" t="s">
        <v>1198</v>
      </c>
    </row>
    <row r="1423" spans="1:9" x14ac:dyDescent="0.25">
      <c r="A1423" t="s">
        <v>960</v>
      </c>
      <c r="B1423" t="s">
        <v>2656</v>
      </c>
      <c r="C1423" t="s">
        <v>1225</v>
      </c>
      <c r="I1423" t="s">
        <v>1198</v>
      </c>
    </row>
    <row r="1424" spans="1:9" x14ac:dyDescent="0.25">
      <c r="A1424" t="s">
        <v>960</v>
      </c>
      <c r="B1424" t="s">
        <v>2657</v>
      </c>
      <c r="C1424" t="s">
        <v>1222</v>
      </c>
      <c r="I1424" t="s">
        <v>1198</v>
      </c>
    </row>
    <row r="1425" spans="1:12" x14ac:dyDescent="0.25">
      <c r="A1425" t="s">
        <v>960</v>
      </c>
      <c r="B1425" t="s">
        <v>2658</v>
      </c>
      <c r="C1425" t="s">
        <v>1222</v>
      </c>
      <c r="I1425" t="s">
        <v>1198</v>
      </c>
    </row>
    <row r="1426" spans="1:12" x14ac:dyDescent="0.25">
      <c r="A1426" t="s">
        <v>960</v>
      </c>
      <c r="B1426" t="s">
        <v>2659</v>
      </c>
      <c r="C1426" t="s">
        <v>1238</v>
      </c>
      <c r="I1426" t="s">
        <v>1198</v>
      </c>
    </row>
    <row r="1427" spans="1:12" x14ac:dyDescent="0.25">
      <c r="A1427" t="s">
        <v>960</v>
      </c>
      <c r="B1427" t="s">
        <v>2660</v>
      </c>
      <c r="C1427" t="s">
        <v>1225</v>
      </c>
      <c r="I1427" t="s">
        <v>1198</v>
      </c>
    </row>
    <row r="1428" spans="1:12" x14ac:dyDescent="0.25">
      <c r="A1428" t="s">
        <v>242</v>
      </c>
      <c r="B1428" t="s">
        <v>2661</v>
      </c>
      <c r="C1428" t="s">
        <v>1218</v>
      </c>
      <c r="E1428">
        <v>100</v>
      </c>
      <c r="F1428" s="10">
        <v>33382</v>
      </c>
      <c r="G1428">
        <v>33</v>
      </c>
      <c r="H1428">
        <v>25</v>
      </c>
      <c r="I1428" t="s">
        <v>1198</v>
      </c>
      <c r="J1428" t="s">
        <v>1219</v>
      </c>
      <c r="K1428" t="s">
        <v>1220</v>
      </c>
      <c r="L1428">
        <v>1222</v>
      </c>
    </row>
    <row r="1429" spans="1:12" x14ac:dyDescent="0.25">
      <c r="A1429" t="s">
        <v>242</v>
      </c>
      <c r="B1429" t="s">
        <v>2662</v>
      </c>
      <c r="C1429" t="s">
        <v>1238</v>
      </c>
      <c r="D1429" s="13">
        <v>36000</v>
      </c>
      <c r="F1429" s="10">
        <v>33298</v>
      </c>
      <c r="G1429">
        <v>33</v>
      </c>
      <c r="H1429">
        <v>15</v>
      </c>
      <c r="I1429" t="s">
        <v>1198</v>
      </c>
    </row>
    <row r="1430" spans="1:12" x14ac:dyDescent="0.25">
      <c r="A1430" t="s">
        <v>242</v>
      </c>
      <c r="B1430" t="s">
        <v>2663</v>
      </c>
      <c r="C1430" t="s">
        <v>1222</v>
      </c>
      <c r="D1430" s="13">
        <v>60000</v>
      </c>
      <c r="F1430" s="10">
        <v>42979</v>
      </c>
      <c r="G1430">
        <v>7</v>
      </c>
      <c r="H1430">
        <v>15</v>
      </c>
      <c r="I1430" t="s">
        <v>1199</v>
      </c>
    </row>
    <row r="1431" spans="1:12" x14ac:dyDescent="0.25">
      <c r="A1431" t="s">
        <v>242</v>
      </c>
      <c r="B1431" t="s">
        <v>2664</v>
      </c>
      <c r="C1431" t="s">
        <v>1225</v>
      </c>
      <c r="D1431" s="13">
        <v>60000</v>
      </c>
      <c r="F1431" s="10">
        <v>42979</v>
      </c>
      <c r="G1431">
        <v>7</v>
      </c>
      <c r="H1431">
        <v>15</v>
      </c>
      <c r="I1431" t="s">
        <v>1199</v>
      </c>
    </row>
    <row r="1432" spans="1:12" x14ac:dyDescent="0.25">
      <c r="A1432" t="s">
        <v>242</v>
      </c>
      <c r="B1432" t="s">
        <v>2665</v>
      </c>
      <c r="C1432" t="s">
        <v>1222</v>
      </c>
      <c r="D1432" s="13">
        <v>48000</v>
      </c>
      <c r="F1432" s="10">
        <v>39448</v>
      </c>
      <c r="G1432">
        <v>16</v>
      </c>
      <c r="H1432">
        <v>15</v>
      </c>
      <c r="I1432" t="s">
        <v>1198</v>
      </c>
    </row>
    <row r="1433" spans="1:12" x14ac:dyDescent="0.25">
      <c r="A1433" t="s">
        <v>242</v>
      </c>
      <c r="B1433" t="s">
        <v>2666</v>
      </c>
      <c r="C1433" t="s">
        <v>1222</v>
      </c>
      <c r="D1433" s="13">
        <v>120000</v>
      </c>
      <c r="I1433" t="s">
        <v>1198</v>
      </c>
    </row>
    <row r="1434" spans="1:12" x14ac:dyDescent="0.25">
      <c r="A1434" t="s">
        <v>242</v>
      </c>
      <c r="B1434" t="s">
        <v>2667</v>
      </c>
      <c r="C1434" t="s">
        <v>1222</v>
      </c>
      <c r="I1434" t="s">
        <v>1198</v>
      </c>
    </row>
    <row r="1435" spans="1:12" x14ac:dyDescent="0.25">
      <c r="A1435" t="s">
        <v>242</v>
      </c>
      <c r="B1435" t="s">
        <v>2668</v>
      </c>
      <c r="C1435" t="s">
        <v>1225</v>
      </c>
      <c r="I1435" t="s">
        <v>1198</v>
      </c>
    </row>
    <row r="1436" spans="1:12" x14ac:dyDescent="0.25">
      <c r="A1436" t="s">
        <v>242</v>
      </c>
      <c r="B1436" t="s">
        <v>2669</v>
      </c>
      <c r="C1436" t="s">
        <v>1222</v>
      </c>
      <c r="D1436" s="13">
        <v>18000</v>
      </c>
      <c r="I1436" t="s">
        <v>1198</v>
      </c>
    </row>
    <row r="1437" spans="1:12" x14ac:dyDescent="0.25">
      <c r="A1437" t="s">
        <v>242</v>
      </c>
      <c r="B1437" t="s">
        <v>2670</v>
      </c>
      <c r="C1437" t="s">
        <v>1222</v>
      </c>
      <c r="I1437" t="s">
        <v>1198</v>
      </c>
    </row>
    <row r="1438" spans="1:12" x14ac:dyDescent="0.25">
      <c r="A1438" t="s">
        <v>242</v>
      </c>
      <c r="B1438" t="s">
        <v>2671</v>
      </c>
      <c r="C1438" t="s">
        <v>1225</v>
      </c>
      <c r="I1438" t="s">
        <v>1198</v>
      </c>
    </row>
    <row r="1439" spans="1:12" x14ac:dyDescent="0.25">
      <c r="A1439" t="s">
        <v>434</v>
      </c>
      <c r="B1439" t="s">
        <v>2672</v>
      </c>
      <c r="C1439" t="s">
        <v>1218</v>
      </c>
      <c r="E1439">
        <v>50</v>
      </c>
      <c r="F1439" s="10">
        <v>33323</v>
      </c>
      <c r="G1439">
        <v>33</v>
      </c>
      <c r="H1439">
        <v>25</v>
      </c>
      <c r="I1439" t="s">
        <v>1198</v>
      </c>
      <c r="J1439" t="s">
        <v>1341</v>
      </c>
      <c r="L1439">
        <v>220.4</v>
      </c>
    </row>
    <row r="1440" spans="1:12" x14ac:dyDescent="0.25">
      <c r="A1440" t="s">
        <v>434</v>
      </c>
      <c r="B1440" t="s">
        <v>2673</v>
      </c>
      <c r="C1440" t="s">
        <v>1218</v>
      </c>
      <c r="E1440">
        <v>45</v>
      </c>
      <c r="I1440" t="s">
        <v>1198</v>
      </c>
      <c r="J1440" t="s">
        <v>1341</v>
      </c>
      <c r="L1440">
        <v>345</v>
      </c>
    </row>
    <row r="1441" spans="1:12" x14ac:dyDescent="0.25">
      <c r="A1441" t="s">
        <v>434</v>
      </c>
      <c r="B1441" t="s">
        <v>2674</v>
      </c>
      <c r="C1441" t="s">
        <v>1225</v>
      </c>
      <c r="D1441" s="13">
        <v>18000</v>
      </c>
      <c r="F1441" s="10">
        <v>36069</v>
      </c>
      <c r="G1441">
        <v>26</v>
      </c>
      <c r="H1441">
        <v>15</v>
      </c>
      <c r="I1441" t="s">
        <v>1198</v>
      </c>
    </row>
    <row r="1442" spans="1:12" x14ac:dyDescent="0.25">
      <c r="A1442" t="s">
        <v>434</v>
      </c>
      <c r="B1442" t="s">
        <v>2675</v>
      </c>
      <c r="C1442" t="s">
        <v>1222</v>
      </c>
      <c r="D1442" s="13">
        <v>18000</v>
      </c>
      <c r="F1442" s="10">
        <v>41821</v>
      </c>
      <c r="G1442">
        <v>10</v>
      </c>
      <c r="H1442">
        <v>15</v>
      </c>
      <c r="I1442" t="s">
        <v>1199</v>
      </c>
    </row>
    <row r="1443" spans="1:12" x14ac:dyDescent="0.25">
      <c r="A1443" t="s">
        <v>438</v>
      </c>
      <c r="B1443" t="s">
        <v>2676</v>
      </c>
      <c r="C1443" t="s">
        <v>1218</v>
      </c>
      <c r="E1443">
        <v>75</v>
      </c>
      <c r="F1443" s="10">
        <v>28460</v>
      </c>
      <c r="G1443">
        <v>46</v>
      </c>
      <c r="H1443">
        <v>25</v>
      </c>
      <c r="I1443" t="s">
        <v>1198</v>
      </c>
      <c r="J1443" t="s">
        <v>1219</v>
      </c>
      <c r="K1443" t="s">
        <v>1220</v>
      </c>
      <c r="L1443">
        <v>662.2</v>
      </c>
    </row>
    <row r="1444" spans="1:12" x14ac:dyDescent="0.25">
      <c r="A1444" t="s">
        <v>438</v>
      </c>
      <c r="B1444" t="s">
        <v>2677</v>
      </c>
      <c r="C1444" t="s">
        <v>1225</v>
      </c>
      <c r="D1444" s="13">
        <v>60000</v>
      </c>
      <c r="F1444" s="10">
        <v>33725</v>
      </c>
      <c r="G1444">
        <v>32</v>
      </c>
      <c r="H1444">
        <v>15</v>
      </c>
      <c r="I1444" t="s">
        <v>1198</v>
      </c>
    </row>
    <row r="1445" spans="1:12" x14ac:dyDescent="0.25">
      <c r="A1445" t="s">
        <v>438</v>
      </c>
      <c r="B1445" t="s">
        <v>2678</v>
      </c>
      <c r="C1445" t="s">
        <v>1222</v>
      </c>
      <c r="D1445" s="13">
        <v>60000</v>
      </c>
      <c r="F1445" s="10">
        <v>33848</v>
      </c>
      <c r="G1445">
        <v>32</v>
      </c>
      <c r="H1445">
        <v>15</v>
      </c>
      <c r="I1445" t="s">
        <v>1198</v>
      </c>
    </row>
    <row r="1446" spans="1:12" x14ac:dyDescent="0.25">
      <c r="A1446" t="s">
        <v>438</v>
      </c>
      <c r="B1446" t="s">
        <v>2679</v>
      </c>
      <c r="C1446" t="s">
        <v>1225</v>
      </c>
      <c r="D1446" s="13">
        <v>24000</v>
      </c>
      <c r="F1446" s="10">
        <v>35278</v>
      </c>
      <c r="G1446">
        <v>28</v>
      </c>
      <c r="H1446">
        <v>15</v>
      </c>
      <c r="I1446" t="s">
        <v>1198</v>
      </c>
    </row>
    <row r="1447" spans="1:12" x14ac:dyDescent="0.25">
      <c r="A1447" t="s">
        <v>438</v>
      </c>
      <c r="B1447" t="s">
        <v>2680</v>
      </c>
      <c r="C1447" t="s">
        <v>1222</v>
      </c>
      <c r="D1447" s="13">
        <v>60000</v>
      </c>
      <c r="F1447" s="10">
        <v>35855</v>
      </c>
      <c r="G1447">
        <v>26</v>
      </c>
      <c r="H1447">
        <v>15</v>
      </c>
      <c r="I1447" t="s">
        <v>1198</v>
      </c>
    </row>
    <row r="1448" spans="1:12" x14ac:dyDescent="0.25">
      <c r="A1448" t="s">
        <v>438</v>
      </c>
      <c r="B1448" t="s">
        <v>2681</v>
      </c>
      <c r="C1448" t="s">
        <v>1225</v>
      </c>
      <c r="D1448" s="13">
        <v>60000</v>
      </c>
      <c r="F1448" s="10">
        <v>32752</v>
      </c>
      <c r="G1448">
        <v>35</v>
      </c>
      <c r="H1448">
        <v>15</v>
      </c>
      <c r="I1448" t="s">
        <v>1198</v>
      </c>
    </row>
    <row r="1449" spans="1:12" x14ac:dyDescent="0.25">
      <c r="A1449" t="s">
        <v>438</v>
      </c>
      <c r="B1449" t="s">
        <v>2682</v>
      </c>
      <c r="C1449" t="s">
        <v>1222</v>
      </c>
      <c r="D1449" s="13">
        <v>120000</v>
      </c>
      <c r="F1449" s="10">
        <v>40603</v>
      </c>
      <c r="G1449">
        <v>13</v>
      </c>
      <c r="H1449">
        <v>15</v>
      </c>
      <c r="I1449" t="s">
        <v>1199</v>
      </c>
    </row>
    <row r="1450" spans="1:12" x14ac:dyDescent="0.25">
      <c r="A1450" t="s">
        <v>438</v>
      </c>
      <c r="B1450" t="s">
        <v>2683</v>
      </c>
      <c r="C1450" t="s">
        <v>1225</v>
      </c>
      <c r="D1450" s="13">
        <v>60000</v>
      </c>
      <c r="F1450" s="10">
        <v>33725</v>
      </c>
      <c r="G1450">
        <v>32</v>
      </c>
      <c r="H1450">
        <v>15</v>
      </c>
      <c r="I1450" t="s">
        <v>1198</v>
      </c>
    </row>
    <row r="1451" spans="1:12" x14ac:dyDescent="0.25">
      <c r="A1451" t="s">
        <v>438</v>
      </c>
      <c r="B1451" t="s">
        <v>2684</v>
      </c>
      <c r="C1451" t="s">
        <v>1222</v>
      </c>
      <c r="D1451" s="13">
        <v>60000</v>
      </c>
      <c r="F1451" s="10">
        <v>33848</v>
      </c>
      <c r="G1451">
        <v>32</v>
      </c>
      <c r="H1451">
        <v>15</v>
      </c>
      <c r="I1451" t="s">
        <v>1198</v>
      </c>
    </row>
    <row r="1452" spans="1:12" x14ac:dyDescent="0.25">
      <c r="A1452" t="s">
        <v>438</v>
      </c>
      <c r="B1452" t="s">
        <v>2685</v>
      </c>
      <c r="C1452" t="s">
        <v>1296</v>
      </c>
      <c r="D1452" s="13">
        <v>60000</v>
      </c>
      <c r="F1452" s="10">
        <v>42551</v>
      </c>
      <c r="G1452">
        <v>8</v>
      </c>
      <c r="H1452">
        <v>15</v>
      </c>
      <c r="I1452" t="s">
        <v>1199</v>
      </c>
    </row>
    <row r="1453" spans="1:12" x14ac:dyDescent="0.25">
      <c r="A1453" t="s">
        <v>438</v>
      </c>
      <c r="B1453" t="s">
        <v>2686</v>
      </c>
      <c r="C1453" t="s">
        <v>1222</v>
      </c>
      <c r="D1453" s="13">
        <v>60000</v>
      </c>
      <c r="F1453" s="10">
        <v>42551</v>
      </c>
      <c r="G1453">
        <v>8</v>
      </c>
      <c r="H1453">
        <v>15</v>
      </c>
      <c r="I1453" t="s">
        <v>1199</v>
      </c>
    </row>
    <row r="1454" spans="1:12" x14ac:dyDescent="0.25">
      <c r="A1454" t="s">
        <v>438</v>
      </c>
      <c r="B1454" t="s">
        <v>2687</v>
      </c>
      <c r="C1454" t="s">
        <v>1225</v>
      </c>
      <c r="D1454" s="13">
        <v>60000</v>
      </c>
      <c r="F1454" s="10">
        <v>42551</v>
      </c>
      <c r="G1454">
        <v>8</v>
      </c>
      <c r="H1454">
        <v>15</v>
      </c>
      <c r="I1454" t="s">
        <v>1199</v>
      </c>
    </row>
    <row r="1455" spans="1:12" x14ac:dyDescent="0.25">
      <c r="A1455" t="s">
        <v>438</v>
      </c>
      <c r="B1455" t="s">
        <v>2688</v>
      </c>
      <c r="C1455" t="s">
        <v>1222</v>
      </c>
      <c r="D1455" s="13">
        <v>60000</v>
      </c>
      <c r="I1455" t="s">
        <v>1198</v>
      </c>
    </row>
    <row r="1456" spans="1:12" x14ac:dyDescent="0.25">
      <c r="A1456" t="s">
        <v>438</v>
      </c>
      <c r="B1456" t="s">
        <v>2689</v>
      </c>
      <c r="C1456" t="s">
        <v>1225</v>
      </c>
      <c r="D1456" s="13">
        <v>60000</v>
      </c>
      <c r="I1456" t="s">
        <v>1198</v>
      </c>
    </row>
    <row r="1457" spans="1:12" x14ac:dyDescent="0.25">
      <c r="A1457" t="s">
        <v>460</v>
      </c>
      <c r="B1457" t="s">
        <v>2690</v>
      </c>
      <c r="C1457" t="s">
        <v>1225</v>
      </c>
      <c r="D1457" s="13">
        <v>36000</v>
      </c>
      <c r="F1457" s="10">
        <v>37803</v>
      </c>
      <c r="G1457">
        <v>21</v>
      </c>
      <c r="H1457">
        <v>15</v>
      </c>
      <c r="I1457" t="s">
        <v>1198</v>
      </c>
    </row>
    <row r="1458" spans="1:12" x14ac:dyDescent="0.25">
      <c r="A1458" t="s">
        <v>460</v>
      </c>
      <c r="B1458" t="s">
        <v>2691</v>
      </c>
      <c r="C1458" t="s">
        <v>1225</v>
      </c>
      <c r="D1458" s="13">
        <v>36000</v>
      </c>
      <c r="F1458" s="10">
        <v>37803</v>
      </c>
      <c r="G1458">
        <v>21</v>
      </c>
      <c r="H1458">
        <v>15</v>
      </c>
      <c r="I1458" t="s">
        <v>1198</v>
      </c>
    </row>
    <row r="1459" spans="1:12" x14ac:dyDescent="0.25">
      <c r="A1459" t="s">
        <v>460</v>
      </c>
      <c r="B1459" t="s">
        <v>2692</v>
      </c>
      <c r="C1459" t="s">
        <v>1225</v>
      </c>
      <c r="D1459" s="13">
        <v>36000</v>
      </c>
      <c r="F1459" s="10">
        <v>37803</v>
      </c>
      <c r="G1459">
        <v>21</v>
      </c>
      <c r="H1459">
        <v>15</v>
      </c>
      <c r="I1459" t="s">
        <v>1198</v>
      </c>
    </row>
    <row r="1460" spans="1:12" x14ac:dyDescent="0.25">
      <c r="A1460" t="s">
        <v>460</v>
      </c>
      <c r="B1460" t="s">
        <v>2693</v>
      </c>
      <c r="C1460" t="s">
        <v>1225</v>
      </c>
      <c r="D1460" s="13">
        <v>36000</v>
      </c>
      <c r="F1460" s="10">
        <v>37834</v>
      </c>
      <c r="G1460">
        <v>21</v>
      </c>
      <c r="H1460">
        <v>15</v>
      </c>
      <c r="I1460" t="s">
        <v>1198</v>
      </c>
    </row>
    <row r="1461" spans="1:12" x14ac:dyDescent="0.25">
      <c r="A1461" t="s">
        <v>460</v>
      </c>
      <c r="B1461" t="s">
        <v>2694</v>
      </c>
      <c r="C1461" t="s">
        <v>1218</v>
      </c>
      <c r="E1461">
        <v>150</v>
      </c>
      <c r="F1461" s="10">
        <v>41913</v>
      </c>
      <c r="G1461">
        <v>10</v>
      </c>
      <c r="H1461">
        <v>25</v>
      </c>
      <c r="I1461" t="s">
        <v>1199</v>
      </c>
      <c r="J1461" t="s">
        <v>1219</v>
      </c>
      <c r="K1461" t="s">
        <v>1220</v>
      </c>
      <c r="L1461">
        <v>79</v>
      </c>
    </row>
    <row r="1462" spans="1:12" x14ac:dyDescent="0.25">
      <c r="A1462" t="s">
        <v>460</v>
      </c>
      <c r="B1462" t="s">
        <v>2695</v>
      </c>
      <c r="C1462" t="s">
        <v>1225</v>
      </c>
      <c r="D1462" s="13">
        <v>120000</v>
      </c>
      <c r="I1462" t="s">
        <v>1198</v>
      </c>
    </row>
    <row r="1463" spans="1:12" x14ac:dyDescent="0.25">
      <c r="A1463" t="s">
        <v>460</v>
      </c>
      <c r="B1463" t="s">
        <v>2696</v>
      </c>
      <c r="C1463" t="s">
        <v>1225</v>
      </c>
      <c r="D1463" s="13">
        <v>120000</v>
      </c>
      <c r="F1463" s="10">
        <v>36161</v>
      </c>
      <c r="G1463">
        <v>25</v>
      </c>
      <c r="H1463">
        <v>15</v>
      </c>
      <c r="I1463" t="s">
        <v>1198</v>
      </c>
    </row>
    <row r="1464" spans="1:12" x14ac:dyDescent="0.25">
      <c r="A1464" t="s">
        <v>460</v>
      </c>
      <c r="B1464" t="s">
        <v>2697</v>
      </c>
      <c r="C1464" t="s">
        <v>1225</v>
      </c>
      <c r="D1464" s="13">
        <v>36000</v>
      </c>
      <c r="F1464" s="10">
        <v>37803</v>
      </c>
      <c r="G1464">
        <v>21</v>
      </c>
      <c r="H1464">
        <v>15</v>
      </c>
      <c r="I1464" t="s">
        <v>1198</v>
      </c>
    </row>
    <row r="1465" spans="1:12" x14ac:dyDescent="0.25">
      <c r="A1465" t="s">
        <v>460</v>
      </c>
      <c r="B1465" t="s">
        <v>2698</v>
      </c>
      <c r="C1465" t="s">
        <v>1225</v>
      </c>
      <c r="D1465" s="13">
        <v>36000</v>
      </c>
      <c r="I1465" t="s">
        <v>1198</v>
      </c>
    </row>
    <row r="1466" spans="1:12" x14ac:dyDescent="0.25">
      <c r="A1466" t="s">
        <v>460</v>
      </c>
      <c r="B1466" t="s">
        <v>2699</v>
      </c>
      <c r="C1466" t="s">
        <v>1222</v>
      </c>
      <c r="D1466" s="13">
        <v>120000</v>
      </c>
      <c r="F1466" s="10">
        <v>41306</v>
      </c>
      <c r="G1466">
        <v>11</v>
      </c>
      <c r="H1466">
        <v>15</v>
      </c>
      <c r="I1466" t="s">
        <v>1199</v>
      </c>
    </row>
    <row r="1467" spans="1:12" x14ac:dyDescent="0.25">
      <c r="A1467" t="s">
        <v>460</v>
      </c>
      <c r="B1467" t="s">
        <v>2700</v>
      </c>
      <c r="C1467" t="s">
        <v>1222</v>
      </c>
      <c r="D1467" s="13">
        <v>120000</v>
      </c>
      <c r="F1467" s="10">
        <v>41091</v>
      </c>
      <c r="G1467">
        <v>12</v>
      </c>
      <c r="H1467">
        <v>15</v>
      </c>
      <c r="I1467" t="s">
        <v>1199</v>
      </c>
    </row>
    <row r="1468" spans="1:12" x14ac:dyDescent="0.25">
      <c r="A1468" t="s">
        <v>460</v>
      </c>
      <c r="B1468" t="s">
        <v>2701</v>
      </c>
      <c r="C1468" t="s">
        <v>1222</v>
      </c>
      <c r="D1468" s="13">
        <v>120000</v>
      </c>
      <c r="F1468" s="10">
        <v>41091</v>
      </c>
      <c r="G1468">
        <v>12</v>
      </c>
      <c r="H1468">
        <v>15</v>
      </c>
      <c r="I1468" t="s">
        <v>1199</v>
      </c>
    </row>
    <row r="1469" spans="1:12" x14ac:dyDescent="0.25">
      <c r="A1469" t="s">
        <v>460</v>
      </c>
      <c r="B1469" t="s">
        <v>2702</v>
      </c>
      <c r="C1469" t="s">
        <v>1222</v>
      </c>
      <c r="D1469" s="13">
        <v>120000</v>
      </c>
      <c r="F1469" s="10">
        <v>41183</v>
      </c>
      <c r="G1469">
        <v>12</v>
      </c>
      <c r="H1469">
        <v>15</v>
      </c>
      <c r="I1469" t="s">
        <v>1199</v>
      </c>
    </row>
    <row r="1470" spans="1:12" x14ac:dyDescent="0.25">
      <c r="A1470" t="s">
        <v>460</v>
      </c>
      <c r="B1470" t="s">
        <v>2703</v>
      </c>
      <c r="C1470" t="s">
        <v>1225</v>
      </c>
      <c r="D1470" s="13">
        <v>36000</v>
      </c>
      <c r="I1470" t="s">
        <v>1198</v>
      </c>
    </row>
    <row r="1471" spans="1:12" x14ac:dyDescent="0.25">
      <c r="A1471" t="s">
        <v>460</v>
      </c>
      <c r="B1471" t="s">
        <v>2704</v>
      </c>
      <c r="C1471" t="s">
        <v>1222</v>
      </c>
      <c r="I1471" t="s">
        <v>1198</v>
      </c>
    </row>
    <row r="1472" spans="1:12" x14ac:dyDescent="0.25">
      <c r="A1472" t="s">
        <v>460</v>
      </c>
      <c r="B1472" t="s">
        <v>2705</v>
      </c>
      <c r="C1472" t="s">
        <v>1222</v>
      </c>
      <c r="I1472" t="s">
        <v>1198</v>
      </c>
    </row>
    <row r="1473" spans="1:12" x14ac:dyDescent="0.25">
      <c r="A1473" t="s">
        <v>460</v>
      </c>
      <c r="B1473" t="s">
        <v>2706</v>
      </c>
      <c r="C1473" t="s">
        <v>1222</v>
      </c>
      <c r="I1473" t="s">
        <v>1198</v>
      </c>
    </row>
    <row r="1474" spans="1:12" x14ac:dyDescent="0.25">
      <c r="A1474" t="s">
        <v>460</v>
      </c>
      <c r="B1474" t="s">
        <v>2707</v>
      </c>
      <c r="C1474" t="s">
        <v>1222</v>
      </c>
      <c r="I1474" t="s">
        <v>1198</v>
      </c>
    </row>
    <row r="1475" spans="1:12" x14ac:dyDescent="0.25">
      <c r="A1475" t="s">
        <v>460</v>
      </c>
      <c r="B1475" t="s">
        <v>2708</v>
      </c>
      <c r="C1475" t="s">
        <v>1222</v>
      </c>
      <c r="I1475" t="s">
        <v>1198</v>
      </c>
    </row>
    <row r="1476" spans="1:12" x14ac:dyDescent="0.25">
      <c r="A1476" t="s">
        <v>460</v>
      </c>
      <c r="B1476" t="s">
        <v>2709</v>
      </c>
      <c r="C1476" t="s">
        <v>1222</v>
      </c>
      <c r="I1476" t="s">
        <v>1198</v>
      </c>
    </row>
    <row r="1477" spans="1:12" x14ac:dyDescent="0.25">
      <c r="A1477" t="s">
        <v>460</v>
      </c>
      <c r="B1477" t="s">
        <v>2710</v>
      </c>
      <c r="C1477" t="s">
        <v>1222</v>
      </c>
      <c r="D1477" s="13">
        <v>120000</v>
      </c>
      <c r="F1477" s="10">
        <v>41091</v>
      </c>
      <c r="I1477" t="s">
        <v>1198</v>
      </c>
    </row>
    <row r="1478" spans="1:12" x14ac:dyDescent="0.25">
      <c r="A1478" t="s">
        <v>598</v>
      </c>
      <c r="B1478" t="s">
        <v>2711</v>
      </c>
      <c r="C1478" t="s">
        <v>1218</v>
      </c>
      <c r="E1478">
        <v>150</v>
      </c>
      <c r="I1478" t="s">
        <v>1198</v>
      </c>
      <c r="J1478" t="s">
        <v>1219</v>
      </c>
      <c r="K1478" t="s">
        <v>1234</v>
      </c>
      <c r="L1478">
        <v>160.30000000000001</v>
      </c>
    </row>
    <row r="1479" spans="1:12" x14ac:dyDescent="0.25">
      <c r="A1479" t="s">
        <v>598</v>
      </c>
      <c r="B1479" t="s">
        <v>2712</v>
      </c>
      <c r="C1479" t="s">
        <v>1225</v>
      </c>
      <c r="D1479" s="13">
        <v>120000</v>
      </c>
      <c r="F1479" s="10">
        <v>36526</v>
      </c>
      <c r="G1479">
        <v>24</v>
      </c>
      <c r="H1479">
        <v>15</v>
      </c>
      <c r="I1479" t="s">
        <v>1198</v>
      </c>
    </row>
    <row r="1480" spans="1:12" x14ac:dyDescent="0.25">
      <c r="A1480" t="s">
        <v>598</v>
      </c>
      <c r="B1480" t="s">
        <v>2713</v>
      </c>
      <c r="C1480" t="s">
        <v>1225</v>
      </c>
      <c r="D1480" s="13">
        <v>120000</v>
      </c>
      <c r="F1480" s="10">
        <v>36526</v>
      </c>
      <c r="G1480">
        <v>24</v>
      </c>
      <c r="H1480">
        <v>15</v>
      </c>
      <c r="I1480" t="s">
        <v>1198</v>
      </c>
    </row>
    <row r="1481" spans="1:12" x14ac:dyDescent="0.25">
      <c r="A1481" t="s">
        <v>598</v>
      </c>
      <c r="B1481" t="s">
        <v>2714</v>
      </c>
      <c r="C1481" t="s">
        <v>1262</v>
      </c>
      <c r="I1481" t="s">
        <v>1198</v>
      </c>
    </row>
    <row r="1482" spans="1:12" x14ac:dyDescent="0.25">
      <c r="A1482" t="s">
        <v>598</v>
      </c>
      <c r="B1482" t="s">
        <v>2715</v>
      </c>
      <c r="C1482" t="s">
        <v>1222</v>
      </c>
      <c r="D1482" s="13">
        <v>120000</v>
      </c>
      <c r="F1482" s="10">
        <v>36526</v>
      </c>
      <c r="G1482">
        <v>24</v>
      </c>
      <c r="H1482">
        <v>15</v>
      </c>
      <c r="I1482" t="s">
        <v>1198</v>
      </c>
    </row>
    <row r="1483" spans="1:12" x14ac:dyDescent="0.25">
      <c r="A1483" t="s">
        <v>598</v>
      </c>
      <c r="B1483" t="s">
        <v>2716</v>
      </c>
      <c r="C1483" t="s">
        <v>1222</v>
      </c>
      <c r="D1483" s="13">
        <v>120000</v>
      </c>
      <c r="F1483" s="10">
        <v>36526</v>
      </c>
      <c r="G1483">
        <v>24</v>
      </c>
      <c r="H1483">
        <v>15</v>
      </c>
      <c r="I1483" t="s">
        <v>1198</v>
      </c>
    </row>
    <row r="1484" spans="1:12" x14ac:dyDescent="0.25">
      <c r="A1484" t="s">
        <v>598</v>
      </c>
      <c r="B1484" t="s">
        <v>2717</v>
      </c>
      <c r="C1484" t="s">
        <v>1225</v>
      </c>
      <c r="D1484" s="13">
        <v>90000</v>
      </c>
      <c r="F1484" s="10">
        <v>44228</v>
      </c>
      <c r="G1484">
        <v>3</v>
      </c>
      <c r="H1484">
        <v>15</v>
      </c>
      <c r="I1484" t="s">
        <v>1199</v>
      </c>
    </row>
    <row r="1485" spans="1:12" x14ac:dyDescent="0.25">
      <c r="A1485" t="s">
        <v>598</v>
      </c>
      <c r="B1485" t="s">
        <v>2718</v>
      </c>
      <c r="C1485" t="s">
        <v>1222</v>
      </c>
      <c r="D1485" s="13">
        <v>90000</v>
      </c>
      <c r="F1485" s="10">
        <v>44228</v>
      </c>
      <c r="G1485">
        <v>3</v>
      </c>
      <c r="H1485">
        <v>15</v>
      </c>
      <c r="I1485" t="s">
        <v>1199</v>
      </c>
    </row>
    <row r="1486" spans="1:12" x14ac:dyDescent="0.25">
      <c r="A1486" t="s">
        <v>598</v>
      </c>
      <c r="B1486" t="s">
        <v>2719</v>
      </c>
      <c r="C1486" t="s">
        <v>1225</v>
      </c>
      <c r="D1486" s="13">
        <v>90000</v>
      </c>
      <c r="F1486" s="10">
        <v>44532</v>
      </c>
      <c r="G1486">
        <v>2</v>
      </c>
      <c r="H1486">
        <v>15</v>
      </c>
      <c r="I1486" t="s">
        <v>1199</v>
      </c>
    </row>
    <row r="1487" spans="1:12" x14ac:dyDescent="0.25">
      <c r="A1487" t="s">
        <v>598</v>
      </c>
      <c r="B1487" t="s">
        <v>2720</v>
      </c>
      <c r="C1487" t="s">
        <v>1222</v>
      </c>
      <c r="D1487" s="13">
        <v>90000</v>
      </c>
      <c r="F1487" s="10">
        <v>44532</v>
      </c>
      <c r="G1487">
        <v>2</v>
      </c>
      <c r="H1487">
        <v>15</v>
      </c>
      <c r="I1487" t="s">
        <v>1199</v>
      </c>
    </row>
    <row r="1488" spans="1:12" x14ac:dyDescent="0.25">
      <c r="A1488" t="s">
        <v>598</v>
      </c>
      <c r="B1488" t="s">
        <v>2721</v>
      </c>
      <c r="C1488" t="s">
        <v>1222</v>
      </c>
      <c r="I1488" t="s">
        <v>1198</v>
      </c>
    </row>
    <row r="1489" spans="1:12" x14ac:dyDescent="0.25">
      <c r="A1489" t="s">
        <v>598</v>
      </c>
      <c r="B1489" t="s">
        <v>2722</v>
      </c>
      <c r="C1489" t="s">
        <v>1225</v>
      </c>
      <c r="D1489" s="13">
        <v>36000</v>
      </c>
      <c r="F1489" s="10">
        <v>36526</v>
      </c>
      <c r="I1489" t="s">
        <v>1198</v>
      </c>
    </row>
    <row r="1490" spans="1:12" x14ac:dyDescent="0.25">
      <c r="A1490" t="s">
        <v>598</v>
      </c>
      <c r="B1490" t="s">
        <v>2723</v>
      </c>
      <c r="C1490" t="s">
        <v>1225</v>
      </c>
      <c r="D1490" s="13">
        <v>120000</v>
      </c>
      <c r="F1490" s="10">
        <v>36526</v>
      </c>
      <c r="I1490" t="s">
        <v>1198</v>
      </c>
    </row>
    <row r="1491" spans="1:12" x14ac:dyDescent="0.25">
      <c r="A1491" t="s">
        <v>598</v>
      </c>
      <c r="B1491" t="s">
        <v>2724</v>
      </c>
      <c r="C1491" t="s">
        <v>1222</v>
      </c>
      <c r="D1491" s="13">
        <v>36000</v>
      </c>
      <c r="F1491" s="10">
        <v>36526</v>
      </c>
      <c r="I1491" t="s">
        <v>1198</v>
      </c>
    </row>
    <row r="1492" spans="1:12" x14ac:dyDescent="0.25">
      <c r="A1492" t="s">
        <v>257</v>
      </c>
      <c r="B1492" t="s">
        <v>2725</v>
      </c>
      <c r="C1492" t="s">
        <v>1218</v>
      </c>
      <c r="E1492">
        <v>125</v>
      </c>
      <c r="I1492" t="s">
        <v>1198</v>
      </c>
      <c r="J1492" t="s">
        <v>1219</v>
      </c>
      <c r="K1492" t="s">
        <v>1220</v>
      </c>
      <c r="L1492">
        <v>672</v>
      </c>
    </row>
    <row r="1493" spans="1:12" x14ac:dyDescent="0.25">
      <c r="A1493" t="s">
        <v>257</v>
      </c>
      <c r="B1493" t="s">
        <v>2726</v>
      </c>
      <c r="C1493" t="s">
        <v>1225</v>
      </c>
      <c r="D1493" s="13">
        <v>120000</v>
      </c>
      <c r="F1493" s="10">
        <v>41214</v>
      </c>
      <c r="G1493">
        <v>11</v>
      </c>
      <c r="H1493">
        <v>15</v>
      </c>
      <c r="I1493" t="s">
        <v>1199</v>
      </c>
    </row>
    <row r="1494" spans="1:12" x14ac:dyDescent="0.25">
      <c r="A1494" t="s">
        <v>257</v>
      </c>
      <c r="B1494" t="s">
        <v>2727</v>
      </c>
      <c r="C1494" t="s">
        <v>1222</v>
      </c>
      <c r="D1494" s="13">
        <v>120000</v>
      </c>
      <c r="F1494" s="10">
        <v>41395</v>
      </c>
      <c r="G1494">
        <v>11</v>
      </c>
      <c r="H1494">
        <v>15</v>
      </c>
      <c r="I1494" t="s">
        <v>1199</v>
      </c>
    </row>
    <row r="1495" spans="1:12" x14ac:dyDescent="0.25">
      <c r="A1495" t="s">
        <v>257</v>
      </c>
      <c r="B1495" t="s">
        <v>2728</v>
      </c>
      <c r="C1495" t="s">
        <v>1225</v>
      </c>
      <c r="D1495" s="13">
        <v>60000</v>
      </c>
      <c r="I1495" t="s">
        <v>1198</v>
      </c>
    </row>
    <row r="1496" spans="1:12" x14ac:dyDescent="0.25">
      <c r="A1496" t="s">
        <v>257</v>
      </c>
      <c r="B1496" t="s">
        <v>2729</v>
      </c>
      <c r="C1496" t="s">
        <v>1222</v>
      </c>
      <c r="D1496" s="13">
        <v>60000</v>
      </c>
      <c r="I1496" t="s">
        <v>1198</v>
      </c>
    </row>
    <row r="1497" spans="1:12" x14ac:dyDescent="0.25">
      <c r="A1497" t="s">
        <v>257</v>
      </c>
      <c r="B1497" t="s">
        <v>2730</v>
      </c>
      <c r="C1497" t="s">
        <v>1225</v>
      </c>
      <c r="D1497" s="13">
        <v>48000</v>
      </c>
      <c r="I1497" t="s">
        <v>1198</v>
      </c>
    </row>
    <row r="1498" spans="1:12" x14ac:dyDescent="0.25">
      <c r="A1498" t="s">
        <v>257</v>
      </c>
      <c r="B1498" t="s">
        <v>2731</v>
      </c>
      <c r="C1498" t="s">
        <v>1222</v>
      </c>
      <c r="I1498" t="s">
        <v>1198</v>
      </c>
    </row>
    <row r="1499" spans="1:12" x14ac:dyDescent="0.25">
      <c r="A1499" t="s">
        <v>257</v>
      </c>
      <c r="B1499" t="s">
        <v>2732</v>
      </c>
      <c r="C1499" t="s">
        <v>1222</v>
      </c>
      <c r="D1499" s="13">
        <v>10000</v>
      </c>
      <c r="I1499" t="s">
        <v>1198</v>
      </c>
    </row>
    <row r="1500" spans="1:12" x14ac:dyDescent="0.25">
      <c r="A1500" t="s">
        <v>257</v>
      </c>
      <c r="B1500" t="s">
        <v>2733</v>
      </c>
      <c r="C1500" t="s">
        <v>1222</v>
      </c>
      <c r="D1500" s="13">
        <v>10000</v>
      </c>
      <c r="I1500" t="s">
        <v>1198</v>
      </c>
    </row>
    <row r="1501" spans="1:12" x14ac:dyDescent="0.25">
      <c r="A1501" t="s">
        <v>257</v>
      </c>
      <c r="B1501" t="s">
        <v>2734</v>
      </c>
      <c r="C1501" t="s">
        <v>1225</v>
      </c>
      <c r="I1501" t="s">
        <v>1198</v>
      </c>
    </row>
    <row r="1502" spans="1:12" x14ac:dyDescent="0.25">
      <c r="A1502" t="s">
        <v>257</v>
      </c>
      <c r="B1502" t="s">
        <v>2735</v>
      </c>
      <c r="C1502" t="s">
        <v>1225</v>
      </c>
      <c r="D1502" s="13">
        <v>10000</v>
      </c>
      <c r="I1502" t="s">
        <v>1198</v>
      </c>
    </row>
    <row r="1503" spans="1:12" x14ac:dyDescent="0.25">
      <c r="A1503" t="s">
        <v>257</v>
      </c>
      <c r="B1503" t="s">
        <v>2736</v>
      </c>
      <c r="C1503" t="s">
        <v>1225</v>
      </c>
      <c r="D1503" s="13">
        <v>10000</v>
      </c>
      <c r="I1503" t="s">
        <v>1198</v>
      </c>
    </row>
    <row r="1504" spans="1:12" x14ac:dyDescent="0.25">
      <c r="A1504" t="s">
        <v>262</v>
      </c>
      <c r="B1504" t="s">
        <v>2737</v>
      </c>
      <c r="C1504" t="s">
        <v>1222</v>
      </c>
      <c r="D1504" s="13">
        <v>60000</v>
      </c>
      <c r="F1504" s="10">
        <v>42064</v>
      </c>
      <c r="G1504">
        <v>9</v>
      </c>
      <c r="H1504">
        <v>15</v>
      </c>
      <c r="I1504" t="s">
        <v>1199</v>
      </c>
    </row>
    <row r="1505" spans="1:12" x14ac:dyDescent="0.25">
      <c r="A1505" t="s">
        <v>262</v>
      </c>
      <c r="B1505" t="s">
        <v>2738</v>
      </c>
      <c r="C1505" t="s">
        <v>1222</v>
      </c>
      <c r="D1505" s="13">
        <v>60000</v>
      </c>
      <c r="F1505" s="10">
        <v>39630</v>
      </c>
      <c r="G1505">
        <v>16</v>
      </c>
      <c r="H1505">
        <v>15</v>
      </c>
      <c r="I1505" t="s">
        <v>1198</v>
      </c>
    </row>
    <row r="1506" spans="1:12" x14ac:dyDescent="0.25">
      <c r="A1506" t="s">
        <v>262</v>
      </c>
      <c r="B1506" t="s">
        <v>2739</v>
      </c>
      <c r="C1506" t="s">
        <v>1225</v>
      </c>
      <c r="D1506" s="13">
        <v>48000</v>
      </c>
      <c r="F1506" s="10">
        <v>39873</v>
      </c>
      <c r="G1506">
        <v>15</v>
      </c>
      <c r="H1506">
        <v>15</v>
      </c>
      <c r="I1506" t="s">
        <v>1198</v>
      </c>
    </row>
    <row r="1507" spans="1:12" x14ac:dyDescent="0.25">
      <c r="A1507" t="s">
        <v>262</v>
      </c>
      <c r="B1507" t="s">
        <v>2740</v>
      </c>
      <c r="C1507" t="s">
        <v>1225</v>
      </c>
      <c r="D1507" s="13">
        <v>60000</v>
      </c>
      <c r="F1507" s="10">
        <v>42186</v>
      </c>
      <c r="G1507">
        <v>9</v>
      </c>
      <c r="H1507">
        <v>15</v>
      </c>
      <c r="I1507" t="s">
        <v>1199</v>
      </c>
    </row>
    <row r="1508" spans="1:12" x14ac:dyDescent="0.25">
      <c r="A1508" t="s">
        <v>262</v>
      </c>
      <c r="B1508" t="s">
        <v>2741</v>
      </c>
      <c r="C1508" t="s">
        <v>1225</v>
      </c>
      <c r="D1508" s="13">
        <v>48000</v>
      </c>
      <c r="F1508" s="10">
        <v>38869</v>
      </c>
      <c r="G1508">
        <v>18</v>
      </c>
      <c r="H1508">
        <v>15</v>
      </c>
      <c r="I1508" t="s">
        <v>1198</v>
      </c>
    </row>
    <row r="1509" spans="1:12" x14ac:dyDescent="0.25">
      <c r="A1509" t="s">
        <v>262</v>
      </c>
      <c r="B1509" t="s">
        <v>2742</v>
      </c>
      <c r="C1509" t="s">
        <v>1225</v>
      </c>
      <c r="D1509" s="13">
        <v>18000</v>
      </c>
      <c r="F1509" s="10">
        <v>39450</v>
      </c>
      <c r="G1509">
        <v>18</v>
      </c>
      <c r="H1509">
        <v>15</v>
      </c>
      <c r="I1509" t="s">
        <v>1198</v>
      </c>
    </row>
    <row r="1510" spans="1:12" x14ac:dyDescent="0.25">
      <c r="A1510" t="s">
        <v>262</v>
      </c>
      <c r="B1510" t="s">
        <v>2743</v>
      </c>
      <c r="C1510" t="s">
        <v>1222</v>
      </c>
      <c r="D1510" s="13">
        <v>24000</v>
      </c>
      <c r="F1510" s="10">
        <v>38718</v>
      </c>
      <c r="G1510">
        <v>18</v>
      </c>
      <c r="H1510">
        <v>15</v>
      </c>
      <c r="I1510" t="s">
        <v>1198</v>
      </c>
    </row>
    <row r="1511" spans="1:12" x14ac:dyDescent="0.25">
      <c r="A1511" t="s">
        <v>262</v>
      </c>
      <c r="B1511" t="s">
        <v>2744</v>
      </c>
      <c r="C1511" t="s">
        <v>1225</v>
      </c>
      <c r="D1511" s="13">
        <v>60000</v>
      </c>
      <c r="F1511" s="10">
        <v>43617</v>
      </c>
      <c r="G1511">
        <v>5</v>
      </c>
      <c r="H1511">
        <v>15</v>
      </c>
      <c r="I1511" t="s">
        <v>1199</v>
      </c>
    </row>
    <row r="1512" spans="1:12" x14ac:dyDescent="0.25">
      <c r="A1512" t="s">
        <v>262</v>
      </c>
      <c r="B1512" t="s">
        <v>2745</v>
      </c>
      <c r="C1512" t="s">
        <v>1222</v>
      </c>
      <c r="D1512" s="13">
        <v>60000</v>
      </c>
      <c r="F1512" s="10">
        <v>43617</v>
      </c>
      <c r="G1512">
        <v>5</v>
      </c>
      <c r="H1512">
        <v>15</v>
      </c>
      <c r="I1512" t="s">
        <v>1199</v>
      </c>
    </row>
    <row r="1513" spans="1:12" x14ac:dyDescent="0.25">
      <c r="A1513" t="s">
        <v>262</v>
      </c>
      <c r="B1513" t="s">
        <v>2746</v>
      </c>
      <c r="C1513" t="s">
        <v>1222</v>
      </c>
      <c r="I1513" t="s">
        <v>1198</v>
      </c>
    </row>
    <row r="1514" spans="1:12" x14ac:dyDescent="0.25">
      <c r="A1514" t="s">
        <v>262</v>
      </c>
      <c r="B1514" t="s">
        <v>2747</v>
      </c>
      <c r="C1514" t="s">
        <v>1296</v>
      </c>
      <c r="I1514" t="s">
        <v>1198</v>
      </c>
    </row>
    <row r="1515" spans="1:12" x14ac:dyDescent="0.25">
      <c r="A1515" t="s">
        <v>450</v>
      </c>
      <c r="B1515" t="s">
        <v>2748</v>
      </c>
      <c r="C1515" t="s">
        <v>1238</v>
      </c>
      <c r="D1515" s="13">
        <v>24000</v>
      </c>
      <c r="I1515" t="s">
        <v>1198</v>
      </c>
    </row>
    <row r="1516" spans="1:12" x14ac:dyDescent="0.25">
      <c r="A1516" t="s">
        <v>450</v>
      </c>
      <c r="B1516" t="s">
        <v>2749</v>
      </c>
      <c r="C1516" t="s">
        <v>1238</v>
      </c>
      <c r="D1516" s="13">
        <v>24000</v>
      </c>
      <c r="I1516" t="s">
        <v>1198</v>
      </c>
    </row>
    <row r="1517" spans="1:12" x14ac:dyDescent="0.25">
      <c r="A1517" t="s">
        <v>450</v>
      </c>
      <c r="B1517" t="s">
        <v>2750</v>
      </c>
      <c r="C1517" t="s">
        <v>1238</v>
      </c>
      <c r="I1517" t="s">
        <v>1198</v>
      </c>
    </row>
    <row r="1518" spans="1:12" x14ac:dyDescent="0.25">
      <c r="A1518" t="s">
        <v>602</v>
      </c>
      <c r="B1518" t="s">
        <v>2751</v>
      </c>
      <c r="C1518" t="s">
        <v>1218</v>
      </c>
      <c r="E1518">
        <v>250</v>
      </c>
      <c r="F1518" s="10">
        <v>34700</v>
      </c>
      <c r="G1518">
        <v>29</v>
      </c>
      <c r="H1518">
        <v>25</v>
      </c>
      <c r="I1518" t="s">
        <v>1198</v>
      </c>
      <c r="J1518" t="s">
        <v>1219</v>
      </c>
      <c r="K1518" t="s">
        <v>1234</v>
      </c>
      <c r="L1518">
        <v>522</v>
      </c>
    </row>
    <row r="1519" spans="1:12" x14ac:dyDescent="0.25">
      <c r="A1519" t="s">
        <v>602</v>
      </c>
      <c r="B1519" t="s">
        <v>2752</v>
      </c>
      <c r="C1519" t="s">
        <v>1225</v>
      </c>
      <c r="D1519" s="13">
        <v>96000</v>
      </c>
      <c r="F1519" s="10">
        <v>37987</v>
      </c>
      <c r="G1519">
        <v>20</v>
      </c>
      <c r="H1519">
        <v>15</v>
      </c>
      <c r="I1519" t="s">
        <v>1198</v>
      </c>
    </row>
    <row r="1520" spans="1:12" x14ac:dyDescent="0.25">
      <c r="A1520" t="s">
        <v>602</v>
      </c>
      <c r="B1520" t="s">
        <v>2753</v>
      </c>
      <c r="C1520" t="s">
        <v>1225</v>
      </c>
      <c r="D1520" s="13">
        <v>96000</v>
      </c>
      <c r="F1520" s="10">
        <v>37987</v>
      </c>
      <c r="G1520">
        <v>20</v>
      </c>
      <c r="H1520">
        <v>15</v>
      </c>
      <c r="I1520" t="s">
        <v>1198</v>
      </c>
    </row>
    <row r="1521" spans="1:12" x14ac:dyDescent="0.25">
      <c r="A1521" t="s">
        <v>602</v>
      </c>
      <c r="B1521" t="s">
        <v>2754</v>
      </c>
      <c r="C1521" t="s">
        <v>1222</v>
      </c>
      <c r="D1521" s="13">
        <v>120000</v>
      </c>
      <c r="F1521" s="10">
        <v>36526</v>
      </c>
      <c r="G1521">
        <v>24</v>
      </c>
      <c r="H1521">
        <v>15</v>
      </c>
      <c r="I1521" t="s">
        <v>1198</v>
      </c>
    </row>
    <row r="1522" spans="1:12" x14ac:dyDescent="0.25">
      <c r="A1522" t="s">
        <v>602</v>
      </c>
      <c r="B1522" t="s">
        <v>2755</v>
      </c>
      <c r="C1522" t="s">
        <v>1222</v>
      </c>
      <c r="D1522" s="13">
        <v>120000</v>
      </c>
      <c r="F1522" s="10">
        <v>36526</v>
      </c>
      <c r="G1522">
        <v>24</v>
      </c>
      <c r="H1522">
        <v>15</v>
      </c>
      <c r="I1522" t="s">
        <v>1198</v>
      </c>
    </row>
    <row r="1523" spans="1:12" x14ac:dyDescent="0.25">
      <c r="A1523" t="s">
        <v>602</v>
      </c>
      <c r="B1523" t="s">
        <v>2756</v>
      </c>
      <c r="C1523" t="s">
        <v>1225</v>
      </c>
      <c r="D1523" s="13">
        <v>120000</v>
      </c>
      <c r="F1523" s="10">
        <v>36526</v>
      </c>
      <c r="G1523">
        <v>15</v>
      </c>
      <c r="H1523">
        <v>15</v>
      </c>
      <c r="I1523" t="s">
        <v>1198</v>
      </c>
    </row>
    <row r="1524" spans="1:12" x14ac:dyDescent="0.25">
      <c r="A1524" t="s">
        <v>602</v>
      </c>
      <c r="B1524" t="s">
        <v>2757</v>
      </c>
      <c r="C1524" t="s">
        <v>1225</v>
      </c>
      <c r="D1524" s="13">
        <v>120000</v>
      </c>
      <c r="F1524" s="10">
        <v>39814</v>
      </c>
      <c r="G1524">
        <v>15</v>
      </c>
      <c r="H1524">
        <v>15</v>
      </c>
      <c r="I1524" t="s">
        <v>1198</v>
      </c>
    </row>
    <row r="1525" spans="1:12" x14ac:dyDescent="0.25">
      <c r="A1525" t="s">
        <v>602</v>
      </c>
      <c r="B1525" t="s">
        <v>2758</v>
      </c>
      <c r="C1525" t="s">
        <v>1225</v>
      </c>
      <c r="D1525" s="13">
        <v>36000</v>
      </c>
      <c r="F1525" s="10">
        <v>31413</v>
      </c>
      <c r="G1525">
        <v>38</v>
      </c>
      <c r="H1525">
        <v>15</v>
      </c>
      <c r="I1525" t="s">
        <v>1198</v>
      </c>
    </row>
    <row r="1526" spans="1:12" x14ac:dyDescent="0.25">
      <c r="A1526" t="s">
        <v>602</v>
      </c>
      <c r="B1526" t="s">
        <v>2759</v>
      </c>
      <c r="C1526" t="s">
        <v>1238</v>
      </c>
      <c r="D1526" s="13">
        <v>42000</v>
      </c>
      <c r="F1526" s="10">
        <v>35370</v>
      </c>
      <c r="G1526">
        <v>27</v>
      </c>
      <c r="H1526">
        <v>15</v>
      </c>
      <c r="I1526" t="s">
        <v>1198</v>
      </c>
    </row>
    <row r="1527" spans="1:12" x14ac:dyDescent="0.25">
      <c r="A1527" t="s">
        <v>602</v>
      </c>
      <c r="B1527" t="s">
        <v>2760</v>
      </c>
      <c r="C1527" t="s">
        <v>1238</v>
      </c>
      <c r="D1527" s="13">
        <v>48000</v>
      </c>
      <c r="F1527" s="10">
        <v>42430</v>
      </c>
      <c r="G1527">
        <v>8</v>
      </c>
      <c r="H1527">
        <v>15</v>
      </c>
      <c r="I1527" t="s">
        <v>1199</v>
      </c>
    </row>
    <row r="1528" spans="1:12" x14ac:dyDescent="0.25">
      <c r="A1528" t="s">
        <v>602</v>
      </c>
      <c r="B1528" t="s">
        <v>2761</v>
      </c>
      <c r="C1528" t="s">
        <v>1225</v>
      </c>
      <c r="D1528" s="13">
        <v>60000</v>
      </c>
      <c r="I1528" t="s">
        <v>1198</v>
      </c>
    </row>
    <row r="1529" spans="1:12" x14ac:dyDescent="0.25">
      <c r="A1529" t="s">
        <v>602</v>
      </c>
      <c r="B1529" t="s">
        <v>2762</v>
      </c>
      <c r="C1529" t="s">
        <v>1225</v>
      </c>
      <c r="D1529" s="13">
        <v>30000</v>
      </c>
      <c r="I1529" t="s">
        <v>1198</v>
      </c>
    </row>
    <row r="1530" spans="1:12" x14ac:dyDescent="0.25">
      <c r="A1530" t="s">
        <v>602</v>
      </c>
      <c r="B1530" t="s">
        <v>2763</v>
      </c>
      <c r="C1530" t="s">
        <v>1225</v>
      </c>
      <c r="D1530" s="13">
        <v>30000</v>
      </c>
      <c r="I1530" t="s">
        <v>1198</v>
      </c>
    </row>
    <row r="1531" spans="1:12" x14ac:dyDescent="0.25">
      <c r="A1531" t="s">
        <v>602</v>
      </c>
      <c r="B1531" t="s">
        <v>2764</v>
      </c>
      <c r="C1531" t="s">
        <v>1238</v>
      </c>
      <c r="F1531" s="10">
        <v>44725</v>
      </c>
      <c r="G1531">
        <v>2</v>
      </c>
      <c r="H1531">
        <v>15</v>
      </c>
      <c r="I1531" t="s">
        <v>1199</v>
      </c>
    </row>
    <row r="1532" spans="1:12" x14ac:dyDescent="0.25">
      <c r="A1532" t="s">
        <v>602</v>
      </c>
      <c r="B1532" t="s">
        <v>2765</v>
      </c>
      <c r="C1532" t="s">
        <v>1222</v>
      </c>
      <c r="I1532" t="s">
        <v>1198</v>
      </c>
    </row>
    <row r="1533" spans="1:12" x14ac:dyDescent="0.25">
      <c r="A1533" t="s">
        <v>602</v>
      </c>
      <c r="B1533" t="s">
        <v>2766</v>
      </c>
      <c r="C1533" t="s">
        <v>1225</v>
      </c>
      <c r="D1533" s="13">
        <v>120000</v>
      </c>
      <c r="F1533" s="10">
        <v>44882</v>
      </c>
      <c r="G1533">
        <v>1</v>
      </c>
      <c r="H1533">
        <v>15</v>
      </c>
      <c r="I1533" t="s">
        <v>1199</v>
      </c>
    </row>
    <row r="1534" spans="1:12" x14ac:dyDescent="0.25">
      <c r="A1534" t="s">
        <v>602</v>
      </c>
      <c r="B1534" t="s">
        <v>2767</v>
      </c>
      <c r="C1534" t="s">
        <v>1222</v>
      </c>
      <c r="D1534" s="13">
        <v>120000</v>
      </c>
      <c r="F1534" s="10">
        <v>44882</v>
      </c>
      <c r="G1534">
        <v>1</v>
      </c>
      <c r="H1534">
        <v>15</v>
      </c>
      <c r="I1534" t="s">
        <v>1199</v>
      </c>
    </row>
    <row r="1535" spans="1:12" x14ac:dyDescent="0.25">
      <c r="A1535" t="s">
        <v>602</v>
      </c>
      <c r="B1535" t="s">
        <v>2768</v>
      </c>
      <c r="C1535" t="s">
        <v>1238</v>
      </c>
      <c r="D1535" s="13">
        <v>30000</v>
      </c>
      <c r="I1535" t="s">
        <v>1198</v>
      </c>
    </row>
    <row r="1536" spans="1:12" x14ac:dyDescent="0.25">
      <c r="A1536" t="s">
        <v>442</v>
      </c>
      <c r="B1536" t="s">
        <v>2769</v>
      </c>
      <c r="C1536" t="s">
        <v>1218</v>
      </c>
      <c r="E1536">
        <v>30</v>
      </c>
      <c r="F1536" s="10">
        <v>39295</v>
      </c>
      <c r="G1536">
        <v>17</v>
      </c>
      <c r="H1536">
        <v>25</v>
      </c>
      <c r="I1536" t="s">
        <v>1199</v>
      </c>
      <c r="J1536" t="s">
        <v>1219</v>
      </c>
      <c r="K1536" t="s">
        <v>1220</v>
      </c>
      <c r="L1536">
        <v>167.9</v>
      </c>
    </row>
    <row r="1537" spans="1:12" x14ac:dyDescent="0.25">
      <c r="A1537" t="s">
        <v>442</v>
      </c>
      <c r="B1537" t="s">
        <v>2770</v>
      </c>
      <c r="C1537" t="s">
        <v>1222</v>
      </c>
      <c r="D1537">
        <v>5</v>
      </c>
      <c r="I1537" t="s">
        <v>1198</v>
      </c>
    </row>
    <row r="1538" spans="1:12" x14ac:dyDescent="0.25">
      <c r="A1538" t="s">
        <v>454</v>
      </c>
      <c r="B1538" t="s">
        <v>2771</v>
      </c>
      <c r="C1538" t="s">
        <v>1218</v>
      </c>
      <c r="E1538">
        <v>100</v>
      </c>
      <c r="F1538" s="10">
        <v>30651</v>
      </c>
      <c r="G1538">
        <v>40</v>
      </c>
      <c r="H1538">
        <v>25</v>
      </c>
      <c r="I1538" t="s">
        <v>1198</v>
      </c>
      <c r="J1538" t="s">
        <v>1219</v>
      </c>
      <c r="K1538" t="s">
        <v>1220</v>
      </c>
      <c r="L1538">
        <v>944.7</v>
      </c>
    </row>
    <row r="1539" spans="1:12" x14ac:dyDescent="0.25">
      <c r="A1539" t="s">
        <v>454</v>
      </c>
      <c r="B1539" t="s">
        <v>2772</v>
      </c>
      <c r="C1539" t="s">
        <v>1218</v>
      </c>
      <c r="E1539">
        <v>30</v>
      </c>
      <c r="G1539">
        <v>35</v>
      </c>
      <c r="H1539">
        <v>25</v>
      </c>
      <c r="I1539" t="s">
        <v>1198</v>
      </c>
      <c r="J1539" t="s">
        <v>1341</v>
      </c>
      <c r="L1539">
        <v>575</v>
      </c>
    </row>
    <row r="1540" spans="1:12" x14ac:dyDescent="0.25">
      <c r="A1540" t="s">
        <v>454</v>
      </c>
      <c r="B1540" t="s">
        <v>2773</v>
      </c>
      <c r="C1540" t="s">
        <v>1225</v>
      </c>
      <c r="F1540" s="10">
        <v>36739</v>
      </c>
      <c r="G1540">
        <v>24</v>
      </c>
      <c r="H1540">
        <v>15</v>
      </c>
      <c r="I1540" t="s">
        <v>1198</v>
      </c>
    </row>
    <row r="1541" spans="1:12" x14ac:dyDescent="0.25">
      <c r="A1541" t="s">
        <v>454</v>
      </c>
      <c r="B1541" t="s">
        <v>2774</v>
      </c>
      <c r="C1541" t="s">
        <v>1222</v>
      </c>
      <c r="F1541" s="10">
        <v>37012</v>
      </c>
      <c r="G1541">
        <v>23</v>
      </c>
      <c r="H1541">
        <v>15</v>
      </c>
      <c r="I1541" t="s">
        <v>1198</v>
      </c>
    </row>
    <row r="1542" spans="1:12" x14ac:dyDescent="0.25">
      <c r="A1542" t="s">
        <v>454</v>
      </c>
      <c r="B1542" t="s">
        <v>2775</v>
      </c>
      <c r="C1542" t="s">
        <v>1225</v>
      </c>
      <c r="D1542" s="13">
        <v>90000</v>
      </c>
      <c r="F1542" s="10">
        <v>36739</v>
      </c>
      <c r="G1542">
        <v>24</v>
      </c>
      <c r="H1542">
        <v>15</v>
      </c>
      <c r="I1542" t="s">
        <v>1198</v>
      </c>
    </row>
    <row r="1543" spans="1:12" x14ac:dyDescent="0.25">
      <c r="A1543" t="s">
        <v>454</v>
      </c>
      <c r="B1543" t="s">
        <v>2776</v>
      </c>
      <c r="C1543" t="s">
        <v>1222</v>
      </c>
      <c r="F1543" s="10">
        <v>37012</v>
      </c>
      <c r="G1543">
        <v>23</v>
      </c>
      <c r="H1543">
        <v>15</v>
      </c>
      <c r="I1543" t="s">
        <v>1198</v>
      </c>
    </row>
    <row r="1544" spans="1:12" x14ac:dyDescent="0.25">
      <c r="A1544" t="s">
        <v>454</v>
      </c>
      <c r="B1544" t="s">
        <v>2777</v>
      </c>
      <c r="C1544" t="s">
        <v>1225</v>
      </c>
      <c r="F1544" s="10">
        <v>37012</v>
      </c>
      <c r="G1544">
        <v>23</v>
      </c>
      <c r="H1544">
        <v>15</v>
      </c>
      <c r="I1544" t="s">
        <v>1198</v>
      </c>
    </row>
    <row r="1545" spans="1:12" x14ac:dyDescent="0.25">
      <c r="A1545" t="s">
        <v>454</v>
      </c>
      <c r="B1545" t="s">
        <v>2778</v>
      </c>
      <c r="C1545" t="s">
        <v>1222</v>
      </c>
      <c r="D1545" s="13">
        <v>120000</v>
      </c>
      <c r="F1545" s="10">
        <v>36739</v>
      </c>
      <c r="G1545">
        <v>24</v>
      </c>
      <c r="H1545">
        <v>15</v>
      </c>
      <c r="I1545" t="s">
        <v>1198</v>
      </c>
    </row>
    <row r="1546" spans="1:12" x14ac:dyDescent="0.25">
      <c r="A1546" t="s">
        <v>454</v>
      </c>
      <c r="B1546" t="s">
        <v>2779</v>
      </c>
      <c r="C1546" t="s">
        <v>1225</v>
      </c>
      <c r="F1546" s="10">
        <v>37012</v>
      </c>
      <c r="G1546">
        <v>23</v>
      </c>
      <c r="H1546">
        <v>15</v>
      </c>
      <c r="I1546" t="s">
        <v>1198</v>
      </c>
    </row>
    <row r="1547" spans="1:12" x14ac:dyDescent="0.25">
      <c r="A1547" t="s">
        <v>454</v>
      </c>
      <c r="B1547" t="s">
        <v>2780</v>
      </c>
      <c r="C1547" t="s">
        <v>1222</v>
      </c>
      <c r="D1547" s="13">
        <v>30000</v>
      </c>
      <c r="F1547" s="10">
        <v>37012</v>
      </c>
      <c r="G1547">
        <v>23</v>
      </c>
      <c r="H1547">
        <v>15</v>
      </c>
      <c r="I1547" t="s">
        <v>1198</v>
      </c>
    </row>
    <row r="1548" spans="1:12" x14ac:dyDescent="0.25">
      <c r="A1548" t="s">
        <v>454</v>
      </c>
      <c r="B1548" t="s">
        <v>2781</v>
      </c>
      <c r="C1548" t="s">
        <v>1262</v>
      </c>
      <c r="F1548" s="10">
        <v>36831</v>
      </c>
      <c r="G1548">
        <v>23</v>
      </c>
      <c r="H1548">
        <v>15</v>
      </c>
      <c r="I1548" t="s">
        <v>1198</v>
      </c>
    </row>
    <row r="1549" spans="1:12" x14ac:dyDescent="0.25">
      <c r="A1549" t="s">
        <v>607</v>
      </c>
      <c r="B1549" t="s">
        <v>2782</v>
      </c>
      <c r="C1549" t="s">
        <v>1218</v>
      </c>
      <c r="E1549">
        <v>55</v>
      </c>
      <c r="I1549" t="s">
        <v>1198</v>
      </c>
      <c r="J1549" t="s">
        <v>1219</v>
      </c>
      <c r="K1549" t="s">
        <v>1369</v>
      </c>
      <c r="L1549">
        <v>427</v>
      </c>
    </row>
    <row r="1550" spans="1:12" x14ac:dyDescent="0.25">
      <c r="A1550" t="s">
        <v>607</v>
      </c>
      <c r="B1550" t="s">
        <v>2783</v>
      </c>
      <c r="C1550" t="s">
        <v>1225</v>
      </c>
      <c r="D1550" s="13">
        <v>60000</v>
      </c>
      <c r="F1550" s="10">
        <v>43348</v>
      </c>
      <c r="G1550">
        <v>6</v>
      </c>
      <c r="H1550">
        <v>15</v>
      </c>
      <c r="I1550" t="s">
        <v>1199</v>
      </c>
    </row>
    <row r="1551" spans="1:12" x14ac:dyDescent="0.25">
      <c r="A1551" t="s">
        <v>607</v>
      </c>
      <c r="B1551" t="s">
        <v>2784</v>
      </c>
      <c r="C1551" t="s">
        <v>1222</v>
      </c>
      <c r="D1551" s="13">
        <v>60000</v>
      </c>
      <c r="F1551" s="10">
        <v>43348</v>
      </c>
      <c r="G1551">
        <v>6</v>
      </c>
      <c r="H1551">
        <v>15</v>
      </c>
      <c r="I1551" t="s">
        <v>1199</v>
      </c>
    </row>
    <row r="1552" spans="1:12" x14ac:dyDescent="0.25">
      <c r="A1552" t="s">
        <v>607</v>
      </c>
      <c r="B1552" t="s">
        <v>2785</v>
      </c>
      <c r="C1552" t="s">
        <v>1238</v>
      </c>
      <c r="D1552" s="13">
        <v>60000</v>
      </c>
      <c r="F1552" s="10">
        <v>44014</v>
      </c>
      <c r="G1552">
        <v>4</v>
      </c>
      <c r="H1552">
        <v>15</v>
      </c>
      <c r="I1552" t="s">
        <v>1199</v>
      </c>
    </row>
    <row r="1553" spans="1:12" x14ac:dyDescent="0.25">
      <c r="A1553" t="s">
        <v>607</v>
      </c>
      <c r="B1553" t="s">
        <v>2786</v>
      </c>
      <c r="C1553" t="s">
        <v>1238</v>
      </c>
      <c r="D1553" s="13">
        <v>60000</v>
      </c>
      <c r="F1553" s="10">
        <v>43489</v>
      </c>
      <c r="G1553">
        <v>5</v>
      </c>
      <c r="H1553">
        <v>15</v>
      </c>
      <c r="I1553" t="s">
        <v>1199</v>
      </c>
    </row>
    <row r="1554" spans="1:12" x14ac:dyDescent="0.25">
      <c r="A1554" t="s">
        <v>607</v>
      </c>
      <c r="B1554" t="s">
        <v>2787</v>
      </c>
      <c r="C1554" t="s">
        <v>2026</v>
      </c>
      <c r="I1554" t="s">
        <v>1198</v>
      </c>
    </row>
    <row r="1555" spans="1:12" x14ac:dyDescent="0.25">
      <c r="A1555" t="s">
        <v>266</v>
      </c>
      <c r="B1555" t="s">
        <v>2788</v>
      </c>
      <c r="C1555" t="s">
        <v>1225</v>
      </c>
      <c r="F1555" s="10">
        <v>38657</v>
      </c>
      <c r="G1555">
        <v>18</v>
      </c>
      <c r="H1555">
        <v>15</v>
      </c>
      <c r="I1555" t="s">
        <v>1198</v>
      </c>
    </row>
    <row r="1556" spans="1:12" x14ac:dyDescent="0.25">
      <c r="A1556" t="s">
        <v>266</v>
      </c>
      <c r="B1556" t="s">
        <v>2789</v>
      </c>
      <c r="C1556" t="s">
        <v>1222</v>
      </c>
      <c r="D1556" s="13">
        <v>36000</v>
      </c>
      <c r="I1556" t="s">
        <v>1198</v>
      </c>
    </row>
    <row r="1557" spans="1:12" x14ac:dyDescent="0.25">
      <c r="A1557" t="s">
        <v>266</v>
      </c>
      <c r="B1557" t="s">
        <v>2790</v>
      </c>
      <c r="C1557" t="s">
        <v>1218</v>
      </c>
      <c r="E1557">
        <v>40</v>
      </c>
      <c r="I1557" t="s">
        <v>1198</v>
      </c>
      <c r="J1557" t="s">
        <v>1219</v>
      </c>
      <c r="K1557" t="s">
        <v>1234</v>
      </c>
      <c r="L1557">
        <v>2483</v>
      </c>
    </row>
    <row r="1558" spans="1:12" x14ac:dyDescent="0.25">
      <c r="A1558" t="s">
        <v>266</v>
      </c>
      <c r="B1558" t="s">
        <v>2791</v>
      </c>
      <c r="C1558" t="s">
        <v>1225</v>
      </c>
      <c r="I1558" t="s">
        <v>1198</v>
      </c>
    </row>
    <row r="1559" spans="1:12" x14ac:dyDescent="0.25">
      <c r="A1559" t="s">
        <v>266</v>
      </c>
      <c r="B1559" t="s">
        <v>2792</v>
      </c>
      <c r="C1559" t="s">
        <v>1222</v>
      </c>
      <c r="I1559" t="s">
        <v>1198</v>
      </c>
    </row>
    <row r="1560" spans="1:12" x14ac:dyDescent="0.25">
      <c r="A1560" t="s">
        <v>266</v>
      </c>
      <c r="B1560" t="s">
        <v>2793</v>
      </c>
      <c r="C1560" t="s">
        <v>1225</v>
      </c>
      <c r="I1560" t="s">
        <v>1198</v>
      </c>
    </row>
    <row r="1561" spans="1:12" x14ac:dyDescent="0.25">
      <c r="A1561" t="s">
        <v>266</v>
      </c>
      <c r="B1561" t="s">
        <v>2794</v>
      </c>
      <c r="C1561" t="s">
        <v>1222</v>
      </c>
      <c r="I1561" t="s">
        <v>1198</v>
      </c>
    </row>
    <row r="1562" spans="1:12" x14ac:dyDescent="0.25">
      <c r="A1562" t="s">
        <v>965</v>
      </c>
      <c r="B1562" t="s">
        <v>2795</v>
      </c>
      <c r="C1562" t="s">
        <v>1218</v>
      </c>
      <c r="E1562">
        <v>45</v>
      </c>
      <c r="F1562" s="10">
        <v>41791</v>
      </c>
      <c r="G1562">
        <v>10</v>
      </c>
      <c r="H1562">
        <v>25</v>
      </c>
      <c r="I1562" t="s">
        <v>1199</v>
      </c>
      <c r="J1562" t="s">
        <v>1219</v>
      </c>
      <c r="K1562" t="s">
        <v>2796</v>
      </c>
      <c r="L1562">
        <v>130</v>
      </c>
    </row>
    <row r="1563" spans="1:12" x14ac:dyDescent="0.25">
      <c r="A1563" t="s">
        <v>965</v>
      </c>
      <c r="B1563" t="s">
        <v>2797</v>
      </c>
      <c r="C1563" t="s">
        <v>1218</v>
      </c>
      <c r="E1563">
        <v>50</v>
      </c>
      <c r="F1563" s="10">
        <v>34731</v>
      </c>
      <c r="G1563">
        <v>29</v>
      </c>
      <c r="H1563">
        <v>25</v>
      </c>
      <c r="I1563" t="s">
        <v>1198</v>
      </c>
      <c r="J1563" t="s">
        <v>1341</v>
      </c>
      <c r="K1563" t="s">
        <v>1220</v>
      </c>
      <c r="L1563">
        <v>152</v>
      </c>
    </row>
    <row r="1564" spans="1:12" x14ac:dyDescent="0.25">
      <c r="A1564" t="s">
        <v>965</v>
      </c>
      <c r="B1564" t="s">
        <v>2798</v>
      </c>
      <c r="C1564" t="s">
        <v>1222</v>
      </c>
      <c r="D1564" s="13">
        <v>60000</v>
      </c>
      <c r="I1564" t="s">
        <v>1198</v>
      </c>
    </row>
    <row r="1565" spans="1:12" x14ac:dyDescent="0.25">
      <c r="A1565" t="s">
        <v>965</v>
      </c>
      <c r="B1565" t="s">
        <v>2799</v>
      </c>
      <c r="C1565" t="s">
        <v>1222</v>
      </c>
      <c r="I1565" t="s">
        <v>1198</v>
      </c>
    </row>
    <row r="1566" spans="1:12" x14ac:dyDescent="0.25">
      <c r="A1566" t="s">
        <v>965</v>
      </c>
      <c r="B1566" t="s">
        <v>2800</v>
      </c>
      <c r="C1566" t="s">
        <v>1225</v>
      </c>
      <c r="I1566" t="s">
        <v>1198</v>
      </c>
    </row>
    <row r="1567" spans="1:12" x14ac:dyDescent="0.25">
      <c r="A1567" t="s">
        <v>965</v>
      </c>
      <c r="B1567" t="s">
        <v>2801</v>
      </c>
      <c r="C1567" t="s">
        <v>1225</v>
      </c>
      <c r="D1567" s="13">
        <v>80000</v>
      </c>
      <c r="I1567" t="s">
        <v>1198</v>
      </c>
    </row>
    <row r="1568" spans="1:12" x14ac:dyDescent="0.25">
      <c r="A1568" t="s">
        <v>965</v>
      </c>
      <c r="B1568" t="s">
        <v>2802</v>
      </c>
      <c r="C1568" t="s">
        <v>1222</v>
      </c>
      <c r="D1568" s="13">
        <v>80000</v>
      </c>
      <c r="F1568" s="10">
        <v>40179</v>
      </c>
      <c r="G1568">
        <v>14</v>
      </c>
      <c r="H1568">
        <v>15</v>
      </c>
      <c r="I1568" t="s">
        <v>1199</v>
      </c>
    </row>
    <row r="1569" spans="1:12" x14ac:dyDescent="0.25">
      <c r="A1569" t="s">
        <v>965</v>
      </c>
      <c r="B1569" t="s">
        <v>2803</v>
      </c>
      <c r="C1569" t="s">
        <v>1225</v>
      </c>
      <c r="I1569" t="s">
        <v>1198</v>
      </c>
    </row>
    <row r="1570" spans="1:12" x14ac:dyDescent="0.25">
      <c r="A1570" t="s">
        <v>965</v>
      </c>
      <c r="B1570" t="s">
        <v>2804</v>
      </c>
      <c r="C1570" t="s">
        <v>1222</v>
      </c>
      <c r="I1570" t="s">
        <v>1198</v>
      </c>
    </row>
    <row r="1571" spans="1:12" x14ac:dyDescent="0.25">
      <c r="A1571" t="s">
        <v>611</v>
      </c>
      <c r="B1571" t="s">
        <v>2805</v>
      </c>
      <c r="C1571" t="s">
        <v>1218</v>
      </c>
      <c r="E1571">
        <v>150</v>
      </c>
      <c r="I1571" t="s">
        <v>1198</v>
      </c>
      <c r="J1571" t="s">
        <v>1219</v>
      </c>
      <c r="K1571" t="s">
        <v>1234</v>
      </c>
      <c r="L1571">
        <v>254</v>
      </c>
    </row>
    <row r="1572" spans="1:12" x14ac:dyDescent="0.25">
      <c r="A1572" t="s">
        <v>611</v>
      </c>
      <c r="B1572" t="s">
        <v>2806</v>
      </c>
      <c r="C1572" t="s">
        <v>1225</v>
      </c>
      <c r="D1572" s="13">
        <v>79200</v>
      </c>
      <c r="F1572" s="10">
        <v>40179</v>
      </c>
      <c r="G1572">
        <v>14</v>
      </c>
      <c r="H1572">
        <v>15</v>
      </c>
      <c r="I1572" t="s">
        <v>1199</v>
      </c>
    </row>
    <row r="1573" spans="1:12" x14ac:dyDescent="0.25">
      <c r="A1573" t="s">
        <v>611</v>
      </c>
      <c r="B1573" t="s">
        <v>2807</v>
      </c>
      <c r="C1573" t="s">
        <v>1262</v>
      </c>
      <c r="I1573" t="s">
        <v>1198</v>
      </c>
    </row>
    <row r="1574" spans="1:12" x14ac:dyDescent="0.25">
      <c r="A1574" t="s">
        <v>611</v>
      </c>
      <c r="B1574" t="s">
        <v>2808</v>
      </c>
      <c r="C1574" t="s">
        <v>1262</v>
      </c>
      <c r="I1574" t="s">
        <v>1198</v>
      </c>
    </row>
    <row r="1575" spans="1:12" x14ac:dyDescent="0.25">
      <c r="A1575" t="s">
        <v>611</v>
      </c>
      <c r="B1575" t="s">
        <v>2809</v>
      </c>
      <c r="C1575" t="s">
        <v>1225</v>
      </c>
      <c r="D1575" s="13">
        <v>99600</v>
      </c>
      <c r="F1575" s="10">
        <v>41426</v>
      </c>
      <c r="G1575">
        <v>11</v>
      </c>
      <c r="H1575">
        <v>15</v>
      </c>
      <c r="I1575" t="s">
        <v>1199</v>
      </c>
    </row>
    <row r="1576" spans="1:12" x14ac:dyDescent="0.25">
      <c r="A1576" t="s">
        <v>611</v>
      </c>
      <c r="B1576" t="s">
        <v>2810</v>
      </c>
      <c r="C1576" t="s">
        <v>1225</v>
      </c>
      <c r="D1576" s="13">
        <v>150000</v>
      </c>
      <c r="F1576" s="10">
        <v>42156</v>
      </c>
      <c r="G1576">
        <v>9</v>
      </c>
      <c r="H1576">
        <v>15</v>
      </c>
      <c r="I1576" t="s">
        <v>1199</v>
      </c>
    </row>
    <row r="1577" spans="1:12" x14ac:dyDescent="0.25">
      <c r="A1577" t="s">
        <v>611</v>
      </c>
      <c r="B1577" t="s">
        <v>2811</v>
      </c>
      <c r="C1577" t="s">
        <v>1225</v>
      </c>
      <c r="D1577" s="13">
        <v>150000</v>
      </c>
      <c r="F1577" s="10">
        <v>40544</v>
      </c>
      <c r="G1577">
        <v>13</v>
      </c>
      <c r="H1577">
        <v>15</v>
      </c>
      <c r="I1577" t="s">
        <v>1199</v>
      </c>
    </row>
    <row r="1578" spans="1:12" x14ac:dyDescent="0.25">
      <c r="A1578" t="s">
        <v>611</v>
      </c>
      <c r="B1578" t="s">
        <v>2812</v>
      </c>
      <c r="C1578" t="s">
        <v>1225</v>
      </c>
      <c r="D1578" s="13">
        <v>102000</v>
      </c>
      <c r="F1578" s="10">
        <v>39814</v>
      </c>
      <c r="G1578">
        <v>15</v>
      </c>
      <c r="H1578">
        <v>15</v>
      </c>
      <c r="I1578" t="s">
        <v>1198</v>
      </c>
    </row>
    <row r="1579" spans="1:12" x14ac:dyDescent="0.25">
      <c r="A1579" t="s">
        <v>611</v>
      </c>
      <c r="B1579" t="s">
        <v>2813</v>
      </c>
      <c r="C1579" t="s">
        <v>1222</v>
      </c>
      <c r="D1579" s="13">
        <v>79200</v>
      </c>
      <c r="F1579" s="10">
        <v>40179</v>
      </c>
      <c r="G1579">
        <v>14</v>
      </c>
      <c r="H1579">
        <v>15</v>
      </c>
      <c r="I1579" t="s">
        <v>1199</v>
      </c>
    </row>
    <row r="1580" spans="1:12" x14ac:dyDescent="0.25">
      <c r="A1580" t="s">
        <v>611</v>
      </c>
      <c r="B1580" t="s">
        <v>2814</v>
      </c>
      <c r="C1580" t="s">
        <v>1222</v>
      </c>
      <c r="D1580" s="13">
        <v>99600</v>
      </c>
      <c r="F1580" s="10">
        <v>41334</v>
      </c>
      <c r="G1580">
        <v>11</v>
      </c>
      <c r="H1580">
        <v>15</v>
      </c>
      <c r="I1580" t="s">
        <v>1199</v>
      </c>
    </row>
    <row r="1581" spans="1:12" x14ac:dyDescent="0.25">
      <c r="A1581" t="s">
        <v>611</v>
      </c>
      <c r="B1581" t="s">
        <v>2815</v>
      </c>
      <c r="C1581" t="s">
        <v>1222</v>
      </c>
      <c r="F1581" s="10">
        <v>42993</v>
      </c>
      <c r="G1581">
        <v>7</v>
      </c>
      <c r="H1581">
        <v>15</v>
      </c>
      <c r="I1581" t="s">
        <v>1199</v>
      </c>
    </row>
    <row r="1582" spans="1:12" x14ac:dyDescent="0.25">
      <c r="A1582" t="s">
        <v>611</v>
      </c>
      <c r="B1582" t="s">
        <v>2816</v>
      </c>
      <c r="C1582" t="s">
        <v>1225</v>
      </c>
      <c r="I1582" t="s">
        <v>1198</v>
      </c>
    </row>
    <row r="1583" spans="1:12" x14ac:dyDescent="0.25">
      <c r="A1583" t="s">
        <v>611</v>
      </c>
      <c r="B1583" t="s">
        <v>2817</v>
      </c>
      <c r="C1583" t="s">
        <v>1222</v>
      </c>
      <c r="I1583" t="s">
        <v>1198</v>
      </c>
    </row>
    <row r="1584" spans="1:12" x14ac:dyDescent="0.25">
      <c r="A1584" t="s">
        <v>611</v>
      </c>
      <c r="B1584" t="s">
        <v>2818</v>
      </c>
      <c r="C1584" t="s">
        <v>1222</v>
      </c>
      <c r="I1584" t="s">
        <v>1198</v>
      </c>
    </row>
    <row r="1585" spans="1:12" x14ac:dyDescent="0.25">
      <c r="A1585" t="s">
        <v>611</v>
      </c>
      <c r="B1585" t="s">
        <v>2819</v>
      </c>
      <c r="C1585" t="s">
        <v>1262</v>
      </c>
      <c r="F1585" s="10">
        <v>45000</v>
      </c>
      <c r="G1585">
        <v>1</v>
      </c>
      <c r="H1585">
        <v>15</v>
      </c>
      <c r="I1585" t="s">
        <v>1199</v>
      </c>
    </row>
    <row r="1586" spans="1:12" x14ac:dyDescent="0.25">
      <c r="A1586" t="s">
        <v>464</v>
      </c>
      <c r="B1586" t="s">
        <v>2820</v>
      </c>
      <c r="C1586" t="s">
        <v>1218</v>
      </c>
      <c r="E1586">
        <v>100</v>
      </c>
      <c r="I1586" t="s">
        <v>1198</v>
      </c>
      <c r="J1586" t="s">
        <v>1219</v>
      </c>
      <c r="K1586" t="s">
        <v>1220</v>
      </c>
      <c r="L1586">
        <v>352.2</v>
      </c>
    </row>
    <row r="1587" spans="1:12" x14ac:dyDescent="0.25">
      <c r="A1587" t="s">
        <v>464</v>
      </c>
      <c r="B1587" t="s">
        <v>2821</v>
      </c>
      <c r="C1587" t="s">
        <v>1225</v>
      </c>
      <c r="I1587" t="s">
        <v>1198</v>
      </c>
    </row>
    <row r="1588" spans="1:12" x14ac:dyDescent="0.25">
      <c r="A1588" t="s">
        <v>464</v>
      </c>
      <c r="B1588" t="s">
        <v>2822</v>
      </c>
      <c r="C1588" t="s">
        <v>1225</v>
      </c>
      <c r="I1588" t="s">
        <v>1198</v>
      </c>
    </row>
    <row r="1589" spans="1:12" x14ac:dyDescent="0.25">
      <c r="A1589" t="s">
        <v>464</v>
      </c>
      <c r="B1589" t="s">
        <v>2823</v>
      </c>
      <c r="C1589" t="s">
        <v>1222</v>
      </c>
      <c r="I1589" t="s">
        <v>1198</v>
      </c>
    </row>
    <row r="1590" spans="1:12" x14ac:dyDescent="0.25">
      <c r="A1590" t="s">
        <v>464</v>
      </c>
      <c r="B1590" t="s">
        <v>2824</v>
      </c>
      <c r="C1590" t="s">
        <v>1222</v>
      </c>
      <c r="D1590" s="13">
        <v>24000</v>
      </c>
      <c r="F1590" s="10">
        <v>45358</v>
      </c>
      <c r="I1590" t="s">
        <v>1198</v>
      </c>
    </row>
    <row r="1591" spans="1:12" x14ac:dyDescent="0.25">
      <c r="A1591" t="s">
        <v>464</v>
      </c>
      <c r="B1591" t="s">
        <v>2825</v>
      </c>
      <c r="C1591" t="s">
        <v>1225</v>
      </c>
      <c r="D1591" s="13">
        <v>24000</v>
      </c>
      <c r="F1591" s="10">
        <v>45442</v>
      </c>
      <c r="I1591" t="s">
        <v>1198</v>
      </c>
    </row>
    <row r="1592" spans="1:12" x14ac:dyDescent="0.25">
      <c r="A1592" t="s">
        <v>464</v>
      </c>
      <c r="B1592" t="s">
        <v>2826</v>
      </c>
      <c r="C1592" t="s">
        <v>1222</v>
      </c>
      <c r="D1592" s="13">
        <v>24000</v>
      </c>
      <c r="F1592" s="10">
        <v>45442</v>
      </c>
      <c r="I1592" t="s">
        <v>1198</v>
      </c>
    </row>
    <row r="1593" spans="1:12" x14ac:dyDescent="0.25">
      <c r="A1593" t="s">
        <v>464</v>
      </c>
      <c r="B1593" t="s">
        <v>2827</v>
      </c>
      <c r="C1593" t="s">
        <v>1225</v>
      </c>
      <c r="D1593" s="13">
        <v>24000</v>
      </c>
      <c r="F1593" s="10">
        <v>45442</v>
      </c>
      <c r="I1593" t="s">
        <v>1198</v>
      </c>
    </row>
    <row r="1594" spans="1:12" x14ac:dyDescent="0.25">
      <c r="A1594" t="s">
        <v>464</v>
      </c>
      <c r="B1594" t="s">
        <v>2828</v>
      </c>
      <c r="C1594" t="s">
        <v>1222</v>
      </c>
      <c r="D1594" s="13">
        <v>24000</v>
      </c>
      <c r="F1594" s="10">
        <v>45442</v>
      </c>
      <c r="I1594" t="s">
        <v>1198</v>
      </c>
    </row>
    <row r="1595" spans="1:12" x14ac:dyDescent="0.25">
      <c r="A1595" t="s">
        <v>2829</v>
      </c>
      <c r="B1595" t="s">
        <v>2830</v>
      </c>
      <c r="C1595" t="s">
        <v>1218</v>
      </c>
      <c r="E1595">
        <v>60</v>
      </c>
      <c r="F1595" s="10">
        <v>33420</v>
      </c>
      <c r="G1595">
        <v>33</v>
      </c>
      <c r="H1595">
        <v>25</v>
      </c>
      <c r="I1595" t="s">
        <v>1198</v>
      </c>
      <c r="J1595" t="s">
        <v>1341</v>
      </c>
      <c r="L1595">
        <v>119.7</v>
      </c>
    </row>
    <row r="1596" spans="1:12" x14ac:dyDescent="0.25">
      <c r="A1596" t="s">
        <v>2829</v>
      </c>
      <c r="B1596" t="s">
        <v>1806</v>
      </c>
      <c r="C1596" t="s">
        <v>1218</v>
      </c>
      <c r="E1596">
        <v>45</v>
      </c>
      <c r="G1596">
        <v>46</v>
      </c>
      <c r="H1596">
        <v>25</v>
      </c>
      <c r="I1596" t="s">
        <v>1198</v>
      </c>
      <c r="J1596" t="s">
        <v>1341</v>
      </c>
      <c r="K1596" t="s">
        <v>1342</v>
      </c>
      <c r="L1596">
        <v>363.2</v>
      </c>
    </row>
    <row r="1597" spans="1:12" x14ac:dyDescent="0.25">
      <c r="A1597" t="s">
        <v>2829</v>
      </c>
      <c r="B1597" t="s">
        <v>2831</v>
      </c>
      <c r="C1597" t="s">
        <v>1225</v>
      </c>
      <c r="D1597" s="13">
        <v>60000</v>
      </c>
      <c r="F1597" s="10">
        <v>40422</v>
      </c>
      <c r="G1597">
        <v>14</v>
      </c>
      <c r="H1597">
        <v>15</v>
      </c>
      <c r="I1597" t="s">
        <v>1199</v>
      </c>
    </row>
    <row r="1598" spans="1:12" x14ac:dyDescent="0.25">
      <c r="A1598" t="s">
        <v>2829</v>
      </c>
      <c r="B1598" t="s">
        <v>2832</v>
      </c>
      <c r="C1598" t="s">
        <v>1222</v>
      </c>
      <c r="D1598" s="13">
        <v>60000</v>
      </c>
      <c r="F1598" s="10">
        <v>40360</v>
      </c>
      <c r="G1598">
        <v>14</v>
      </c>
      <c r="H1598">
        <v>15</v>
      </c>
      <c r="I1598" t="s">
        <v>1199</v>
      </c>
    </row>
    <row r="1599" spans="1:12" x14ac:dyDescent="0.25">
      <c r="A1599" t="s">
        <v>2829</v>
      </c>
      <c r="B1599" t="s">
        <v>2833</v>
      </c>
      <c r="C1599" t="s">
        <v>1225</v>
      </c>
      <c r="I1599" t="s">
        <v>1198</v>
      </c>
    </row>
    <row r="1600" spans="1:12" x14ac:dyDescent="0.25">
      <c r="A1600" t="s">
        <v>2829</v>
      </c>
      <c r="B1600" t="s">
        <v>2834</v>
      </c>
      <c r="C1600" t="s">
        <v>1222</v>
      </c>
      <c r="D1600" s="13">
        <v>60000</v>
      </c>
      <c r="I1600" t="s">
        <v>1198</v>
      </c>
    </row>
    <row r="1601" spans="1:12" x14ac:dyDescent="0.25">
      <c r="A1601" t="s">
        <v>469</v>
      </c>
      <c r="B1601" t="s">
        <v>2835</v>
      </c>
      <c r="C1601" t="s">
        <v>1218</v>
      </c>
      <c r="E1601">
        <v>80</v>
      </c>
      <c r="F1601" s="10">
        <v>38596</v>
      </c>
      <c r="G1601">
        <v>19</v>
      </c>
      <c r="H1601">
        <v>25</v>
      </c>
      <c r="I1601" t="s">
        <v>1199</v>
      </c>
      <c r="J1601" t="s">
        <v>1219</v>
      </c>
      <c r="K1601" t="s">
        <v>1220</v>
      </c>
      <c r="L1601">
        <v>181.1</v>
      </c>
    </row>
    <row r="1602" spans="1:12" x14ac:dyDescent="0.25">
      <c r="A1602" t="s">
        <v>469</v>
      </c>
      <c r="B1602" t="s">
        <v>2836</v>
      </c>
      <c r="C1602" t="s">
        <v>1222</v>
      </c>
      <c r="D1602" s="13">
        <v>60000</v>
      </c>
      <c r="F1602" s="10">
        <v>41365</v>
      </c>
      <c r="G1602">
        <v>11</v>
      </c>
      <c r="H1602">
        <v>15</v>
      </c>
      <c r="I1602" t="s">
        <v>1199</v>
      </c>
    </row>
    <row r="1603" spans="1:12" x14ac:dyDescent="0.25">
      <c r="A1603" t="s">
        <v>469</v>
      </c>
      <c r="B1603" t="s">
        <v>2837</v>
      </c>
      <c r="C1603" t="s">
        <v>1225</v>
      </c>
      <c r="D1603" s="13">
        <v>60000</v>
      </c>
      <c r="F1603" s="10">
        <v>41275</v>
      </c>
      <c r="G1603">
        <v>11</v>
      </c>
      <c r="H1603">
        <v>15</v>
      </c>
      <c r="I1603" t="s">
        <v>1199</v>
      </c>
    </row>
    <row r="1604" spans="1:12" x14ac:dyDescent="0.25">
      <c r="A1604" t="s">
        <v>469</v>
      </c>
      <c r="B1604" t="s">
        <v>2838</v>
      </c>
      <c r="C1604" t="s">
        <v>1238</v>
      </c>
      <c r="D1604" s="13">
        <v>60000</v>
      </c>
      <c r="I1604" t="s">
        <v>1198</v>
      </c>
    </row>
    <row r="1605" spans="1:12" x14ac:dyDescent="0.25">
      <c r="A1605" t="s">
        <v>469</v>
      </c>
      <c r="B1605" t="s">
        <v>2839</v>
      </c>
      <c r="C1605" t="s">
        <v>1238</v>
      </c>
      <c r="D1605" s="13">
        <v>60000</v>
      </c>
      <c r="I1605" t="s">
        <v>1198</v>
      </c>
    </row>
    <row r="1606" spans="1:12" x14ac:dyDescent="0.25">
      <c r="A1606" t="s">
        <v>469</v>
      </c>
      <c r="B1606" t="s">
        <v>2840</v>
      </c>
      <c r="C1606" t="s">
        <v>1238</v>
      </c>
      <c r="D1606" s="13">
        <v>60000</v>
      </c>
      <c r="I1606" t="s">
        <v>1198</v>
      </c>
    </row>
    <row r="1607" spans="1:12" x14ac:dyDescent="0.25">
      <c r="A1607" t="s">
        <v>469</v>
      </c>
      <c r="B1607" t="s">
        <v>2841</v>
      </c>
      <c r="C1607" t="s">
        <v>1238</v>
      </c>
      <c r="D1607" s="13">
        <v>60000</v>
      </c>
      <c r="I1607" t="s">
        <v>1198</v>
      </c>
    </row>
    <row r="1608" spans="1:12" x14ac:dyDescent="0.25">
      <c r="A1608" t="s">
        <v>795</v>
      </c>
      <c r="B1608" t="s">
        <v>2842</v>
      </c>
      <c r="C1608" t="s">
        <v>1218</v>
      </c>
      <c r="E1608">
        <v>100</v>
      </c>
      <c r="F1608" s="10">
        <v>32387</v>
      </c>
      <c r="G1608">
        <v>36</v>
      </c>
      <c r="H1608">
        <v>25</v>
      </c>
      <c r="I1608" t="s">
        <v>1198</v>
      </c>
      <c r="J1608" t="s">
        <v>1219</v>
      </c>
      <c r="K1608" t="s">
        <v>1234</v>
      </c>
      <c r="L1608">
        <v>1703</v>
      </c>
    </row>
    <row r="1609" spans="1:12" x14ac:dyDescent="0.25">
      <c r="A1609" t="s">
        <v>795</v>
      </c>
      <c r="B1609" t="s">
        <v>2843</v>
      </c>
      <c r="C1609" t="s">
        <v>1218</v>
      </c>
      <c r="E1609">
        <v>100</v>
      </c>
      <c r="F1609" s="10">
        <v>36251</v>
      </c>
      <c r="G1609">
        <v>25</v>
      </c>
      <c r="H1609">
        <v>25</v>
      </c>
      <c r="I1609" t="s">
        <v>1198</v>
      </c>
      <c r="J1609" t="s">
        <v>1219</v>
      </c>
      <c r="K1609" t="s">
        <v>1234</v>
      </c>
      <c r="L1609">
        <v>589.20000000000005</v>
      </c>
    </row>
    <row r="1610" spans="1:12" x14ac:dyDescent="0.25">
      <c r="A1610" t="s">
        <v>795</v>
      </c>
      <c r="B1610" t="s">
        <v>2844</v>
      </c>
      <c r="C1610" t="s">
        <v>1225</v>
      </c>
      <c r="D1610" s="13">
        <v>120000</v>
      </c>
      <c r="I1610" t="s">
        <v>1198</v>
      </c>
    </row>
    <row r="1611" spans="1:12" x14ac:dyDescent="0.25">
      <c r="A1611" t="s">
        <v>795</v>
      </c>
      <c r="B1611" t="s">
        <v>2845</v>
      </c>
      <c r="C1611" t="s">
        <v>1225</v>
      </c>
      <c r="F1611" s="10">
        <v>40817</v>
      </c>
      <c r="G1611">
        <v>13</v>
      </c>
      <c r="H1611">
        <v>15</v>
      </c>
      <c r="I1611" t="s">
        <v>1199</v>
      </c>
    </row>
    <row r="1612" spans="1:12" x14ac:dyDescent="0.25">
      <c r="A1612" t="s">
        <v>795</v>
      </c>
      <c r="B1612" t="s">
        <v>2846</v>
      </c>
      <c r="C1612" t="s">
        <v>1225</v>
      </c>
      <c r="D1612" s="13">
        <v>60000</v>
      </c>
      <c r="F1612" s="10">
        <v>37438</v>
      </c>
      <c r="G1612">
        <v>22</v>
      </c>
      <c r="H1612">
        <v>15</v>
      </c>
      <c r="I1612" t="s">
        <v>1198</v>
      </c>
    </row>
    <row r="1613" spans="1:12" x14ac:dyDescent="0.25">
      <c r="A1613" t="s">
        <v>795</v>
      </c>
      <c r="B1613" t="s">
        <v>2847</v>
      </c>
      <c r="C1613" t="s">
        <v>1225</v>
      </c>
      <c r="D1613" s="13">
        <v>240000</v>
      </c>
      <c r="F1613" s="10">
        <v>36192</v>
      </c>
      <c r="G1613">
        <v>25</v>
      </c>
      <c r="H1613">
        <v>15</v>
      </c>
      <c r="I1613" t="s">
        <v>1198</v>
      </c>
    </row>
    <row r="1614" spans="1:12" x14ac:dyDescent="0.25">
      <c r="A1614" t="s">
        <v>795</v>
      </c>
      <c r="B1614" t="s">
        <v>2848</v>
      </c>
      <c r="C1614" t="s">
        <v>1225</v>
      </c>
      <c r="I1614" t="s">
        <v>1198</v>
      </c>
    </row>
    <row r="1615" spans="1:12" x14ac:dyDescent="0.25">
      <c r="A1615" t="s">
        <v>795</v>
      </c>
      <c r="B1615" t="s">
        <v>2849</v>
      </c>
      <c r="C1615" t="s">
        <v>1225</v>
      </c>
      <c r="D1615" s="13">
        <v>240000</v>
      </c>
      <c r="F1615" s="10">
        <v>36192</v>
      </c>
      <c r="G1615">
        <v>25</v>
      </c>
      <c r="H1615">
        <v>15</v>
      </c>
      <c r="I1615" t="s">
        <v>1198</v>
      </c>
    </row>
    <row r="1616" spans="1:12" x14ac:dyDescent="0.25">
      <c r="A1616" t="s">
        <v>795</v>
      </c>
      <c r="B1616" t="s">
        <v>2850</v>
      </c>
      <c r="C1616" t="s">
        <v>1225</v>
      </c>
      <c r="D1616" s="13">
        <v>180000</v>
      </c>
      <c r="I1616" t="s">
        <v>1198</v>
      </c>
    </row>
    <row r="1617" spans="1:12" x14ac:dyDescent="0.25">
      <c r="A1617" t="s">
        <v>795</v>
      </c>
      <c r="B1617" t="s">
        <v>2851</v>
      </c>
      <c r="C1617" t="s">
        <v>1225</v>
      </c>
      <c r="D1617" s="13">
        <v>300000</v>
      </c>
      <c r="F1617" s="10">
        <v>45754</v>
      </c>
      <c r="I1617" t="s">
        <v>1198</v>
      </c>
    </row>
    <row r="1618" spans="1:12" x14ac:dyDescent="0.25">
      <c r="A1618" t="s">
        <v>795</v>
      </c>
      <c r="B1618" t="s">
        <v>2852</v>
      </c>
      <c r="C1618" t="s">
        <v>1225</v>
      </c>
      <c r="F1618" s="10">
        <v>45754</v>
      </c>
      <c r="I1618" t="s">
        <v>1198</v>
      </c>
    </row>
    <row r="1619" spans="1:12" x14ac:dyDescent="0.25">
      <c r="A1619" t="s">
        <v>795</v>
      </c>
      <c r="B1619" t="s">
        <v>2853</v>
      </c>
      <c r="C1619" t="s">
        <v>1225</v>
      </c>
      <c r="I1619" t="s">
        <v>1198</v>
      </c>
    </row>
    <row r="1620" spans="1:12" x14ac:dyDescent="0.25">
      <c r="A1620" t="s">
        <v>790</v>
      </c>
      <c r="B1620" t="s">
        <v>2854</v>
      </c>
      <c r="C1620" t="s">
        <v>1218</v>
      </c>
      <c r="E1620">
        <v>175</v>
      </c>
      <c r="I1620" t="s">
        <v>1198</v>
      </c>
      <c r="J1620" t="s">
        <v>1219</v>
      </c>
      <c r="K1620" t="s">
        <v>1234</v>
      </c>
      <c r="L1620">
        <v>685.5</v>
      </c>
    </row>
    <row r="1621" spans="1:12" x14ac:dyDescent="0.25">
      <c r="A1621" t="s">
        <v>790</v>
      </c>
      <c r="B1621" t="s">
        <v>2855</v>
      </c>
      <c r="C1621" t="s">
        <v>1225</v>
      </c>
      <c r="D1621" s="13">
        <v>180000</v>
      </c>
      <c r="F1621" s="10">
        <v>32813</v>
      </c>
      <c r="G1621">
        <v>34</v>
      </c>
      <c r="H1621">
        <v>15</v>
      </c>
      <c r="I1621" t="s">
        <v>1198</v>
      </c>
    </row>
    <row r="1622" spans="1:12" x14ac:dyDescent="0.25">
      <c r="A1622" t="s">
        <v>790</v>
      </c>
      <c r="B1622" t="s">
        <v>2856</v>
      </c>
      <c r="C1622" t="s">
        <v>1222</v>
      </c>
      <c r="I1622" t="s">
        <v>1198</v>
      </c>
    </row>
    <row r="1623" spans="1:12" x14ac:dyDescent="0.25">
      <c r="A1623" t="s">
        <v>790</v>
      </c>
      <c r="B1623" t="s">
        <v>2857</v>
      </c>
      <c r="C1623" t="s">
        <v>1225</v>
      </c>
      <c r="D1623" s="13">
        <v>180000</v>
      </c>
      <c r="I1623" t="s">
        <v>1198</v>
      </c>
    </row>
    <row r="1624" spans="1:12" x14ac:dyDescent="0.25">
      <c r="A1624" t="s">
        <v>790</v>
      </c>
      <c r="B1624" t="s">
        <v>2858</v>
      </c>
      <c r="C1624" t="s">
        <v>1222</v>
      </c>
      <c r="D1624" s="13">
        <v>180000</v>
      </c>
      <c r="I1624" t="s">
        <v>1198</v>
      </c>
    </row>
    <row r="1625" spans="1:12" x14ac:dyDescent="0.25">
      <c r="A1625" t="s">
        <v>790</v>
      </c>
      <c r="B1625" t="s">
        <v>2859</v>
      </c>
      <c r="C1625" t="s">
        <v>1225</v>
      </c>
      <c r="D1625" s="13">
        <v>180000</v>
      </c>
      <c r="F1625" s="10">
        <v>32813</v>
      </c>
      <c r="I1625" t="s">
        <v>1198</v>
      </c>
    </row>
    <row r="1626" spans="1:12" x14ac:dyDescent="0.25">
      <c r="A1626" t="s">
        <v>790</v>
      </c>
      <c r="B1626" t="s">
        <v>2860</v>
      </c>
      <c r="C1626" t="s">
        <v>1222</v>
      </c>
      <c r="I1626" t="s">
        <v>1198</v>
      </c>
    </row>
    <row r="1627" spans="1:12" x14ac:dyDescent="0.25">
      <c r="A1627" t="s">
        <v>665</v>
      </c>
      <c r="B1627" t="s">
        <v>2861</v>
      </c>
      <c r="C1627" t="s">
        <v>1222</v>
      </c>
      <c r="D1627" s="13">
        <v>90000</v>
      </c>
      <c r="F1627" s="10">
        <v>33604</v>
      </c>
      <c r="G1627">
        <v>32</v>
      </c>
      <c r="H1627">
        <v>15</v>
      </c>
      <c r="I1627" t="s">
        <v>1198</v>
      </c>
    </row>
    <row r="1628" spans="1:12" x14ac:dyDescent="0.25">
      <c r="A1628" t="s">
        <v>665</v>
      </c>
      <c r="B1628" t="s">
        <v>2862</v>
      </c>
      <c r="C1628" t="s">
        <v>1222</v>
      </c>
      <c r="D1628" s="13">
        <v>60000</v>
      </c>
      <c r="F1628" s="10">
        <v>33604</v>
      </c>
      <c r="G1628">
        <v>32</v>
      </c>
      <c r="H1628">
        <v>15</v>
      </c>
      <c r="I1628" t="s">
        <v>1198</v>
      </c>
    </row>
    <row r="1629" spans="1:12" x14ac:dyDescent="0.25">
      <c r="A1629" t="s">
        <v>665</v>
      </c>
      <c r="B1629" t="s">
        <v>2863</v>
      </c>
      <c r="C1629" t="s">
        <v>1225</v>
      </c>
      <c r="D1629" s="13">
        <v>90000</v>
      </c>
      <c r="I1629" t="s">
        <v>1198</v>
      </c>
    </row>
    <row r="1630" spans="1:12" x14ac:dyDescent="0.25">
      <c r="A1630" t="s">
        <v>665</v>
      </c>
      <c r="B1630" t="s">
        <v>2864</v>
      </c>
      <c r="C1630" t="s">
        <v>1225</v>
      </c>
      <c r="D1630" s="13">
        <v>60000</v>
      </c>
      <c r="F1630" s="10">
        <v>33604</v>
      </c>
      <c r="G1630">
        <v>32</v>
      </c>
      <c r="H1630">
        <v>15</v>
      </c>
      <c r="I1630" t="s">
        <v>1198</v>
      </c>
    </row>
    <row r="1631" spans="1:12" x14ac:dyDescent="0.25">
      <c r="A1631" t="s">
        <v>665</v>
      </c>
      <c r="B1631" t="s">
        <v>2865</v>
      </c>
      <c r="C1631" t="s">
        <v>1218</v>
      </c>
      <c r="E1631">
        <v>75</v>
      </c>
      <c r="I1631" t="s">
        <v>1198</v>
      </c>
      <c r="J1631" t="s">
        <v>1219</v>
      </c>
      <c r="K1631" t="s">
        <v>1220</v>
      </c>
      <c r="L1631">
        <v>1813.8</v>
      </c>
    </row>
    <row r="1632" spans="1:12" x14ac:dyDescent="0.25">
      <c r="A1632" t="s">
        <v>665</v>
      </c>
      <c r="B1632" t="s">
        <v>2866</v>
      </c>
      <c r="C1632" t="s">
        <v>1296</v>
      </c>
      <c r="D1632" s="13">
        <v>90000</v>
      </c>
      <c r="F1632" s="10">
        <v>33604</v>
      </c>
      <c r="I1632" t="s">
        <v>1198</v>
      </c>
    </row>
    <row r="1633" spans="1:12" x14ac:dyDescent="0.25">
      <c r="A1633" t="s">
        <v>665</v>
      </c>
      <c r="B1633" t="s">
        <v>2867</v>
      </c>
      <c r="C1633" t="s">
        <v>1260</v>
      </c>
      <c r="F1633" s="10">
        <v>45324</v>
      </c>
      <c r="I1633" t="s">
        <v>1198</v>
      </c>
    </row>
    <row r="1634" spans="1:12" x14ac:dyDescent="0.25">
      <c r="A1634" t="s">
        <v>281</v>
      </c>
      <c r="B1634" t="s">
        <v>2868</v>
      </c>
      <c r="C1634" t="s">
        <v>1218</v>
      </c>
      <c r="E1634">
        <v>60</v>
      </c>
      <c r="I1634" t="s">
        <v>1198</v>
      </c>
      <c r="J1634" t="s">
        <v>1219</v>
      </c>
      <c r="K1634" t="s">
        <v>1234</v>
      </c>
      <c r="L1634">
        <v>578</v>
      </c>
    </row>
    <row r="1635" spans="1:12" x14ac:dyDescent="0.25">
      <c r="A1635" t="s">
        <v>281</v>
      </c>
      <c r="B1635" t="s">
        <v>2869</v>
      </c>
      <c r="C1635" t="s">
        <v>1238</v>
      </c>
      <c r="D1635" s="13">
        <v>60000</v>
      </c>
      <c r="F1635" s="10">
        <v>38687</v>
      </c>
      <c r="G1635">
        <v>18</v>
      </c>
      <c r="H1635">
        <v>15</v>
      </c>
      <c r="I1635" t="s">
        <v>1198</v>
      </c>
    </row>
    <row r="1636" spans="1:12" x14ac:dyDescent="0.25">
      <c r="A1636" t="s">
        <v>281</v>
      </c>
      <c r="B1636" t="s">
        <v>2870</v>
      </c>
      <c r="C1636" t="s">
        <v>1225</v>
      </c>
      <c r="D1636" s="13">
        <v>48000</v>
      </c>
      <c r="F1636" s="10">
        <v>41244</v>
      </c>
      <c r="G1636">
        <v>11</v>
      </c>
      <c r="H1636">
        <v>15</v>
      </c>
      <c r="I1636" t="s">
        <v>1199</v>
      </c>
    </row>
    <row r="1637" spans="1:12" x14ac:dyDescent="0.25">
      <c r="A1637" t="s">
        <v>281</v>
      </c>
      <c r="B1637" t="s">
        <v>2871</v>
      </c>
      <c r="C1637" t="s">
        <v>1222</v>
      </c>
      <c r="F1637" s="10">
        <v>42095</v>
      </c>
      <c r="G1637">
        <v>9</v>
      </c>
      <c r="H1637">
        <v>15</v>
      </c>
      <c r="I1637" t="s">
        <v>1199</v>
      </c>
    </row>
    <row r="1638" spans="1:12" x14ac:dyDescent="0.25">
      <c r="A1638" t="s">
        <v>281</v>
      </c>
      <c r="B1638" t="s">
        <v>2872</v>
      </c>
      <c r="C1638" t="s">
        <v>1238</v>
      </c>
      <c r="D1638" s="13">
        <v>60000</v>
      </c>
      <c r="F1638" s="10">
        <v>45457</v>
      </c>
      <c r="I1638" t="s">
        <v>1198</v>
      </c>
    </row>
    <row r="1639" spans="1:12" x14ac:dyDescent="0.25">
      <c r="A1639" t="s">
        <v>281</v>
      </c>
      <c r="B1639" t="s">
        <v>2873</v>
      </c>
      <c r="C1639" t="s">
        <v>1225</v>
      </c>
      <c r="I1639" t="s">
        <v>1198</v>
      </c>
    </row>
    <row r="1640" spans="1:12" x14ac:dyDescent="0.25">
      <c r="A1640" t="s">
        <v>281</v>
      </c>
      <c r="B1640" t="s">
        <v>2874</v>
      </c>
      <c r="C1640" t="s">
        <v>1222</v>
      </c>
      <c r="I1640" t="s">
        <v>1198</v>
      </c>
    </row>
    <row r="1641" spans="1:12" x14ac:dyDescent="0.25">
      <c r="A1641" t="s">
        <v>774</v>
      </c>
      <c r="B1641" t="s">
        <v>2875</v>
      </c>
      <c r="C1641" t="s">
        <v>1222</v>
      </c>
      <c r="F1641" s="10">
        <v>32143</v>
      </c>
      <c r="G1641">
        <v>36</v>
      </c>
      <c r="H1641">
        <v>15</v>
      </c>
      <c r="I1641" t="s">
        <v>1198</v>
      </c>
    </row>
    <row r="1642" spans="1:12" x14ac:dyDescent="0.25">
      <c r="A1642" t="s">
        <v>774</v>
      </c>
      <c r="B1642" t="s">
        <v>2876</v>
      </c>
      <c r="C1642" t="s">
        <v>1225</v>
      </c>
      <c r="F1642" s="10">
        <v>41122</v>
      </c>
      <c r="G1642">
        <v>12</v>
      </c>
      <c r="H1642">
        <v>15</v>
      </c>
      <c r="I1642" t="s">
        <v>1199</v>
      </c>
    </row>
    <row r="1643" spans="1:12" x14ac:dyDescent="0.25">
      <c r="A1643" t="s">
        <v>774</v>
      </c>
      <c r="B1643" t="s">
        <v>2877</v>
      </c>
      <c r="C1643" t="s">
        <v>1218</v>
      </c>
      <c r="E1643">
        <v>200</v>
      </c>
      <c r="F1643" s="10">
        <v>42200</v>
      </c>
      <c r="G1643">
        <v>9</v>
      </c>
      <c r="H1643">
        <v>25</v>
      </c>
      <c r="I1643" t="s">
        <v>1199</v>
      </c>
      <c r="J1643" t="s">
        <v>1219</v>
      </c>
      <c r="K1643" t="s">
        <v>1220</v>
      </c>
      <c r="L1643">
        <v>85.3</v>
      </c>
    </row>
    <row r="1644" spans="1:12" x14ac:dyDescent="0.25">
      <c r="A1644" t="s">
        <v>774</v>
      </c>
      <c r="B1644" t="s">
        <v>2878</v>
      </c>
      <c r="C1644" t="s">
        <v>1225</v>
      </c>
      <c r="D1644" s="13">
        <v>180000</v>
      </c>
      <c r="I1644" t="s">
        <v>1198</v>
      </c>
    </row>
    <row r="1645" spans="1:12" x14ac:dyDescent="0.25">
      <c r="A1645" t="s">
        <v>774</v>
      </c>
      <c r="B1645" t="s">
        <v>2879</v>
      </c>
      <c r="C1645" t="s">
        <v>1225</v>
      </c>
      <c r="D1645" s="13">
        <v>180000</v>
      </c>
      <c r="F1645" s="10">
        <v>32143</v>
      </c>
      <c r="G1645">
        <v>36</v>
      </c>
      <c r="H1645">
        <v>15</v>
      </c>
      <c r="I1645" t="s">
        <v>1198</v>
      </c>
    </row>
    <row r="1646" spans="1:12" x14ac:dyDescent="0.25">
      <c r="A1646" t="s">
        <v>774</v>
      </c>
      <c r="B1646" t="s">
        <v>2880</v>
      </c>
      <c r="C1646" t="s">
        <v>1222</v>
      </c>
      <c r="F1646" s="10">
        <v>41122</v>
      </c>
      <c r="G1646">
        <v>12</v>
      </c>
      <c r="H1646">
        <v>15</v>
      </c>
      <c r="I1646" t="s">
        <v>1199</v>
      </c>
    </row>
    <row r="1647" spans="1:12" x14ac:dyDescent="0.25">
      <c r="A1647" t="s">
        <v>774</v>
      </c>
      <c r="B1647" t="s">
        <v>2881</v>
      </c>
      <c r="C1647" t="s">
        <v>1225</v>
      </c>
      <c r="D1647" s="13">
        <v>180000</v>
      </c>
      <c r="F1647" s="10">
        <v>42005</v>
      </c>
      <c r="G1647">
        <v>9</v>
      </c>
      <c r="H1647">
        <v>15</v>
      </c>
      <c r="I1647" t="s">
        <v>1199</v>
      </c>
    </row>
    <row r="1648" spans="1:12" x14ac:dyDescent="0.25">
      <c r="A1648" t="s">
        <v>774</v>
      </c>
      <c r="B1648" t="s">
        <v>2882</v>
      </c>
      <c r="C1648" t="s">
        <v>1222</v>
      </c>
      <c r="D1648" s="13">
        <v>240000</v>
      </c>
      <c r="F1648" s="10">
        <v>41275</v>
      </c>
      <c r="G1648">
        <v>11</v>
      </c>
      <c r="H1648">
        <v>15</v>
      </c>
      <c r="I1648" t="s">
        <v>1199</v>
      </c>
    </row>
    <row r="1649" spans="1:12" x14ac:dyDescent="0.25">
      <c r="A1649" t="s">
        <v>774</v>
      </c>
      <c r="B1649" t="s">
        <v>2883</v>
      </c>
      <c r="C1649" t="s">
        <v>1222</v>
      </c>
      <c r="D1649" s="13">
        <v>240000</v>
      </c>
      <c r="F1649" s="10">
        <v>41275</v>
      </c>
      <c r="G1649">
        <v>11</v>
      </c>
      <c r="H1649">
        <v>15</v>
      </c>
      <c r="I1649" t="s">
        <v>1199</v>
      </c>
    </row>
    <row r="1650" spans="1:12" x14ac:dyDescent="0.25">
      <c r="A1650" t="s">
        <v>774</v>
      </c>
      <c r="B1650" t="s">
        <v>2884</v>
      </c>
      <c r="C1650" t="s">
        <v>1222</v>
      </c>
      <c r="D1650" s="13">
        <v>180000</v>
      </c>
      <c r="F1650" s="10">
        <v>42005</v>
      </c>
      <c r="G1650">
        <v>9</v>
      </c>
      <c r="H1650">
        <v>15</v>
      </c>
      <c r="I1650" t="s">
        <v>1199</v>
      </c>
    </row>
    <row r="1651" spans="1:12" x14ac:dyDescent="0.25">
      <c r="A1651" t="s">
        <v>774</v>
      </c>
      <c r="B1651" t="s">
        <v>2885</v>
      </c>
      <c r="C1651" t="s">
        <v>1222</v>
      </c>
      <c r="D1651" s="13">
        <v>180000</v>
      </c>
      <c r="I1651" t="s">
        <v>1198</v>
      </c>
    </row>
    <row r="1652" spans="1:12" x14ac:dyDescent="0.25">
      <c r="A1652" t="s">
        <v>774</v>
      </c>
      <c r="B1652" t="s">
        <v>2886</v>
      </c>
      <c r="C1652" t="s">
        <v>1296</v>
      </c>
      <c r="D1652" s="13">
        <v>60000</v>
      </c>
      <c r="F1652" s="10">
        <v>41275</v>
      </c>
      <c r="G1652">
        <v>11</v>
      </c>
      <c r="H1652">
        <v>15</v>
      </c>
      <c r="I1652" t="s">
        <v>1199</v>
      </c>
    </row>
    <row r="1653" spans="1:12" x14ac:dyDescent="0.25">
      <c r="A1653" t="s">
        <v>774</v>
      </c>
      <c r="B1653" t="s">
        <v>2887</v>
      </c>
      <c r="C1653" t="s">
        <v>1225</v>
      </c>
      <c r="D1653">
        <v>15</v>
      </c>
      <c r="F1653" s="10">
        <v>45103</v>
      </c>
      <c r="G1653">
        <v>1</v>
      </c>
      <c r="H1653">
        <v>15</v>
      </c>
      <c r="I1653" t="s">
        <v>1199</v>
      </c>
    </row>
    <row r="1654" spans="1:12" x14ac:dyDescent="0.25">
      <c r="A1654" t="s">
        <v>774</v>
      </c>
      <c r="B1654" t="s">
        <v>2888</v>
      </c>
      <c r="C1654" t="s">
        <v>1225</v>
      </c>
      <c r="D1654" s="13">
        <v>180000</v>
      </c>
      <c r="I1654" t="s">
        <v>1198</v>
      </c>
    </row>
    <row r="1655" spans="1:12" x14ac:dyDescent="0.25">
      <c r="A1655" t="s">
        <v>774</v>
      </c>
      <c r="B1655" t="s">
        <v>2889</v>
      </c>
      <c r="C1655" t="s">
        <v>1222</v>
      </c>
      <c r="F1655" s="10">
        <v>41122</v>
      </c>
      <c r="I1655" t="s">
        <v>1198</v>
      </c>
    </row>
    <row r="1656" spans="1:12" x14ac:dyDescent="0.25">
      <c r="A1656" t="s">
        <v>774</v>
      </c>
      <c r="B1656" t="s">
        <v>2890</v>
      </c>
      <c r="C1656" t="s">
        <v>1222</v>
      </c>
      <c r="D1656" s="13">
        <v>180000</v>
      </c>
      <c r="I1656" t="s">
        <v>1198</v>
      </c>
    </row>
    <row r="1657" spans="1:12" x14ac:dyDescent="0.25">
      <c r="A1657" t="s">
        <v>774</v>
      </c>
      <c r="B1657" t="s">
        <v>2891</v>
      </c>
      <c r="C1657" t="s">
        <v>1225</v>
      </c>
      <c r="D1657" s="13">
        <v>180000</v>
      </c>
      <c r="F1657" s="10">
        <v>44562</v>
      </c>
      <c r="I1657" t="s">
        <v>1198</v>
      </c>
    </row>
    <row r="1658" spans="1:12" x14ac:dyDescent="0.25">
      <c r="A1658" t="s">
        <v>778</v>
      </c>
      <c r="B1658" t="s">
        <v>2892</v>
      </c>
      <c r="C1658" t="s">
        <v>1218</v>
      </c>
      <c r="E1658">
        <v>125</v>
      </c>
      <c r="F1658" s="10">
        <v>39083</v>
      </c>
      <c r="G1658">
        <v>17</v>
      </c>
      <c r="H1658">
        <v>25</v>
      </c>
      <c r="I1658" t="s">
        <v>1199</v>
      </c>
      <c r="J1658" t="s">
        <v>1219</v>
      </c>
      <c r="K1658" t="s">
        <v>1234</v>
      </c>
      <c r="L1658">
        <v>384.8</v>
      </c>
    </row>
    <row r="1659" spans="1:12" x14ac:dyDescent="0.25">
      <c r="A1659" t="s">
        <v>778</v>
      </c>
      <c r="B1659" t="s">
        <v>2893</v>
      </c>
      <c r="C1659" t="s">
        <v>1222</v>
      </c>
      <c r="D1659" s="13">
        <v>120000</v>
      </c>
      <c r="F1659" s="10">
        <v>37987</v>
      </c>
      <c r="G1659">
        <v>20</v>
      </c>
      <c r="H1659">
        <v>15</v>
      </c>
      <c r="I1659" t="s">
        <v>1198</v>
      </c>
    </row>
    <row r="1660" spans="1:12" x14ac:dyDescent="0.25">
      <c r="A1660" t="s">
        <v>778</v>
      </c>
      <c r="B1660" t="s">
        <v>2894</v>
      </c>
      <c r="C1660" t="s">
        <v>1225</v>
      </c>
      <c r="D1660" s="13">
        <v>60000</v>
      </c>
      <c r="F1660" s="10">
        <v>35186</v>
      </c>
      <c r="G1660">
        <v>28</v>
      </c>
      <c r="H1660">
        <v>15</v>
      </c>
      <c r="I1660" t="s">
        <v>1198</v>
      </c>
    </row>
    <row r="1661" spans="1:12" x14ac:dyDescent="0.25">
      <c r="A1661" t="s">
        <v>778</v>
      </c>
      <c r="B1661" t="s">
        <v>2895</v>
      </c>
      <c r="C1661" t="s">
        <v>1222</v>
      </c>
      <c r="F1661" s="10">
        <v>34943</v>
      </c>
      <c r="G1661">
        <v>29</v>
      </c>
      <c r="H1661">
        <v>15</v>
      </c>
      <c r="I1661" t="s">
        <v>1198</v>
      </c>
    </row>
    <row r="1662" spans="1:12" x14ac:dyDescent="0.25">
      <c r="A1662" t="s">
        <v>778</v>
      </c>
      <c r="B1662" t="s">
        <v>2896</v>
      </c>
      <c r="C1662" t="s">
        <v>1225</v>
      </c>
      <c r="D1662" s="13">
        <v>120000</v>
      </c>
      <c r="F1662" s="10">
        <v>38047</v>
      </c>
      <c r="G1662">
        <v>20</v>
      </c>
      <c r="H1662">
        <v>15</v>
      </c>
      <c r="I1662" t="s">
        <v>1198</v>
      </c>
    </row>
    <row r="1663" spans="1:12" x14ac:dyDescent="0.25">
      <c r="A1663" t="s">
        <v>778</v>
      </c>
      <c r="B1663" t="s">
        <v>2897</v>
      </c>
      <c r="C1663" t="s">
        <v>1222</v>
      </c>
      <c r="F1663" s="10">
        <v>44496</v>
      </c>
      <c r="G1663">
        <v>2</v>
      </c>
      <c r="H1663">
        <v>15</v>
      </c>
      <c r="I1663" t="s">
        <v>1199</v>
      </c>
    </row>
    <row r="1664" spans="1:12" x14ac:dyDescent="0.25">
      <c r="A1664" t="s">
        <v>778</v>
      </c>
      <c r="B1664" t="s">
        <v>2898</v>
      </c>
      <c r="C1664" t="s">
        <v>1225</v>
      </c>
      <c r="I1664" t="s">
        <v>1198</v>
      </c>
    </row>
    <row r="1665" spans="1:12" x14ac:dyDescent="0.25">
      <c r="A1665" t="s">
        <v>778</v>
      </c>
      <c r="B1665" t="s">
        <v>2899</v>
      </c>
      <c r="C1665" t="s">
        <v>1225</v>
      </c>
      <c r="F1665" s="10">
        <v>45294</v>
      </c>
      <c r="I1665" t="s">
        <v>1198</v>
      </c>
    </row>
    <row r="1666" spans="1:12" x14ac:dyDescent="0.25">
      <c r="A1666" t="s">
        <v>778</v>
      </c>
      <c r="B1666" t="s">
        <v>2900</v>
      </c>
      <c r="C1666" t="s">
        <v>1222</v>
      </c>
      <c r="F1666" s="10">
        <v>45294</v>
      </c>
      <c r="I1666" t="s">
        <v>1198</v>
      </c>
    </row>
    <row r="1667" spans="1:12" x14ac:dyDescent="0.25">
      <c r="A1667" t="s">
        <v>778</v>
      </c>
      <c r="B1667" t="s">
        <v>2901</v>
      </c>
      <c r="C1667" t="s">
        <v>1225</v>
      </c>
      <c r="I1667" t="s">
        <v>1198</v>
      </c>
    </row>
    <row r="1668" spans="1:12" x14ac:dyDescent="0.25">
      <c r="A1668" t="s">
        <v>778</v>
      </c>
      <c r="B1668" t="s">
        <v>2902</v>
      </c>
      <c r="C1668" t="s">
        <v>1222</v>
      </c>
      <c r="I1668" t="s">
        <v>1198</v>
      </c>
    </row>
    <row r="1669" spans="1:12" x14ac:dyDescent="0.25">
      <c r="A1669" t="s">
        <v>782</v>
      </c>
      <c r="B1669" t="s">
        <v>2903</v>
      </c>
      <c r="C1669" t="s">
        <v>1222</v>
      </c>
      <c r="F1669" s="10">
        <v>41640</v>
      </c>
      <c r="G1669">
        <v>10</v>
      </c>
      <c r="H1669">
        <v>15</v>
      </c>
      <c r="I1669" t="s">
        <v>1199</v>
      </c>
    </row>
    <row r="1670" spans="1:12" x14ac:dyDescent="0.25">
      <c r="A1670" t="s">
        <v>782</v>
      </c>
      <c r="B1670" t="s">
        <v>2904</v>
      </c>
      <c r="C1670" t="s">
        <v>1218</v>
      </c>
      <c r="E1670">
        <v>100</v>
      </c>
      <c r="F1670" s="10">
        <v>42194</v>
      </c>
      <c r="G1670">
        <v>9</v>
      </c>
      <c r="H1670">
        <v>25</v>
      </c>
      <c r="I1670" t="s">
        <v>1199</v>
      </c>
      <c r="J1670" t="s">
        <v>1219</v>
      </c>
      <c r="K1670" t="s">
        <v>1220</v>
      </c>
      <c r="L1670">
        <v>85.6</v>
      </c>
    </row>
    <row r="1671" spans="1:12" x14ac:dyDescent="0.25">
      <c r="A1671" t="s">
        <v>782</v>
      </c>
      <c r="B1671" t="s">
        <v>2905</v>
      </c>
      <c r="C1671" t="s">
        <v>1225</v>
      </c>
      <c r="F1671" s="10">
        <v>41721</v>
      </c>
      <c r="G1671">
        <v>10</v>
      </c>
      <c r="H1671">
        <v>15</v>
      </c>
      <c r="I1671" t="s">
        <v>1199</v>
      </c>
    </row>
    <row r="1672" spans="1:12" x14ac:dyDescent="0.25">
      <c r="A1672" t="s">
        <v>782</v>
      </c>
      <c r="B1672" t="s">
        <v>2906</v>
      </c>
      <c r="C1672" t="s">
        <v>1222</v>
      </c>
      <c r="F1672" s="10">
        <v>41721</v>
      </c>
      <c r="G1672">
        <v>10</v>
      </c>
      <c r="H1672">
        <v>15</v>
      </c>
      <c r="I1672" t="s">
        <v>1199</v>
      </c>
    </row>
    <row r="1673" spans="1:12" x14ac:dyDescent="0.25">
      <c r="A1673" t="s">
        <v>782</v>
      </c>
      <c r="B1673" t="s">
        <v>2907</v>
      </c>
      <c r="C1673" t="s">
        <v>1225</v>
      </c>
      <c r="I1673" t="s">
        <v>1198</v>
      </c>
    </row>
    <row r="1674" spans="1:12" x14ac:dyDescent="0.25">
      <c r="A1674" t="s">
        <v>782</v>
      </c>
      <c r="B1674" t="s">
        <v>2908</v>
      </c>
      <c r="C1674" t="s">
        <v>1222</v>
      </c>
      <c r="F1674" s="10">
        <v>41640</v>
      </c>
      <c r="I1674" t="s">
        <v>1198</v>
      </c>
    </row>
    <row r="1675" spans="1:12" x14ac:dyDescent="0.25">
      <c r="A1675" t="s">
        <v>786</v>
      </c>
      <c r="B1675" t="s">
        <v>2909</v>
      </c>
      <c r="C1675" t="s">
        <v>1225</v>
      </c>
      <c r="D1675" s="13">
        <v>90000</v>
      </c>
      <c r="F1675" s="10">
        <v>37408</v>
      </c>
      <c r="G1675">
        <v>22</v>
      </c>
      <c r="H1675">
        <v>15</v>
      </c>
      <c r="I1675" t="s">
        <v>1198</v>
      </c>
    </row>
    <row r="1676" spans="1:12" x14ac:dyDescent="0.25">
      <c r="A1676" t="s">
        <v>786</v>
      </c>
      <c r="B1676" t="s">
        <v>2910</v>
      </c>
      <c r="C1676" t="s">
        <v>1222</v>
      </c>
      <c r="F1676" s="10">
        <v>37408</v>
      </c>
      <c r="G1676">
        <v>22</v>
      </c>
      <c r="H1676">
        <v>15</v>
      </c>
      <c r="I1676" t="s">
        <v>1198</v>
      </c>
    </row>
    <row r="1677" spans="1:12" x14ac:dyDescent="0.25">
      <c r="A1677" t="s">
        <v>786</v>
      </c>
      <c r="B1677" t="s">
        <v>2911</v>
      </c>
      <c r="C1677" t="s">
        <v>1225</v>
      </c>
      <c r="D1677" s="13">
        <v>60000</v>
      </c>
      <c r="I1677" t="s">
        <v>1198</v>
      </c>
    </row>
    <row r="1678" spans="1:12" x14ac:dyDescent="0.25">
      <c r="A1678" t="s">
        <v>786</v>
      </c>
      <c r="B1678" t="s">
        <v>2912</v>
      </c>
      <c r="C1678" t="s">
        <v>1222</v>
      </c>
      <c r="I1678" t="s">
        <v>1198</v>
      </c>
    </row>
    <row r="1679" spans="1:12" x14ac:dyDescent="0.25">
      <c r="A1679" t="s">
        <v>786</v>
      </c>
      <c r="B1679" t="s">
        <v>2913</v>
      </c>
      <c r="C1679" t="s">
        <v>1218</v>
      </c>
      <c r="E1679">
        <v>75</v>
      </c>
      <c r="F1679" s="10">
        <v>42193</v>
      </c>
      <c r="G1679">
        <v>9</v>
      </c>
      <c r="H1679">
        <v>25</v>
      </c>
      <c r="I1679" t="s">
        <v>1199</v>
      </c>
      <c r="J1679" t="s">
        <v>1219</v>
      </c>
      <c r="K1679" t="s">
        <v>1220</v>
      </c>
      <c r="L1679">
        <v>190.6</v>
      </c>
    </row>
    <row r="1680" spans="1:12" x14ac:dyDescent="0.25">
      <c r="A1680" t="s">
        <v>786</v>
      </c>
      <c r="B1680" t="s">
        <v>2914</v>
      </c>
      <c r="C1680" t="s">
        <v>1222</v>
      </c>
      <c r="D1680">
        <v>90</v>
      </c>
      <c r="F1680" s="10">
        <v>44197</v>
      </c>
      <c r="G1680">
        <v>3</v>
      </c>
      <c r="H1680">
        <v>15</v>
      </c>
      <c r="I1680" t="s">
        <v>1199</v>
      </c>
    </row>
    <row r="1681" spans="1:12" x14ac:dyDescent="0.25">
      <c r="A1681" t="s">
        <v>786</v>
      </c>
      <c r="B1681" t="s">
        <v>2915</v>
      </c>
      <c r="C1681" t="s">
        <v>1225</v>
      </c>
      <c r="I1681" t="s">
        <v>1198</v>
      </c>
    </row>
    <row r="1682" spans="1:12" x14ac:dyDescent="0.25">
      <c r="A1682" t="s">
        <v>786</v>
      </c>
      <c r="B1682" t="s">
        <v>2916</v>
      </c>
      <c r="C1682" t="s">
        <v>1222</v>
      </c>
      <c r="D1682">
        <v>90</v>
      </c>
      <c r="F1682" s="10">
        <v>44197</v>
      </c>
      <c r="I1682" t="s">
        <v>1198</v>
      </c>
    </row>
    <row r="1683" spans="1:12" x14ac:dyDescent="0.25">
      <c r="A1683" t="s">
        <v>477</v>
      </c>
      <c r="B1683" t="s">
        <v>2917</v>
      </c>
      <c r="C1683" t="s">
        <v>1218</v>
      </c>
      <c r="E1683">
        <v>350</v>
      </c>
      <c r="F1683" s="10">
        <v>30742</v>
      </c>
      <c r="G1683">
        <v>40</v>
      </c>
      <c r="H1683">
        <v>25</v>
      </c>
      <c r="I1683" t="s">
        <v>1198</v>
      </c>
      <c r="J1683" t="s">
        <v>1219</v>
      </c>
      <c r="K1683" t="s">
        <v>1220</v>
      </c>
      <c r="L1683">
        <v>836.6</v>
      </c>
    </row>
    <row r="1684" spans="1:12" x14ac:dyDescent="0.25">
      <c r="A1684" t="s">
        <v>477</v>
      </c>
      <c r="B1684" t="s">
        <v>2918</v>
      </c>
      <c r="C1684" t="s">
        <v>1225</v>
      </c>
      <c r="D1684" s="13">
        <v>24000</v>
      </c>
      <c r="F1684" s="10">
        <v>35370</v>
      </c>
      <c r="G1684">
        <v>27</v>
      </c>
      <c r="H1684">
        <v>15</v>
      </c>
      <c r="I1684" t="s">
        <v>1198</v>
      </c>
    </row>
    <row r="1685" spans="1:12" x14ac:dyDescent="0.25">
      <c r="A1685" t="s">
        <v>477</v>
      </c>
      <c r="B1685" t="s">
        <v>2919</v>
      </c>
      <c r="C1685" t="s">
        <v>1222</v>
      </c>
      <c r="I1685" t="s">
        <v>1198</v>
      </c>
    </row>
    <row r="1686" spans="1:12" x14ac:dyDescent="0.25">
      <c r="A1686" t="s">
        <v>477</v>
      </c>
      <c r="B1686" t="s">
        <v>2920</v>
      </c>
      <c r="C1686" t="s">
        <v>1225</v>
      </c>
      <c r="D1686" s="13">
        <v>36000</v>
      </c>
      <c r="F1686" s="10">
        <v>35156</v>
      </c>
      <c r="G1686">
        <v>28</v>
      </c>
      <c r="H1686">
        <v>15</v>
      </c>
      <c r="I1686" t="s">
        <v>1198</v>
      </c>
    </row>
    <row r="1687" spans="1:12" x14ac:dyDescent="0.25">
      <c r="A1687" t="s">
        <v>477</v>
      </c>
      <c r="B1687" t="s">
        <v>2921</v>
      </c>
      <c r="C1687" t="s">
        <v>1222</v>
      </c>
      <c r="D1687" s="13">
        <v>36000</v>
      </c>
      <c r="F1687" s="10">
        <v>35156</v>
      </c>
      <c r="G1687">
        <v>28</v>
      </c>
      <c r="H1687">
        <v>15</v>
      </c>
      <c r="I1687" t="s">
        <v>1198</v>
      </c>
    </row>
    <row r="1688" spans="1:12" x14ac:dyDescent="0.25">
      <c r="A1688" t="s">
        <v>477</v>
      </c>
      <c r="B1688" t="s">
        <v>2922</v>
      </c>
      <c r="C1688" t="s">
        <v>1225</v>
      </c>
      <c r="D1688" s="13">
        <v>36000</v>
      </c>
      <c r="F1688" s="10">
        <v>40725</v>
      </c>
      <c r="G1688">
        <v>13</v>
      </c>
      <c r="H1688">
        <v>15</v>
      </c>
      <c r="I1688" t="s">
        <v>1199</v>
      </c>
    </row>
    <row r="1689" spans="1:12" x14ac:dyDescent="0.25">
      <c r="A1689" t="s">
        <v>477</v>
      </c>
      <c r="B1689" t="s">
        <v>2923</v>
      </c>
      <c r="C1689" t="s">
        <v>1225</v>
      </c>
      <c r="D1689" s="13">
        <v>90000</v>
      </c>
      <c r="F1689" s="10">
        <v>36739</v>
      </c>
      <c r="G1689">
        <v>24</v>
      </c>
      <c r="H1689">
        <v>15</v>
      </c>
      <c r="I1689" t="s">
        <v>1198</v>
      </c>
    </row>
    <row r="1690" spans="1:12" x14ac:dyDescent="0.25">
      <c r="A1690" t="s">
        <v>477</v>
      </c>
      <c r="B1690" t="s">
        <v>2924</v>
      </c>
      <c r="C1690" t="s">
        <v>1225</v>
      </c>
      <c r="D1690" s="13">
        <v>12000</v>
      </c>
      <c r="F1690" s="10">
        <v>38718</v>
      </c>
      <c r="G1690">
        <v>18</v>
      </c>
      <c r="H1690">
        <v>15</v>
      </c>
      <c r="I1690" t="s">
        <v>1198</v>
      </c>
    </row>
    <row r="1691" spans="1:12" x14ac:dyDescent="0.25">
      <c r="A1691" t="s">
        <v>477</v>
      </c>
      <c r="B1691" t="s">
        <v>2925</v>
      </c>
      <c r="C1691" t="s">
        <v>1225</v>
      </c>
      <c r="D1691" s="13">
        <v>120000</v>
      </c>
      <c r="F1691" s="10">
        <v>38718</v>
      </c>
      <c r="G1691">
        <v>18</v>
      </c>
      <c r="H1691">
        <v>15</v>
      </c>
      <c r="I1691" t="s">
        <v>1198</v>
      </c>
    </row>
    <row r="1692" spans="1:12" x14ac:dyDescent="0.25">
      <c r="A1692" t="s">
        <v>477</v>
      </c>
      <c r="B1692" t="s">
        <v>2926</v>
      </c>
      <c r="C1692" t="s">
        <v>1225</v>
      </c>
      <c r="D1692" s="13">
        <v>18000</v>
      </c>
      <c r="F1692" s="10">
        <v>36281</v>
      </c>
      <c r="G1692">
        <v>25</v>
      </c>
      <c r="H1692">
        <v>15</v>
      </c>
      <c r="I1692" t="s">
        <v>1198</v>
      </c>
    </row>
    <row r="1693" spans="1:12" x14ac:dyDescent="0.25">
      <c r="A1693" t="s">
        <v>477</v>
      </c>
      <c r="B1693" t="s">
        <v>2927</v>
      </c>
      <c r="C1693" t="s">
        <v>1225</v>
      </c>
      <c r="D1693" s="13">
        <v>12000</v>
      </c>
      <c r="F1693" s="10">
        <v>36647</v>
      </c>
      <c r="G1693">
        <v>24</v>
      </c>
      <c r="H1693">
        <v>15</v>
      </c>
      <c r="I1693" t="s">
        <v>1198</v>
      </c>
    </row>
    <row r="1694" spans="1:12" x14ac:dyDescent="0.25">
      <c r="A1694" t="s">
        <v>477</v>
      </c>
      <c r="B1694" t="s">
        <v>2928</v>
      </c>
      <c r="C1694" t="s">
        <v>1222</v>
      </c>
      <c r="D1694" s="13">
        <v>36000</v>
      </c>
      <c r="F1694" s="10">
        <v>40969</v>
      </c>
      <c r="G1694">
        <v>12</v>
      </c>
      <c r="H1694">
        <v>15</v>
      </c>
      <c r="I1694" t="s">
        <v>1199</v>
      </c>
    </row>
    <row r="1695" spans="1:12" x14ac:dyDescent="0.25">
      <c r="A1695" t="s">
        <v>477</v>
      </c>
      <c r="B1695" t="s">
        <v>2929</v>
      </c>
      <c r="C1695" t="s">
        <v>1222</v>
      </c>
      <c r="D1695" s="13">
        <v>80000</v>
      </c>
      <c r="F1695" s="10">
        <v>36586</v>
      </c>
      <c r="G1695">
        <v>24</v>
      </c>
      <c r="H1695">
        <v>15</v>
      </c>
      <c r="I1695" t="s">
        <v>1198</v>
      </c>
    </row>
    <row r="1696" spans="1:12" x14ac:dyDescent="0.25">
      <c r="A1696" t="s">
        <v>477</v>
      </c>
      <c r="B1696" t="s">
        <v>2930</v>
      </c>
      <c r="C1696" t="s">
        <v>1222</v>
      </c>
      <c r="D1696" s="13">
        <v>24000</v>
      </c>
      <c r="I1696" t="s">
        <v>1198</v>
      </c>
    </row>
    <row r="1697" spans="1:9" x14ac:dyDescent="0.25">
      <c r="A1697" t="s">
        <v>477</v>
      </c>
      <c r="B1697" t="s">
        <v>2931</v>
      </c>
      <c r="C1697" t="s">
        <v>1222</v>
      </c>
      <c r="I1697" t="s">
        <v>1198</v>
      </c>
    </row>
    <row r="1698" spans="1:9" x14ac:dyDescent="0.25">
      <c r="A1698" t="s">
        <v>477</v>
      </c>
      <c r="B1698" t="s">
        <v>2932</v>
      </c>
      <c r="C1698" t="s">
        <v>1222</v>
      </c>
      <c r="D1698" s="13">
        <v>18000</v>
      </c>
      <c r="F1698" s="10">
        <v>36373</v>
      </c>
      <c r="G1698">
        <v>25</v>
      </c>
      <c r="H1698">
        <v>15</v>
      </c>
      <c r="I1698" t="s">
        <v>1198</v>
      </c>
    </row>
    <row r="1699" spans="1:9" x14ac:dyDescent="0.25">
      <c r="A1699" t="s">
        <v>477</v>
      </c>
      <c r="B1699" t="s">
        <v>2933</v>
      </c>
      <c r="C1699" t="s">
        <v>1222</v>
      </c>
      <c r="D1699" s="13">
        <v>36000</v>
      </c>
      <c r="F1699" s="10">
        <v>31199</v>
      </c>
      <c r="G1699">
        <v>39</v>
      </c>
      <c r="H1699">
        <v>15</v>
      </c>
      <c r="I1699" t="s">
        <v>1198</v>
      </c>
    </row>
    <row r="1700" spans="1:9" x14ac:dyDescent="0.25">
      <c r="A1700" t="s">
        <v>477</v>
      </c>
      <c r="B1700" t="s">
        <v>2934</v>
      </c>
      <c r="C1700" t="s">
        <v>1222</v>
      </c>
      <c r="D1700" s="13">
        <v>120000</v>
      </c>
      <c r="F1700" s="10">
        <v>37135</v>
      </c>
      <c r="G1700">
        <v>23</v>
      </c>
      <c r="H1700">
        <v>15</v>
      </c>
      <c r="I1700" t="s">
        <v>1198</v>
      </c>
    </row>
    <row r="1701" spans="1:9" x14ac:dyDescent="0.25">
      <c r="A1701" t="s">
        <v>477</v>
      </c>
      <c r="B1701" t="s">
        <v>2935</v>
      </c>
      <c r="C1701" t="s">
        <v>1222</v>
      </c>
      <c r="D1701" s="13">
        <v>120000</v>
      </c>
      <c r="F1701" s="10">
        <v>36739</v>
      </c>
      <c r="G1701">
        <v>24</v>
      </c>
      <c r="H1701">
        <v>15</v>
      </c>
      <c r="I1701" t="s">
        <v>1198</v>
      </c>
    </row>
    <row r="1702" spans="1:9" x14ac:dyDescent="0.25">
      <c r="A1702" t="s">
        <v>477</v>
      </c>
      <c r="B1702" t="s">
        <v>2936</v>
      </c>
      <c r="C1702" t="s">
        <v>1225</v>
      </c>
      <c r="D1702" s="13">
        <v>80000</v>
      </c>
      <c r="F1702" s="10">
        <v>35370</v>
      </c>
      <c r="G1702">
        <v>27</v>
      </c>
      <c r="H1702">
        <v>15</v>
      </c>
      <c r="I1702" t="s">
        <v>1198</v>
      </c>
    </row>
    <row r="1703" spans="1:9" x14ac:dyDescent="0.25">
      <c r="A1703" t="s">
        <v>477</v>
      </c>
      <c r="B1703" t="s">
        <v>2937</v>
      </c>
      <c r="C1703" t="s">
        <v>1222</v>
      </c>
      <c r="I1703" t="s">
        <v>1198</v>
      </c>
    </row>
    <row r="1704" spans="1:9" x14ac:dyDescent="0.25">
      <c r="A1704" t="s">
        <v>477</v>
      </c>
      <c r="B1704" t="s">
        <v>2938</v>
      </c>
      <c r="C1704" t="s">
        <v>1222</v>
      </c>
      <c r="D1704" s="13">
        <v>80000</v>
      </c>
      <c r="F1704" s="10">
        <v>36586</v>
      </c>
      <c r="G1704">
        <v>24</v>
      </c>
      <c r="H1704">
        <v>15</v>
      </c>
      <c r="I1704" t="s">
        <v>1198</v>
      </c>
    </row>
    <row r="1705" spans="1:9" x14ac:dyDescent="0.25">
      <c r="A1705" t="s">
        <v>477</v>
      </c>
      <c r="B1705" t="s">
        <v>2939</v>
      </c>
      <c r="C1705" t="s">
        <v>1225</v>
      </c>
      <c r="D1705" s="13">
        <v>72000</v>
      </c>
      <c r="I1705" t="s">
        <v>1198</v>
      </c>
    </row>
    <row r="1706" spans="1:9" x14ac:dyDescent="0.25">
      <c r="A1706" t="s">
        <v>477</v>
      </c>
      <c r="B1706" t="s">
        <v>2940</v>
      </c>
      <c r="C1706" t="s">
        <v>1225</v>
      </c>
      <c r="I1706" t="s">
        <v>1198</v>
      </c>
    </row>
    <row r="1707" spans="1:9" x14ac:dyDescent="0.25">
      <c r="A1707" t="s">
        <v>477</v>
      </c>
      <c r="B1707" t="s">
        <v>2941</v>
      </c>
      <c r="C1707" t="s">
        <v>1225</v>
      </c>
      <c r="D1707" s="13">
        <v>12000</v>
      </c>
      <c r="I1707" t="s">
        <v>1198</v>
      </c>
    </row>
    <row r="1708" spans="1:9" x14ac:dyDescent="0.25">
      <c r="A1708" t="s">
        <v>477</v>
      </c>
      <c r="B1708" t="s">
        <v>2942</v>
      </c>
      <c r="C1708" t="s">
        <v>1260</v>
      </c>
      <c r="D1708" s="13">
        <v>120000</v>
      </c>
      <c r="F1708" s="10">
        <v>32843</v>
      </c>
      <c r="I1708" t="s">
        <v>1198</v>
      </c>
    </row>
    <row r="1709" spans="1:9" x14ac:dyDescent="0.25">
      <c r="A1709" t="s">
        <v>477</v>
      </c>
      <c r="B1709" t="s">
        <v>2943</v>
      </c>
      <c r="C1709" t="s">
        <v>1260</v>
      </c>
      <c r="D1709" s="13">
        <v>90000</v>
      </c>
      <c r="F1709" s="10">
        <v>32813</v>
      </c>
      <c r="I1709" t="s">
        <v>1198</v>
      </c>
    </row>
    <row r="1710" spans="1:9" x14ac:dyDescent="0.25">
      <c r="A1710" t="s">
        <v>477</v>
      </c>
      <c r="B1710" t="s">
        <v>2944</v>
      </c>
      <c r="C1710" t="s">
        <v>1260</v>
      </c>
      <c r="D1710" s="13">
        <v>90000</v>
      </c>
      <c r="F1710" s="10">
        <v>32813</v>
      </c>
      <c r="I1710" t="s">
        <v>1198</v>
      </c>
    </row>
    <row r="1711" spans="1:9" x14ac:dyDescent="0.25">
      <c r="A1711" t="s">
        <v>477</v>
      </c>
      <c r="B1711" t="s">
        <v>2945</v>
      </c>
      <c r="C1711" t="s">
        <v>1260</v>
      </c>
      <c r="D1711" s="13">
        <v>12000</v>
      </c>
      <c r="F1711" s="10">
        <v>42491</v>
      </c>
      <c r="I1711" t="s">
        <v>1198</v>
      </c>
    </row>
    <row r="1712" spans="1:9" x14ac:dyDescent="0.25">
      <c r="A1712" t="s">
        <v>477</v>
      </c>
      <c r="B1712" t="s">
        <v>2946</v>
      </c>
      <c r="C1712" t="s">
        <v>1260</v>
      </c>
      <c r="D1712" s="13">
        <v>60000</v>
      </c>
      <c r="F1712" s="10">
        <v>36861</v>
      </c>
      <c r="I1712" t="s">
        <v>1198</v>
      </c>
    </row>
    <row r="1713" spans="1:12" x14ac:dyDescent="0.25">
      <c r="A1713" t="s">
        <v>477</v>
      </c>
      <c r="B1713" t="s">
        <v>2947</v>
      </c>
      <c r="C1713" t="s">
        <v>1260</v>
      </c>
      <c r="D1713" s="13">
        <v>90000</v>
      </c>
      <c r="F1713" s="10">
        <v>32568</v>
      </c>
      <c r="I1713" t="s">
        <v>1198</v>
      </c>
    </row>
    <row r="1714" spans="1:12" x14ac:dyDescent="0.25">
      <c r="A1714" t="s">
        <v>477</v>
      </c>
      <c r="B1714" t="s">
        <v>2948</v>
      </c>
      <c r="C1714" t="s">
        <v>1222</v>
      </c>
      <c r="I1714" t="s">
        <v>1198</v>
      </c>
    </row>
    <row r="1715" spans="1:12" x14ac:dyDescent="0.25">
      <c r="A1715" t="s">
        <v>477</v>
      </c>
      <c r="B1715" t="s">
        <v>2949</v>
      </c>
      <c r="C1715" t="s">
        <v>1225</v>
      </c>
      <c r="D1715" s="13">
        <v>36000</v>
      </c>
      <c r="F1715" s="10">
        <v>45288</v>
      </c>
      <c r="I1715" t="s">
        <v>1198</v>
      </c>
    </row>
    <row r="1716" spans="1:12" x14ac:dyDescent="0.25">
      <c r="A1716" t="s">
        <v>477</v>
      </c>
      <c r="B1716" t="s">
        <v>2950</v>
      </c>
      <c r="C1716" t="s">
        <v>1222</v>
      </c>
      <c r="D1716" s="13">
        <v>36000</v>
      </c>
      <c r="F1716" s="10">
        <v>45288</v>
      </c>
      <c r="I1716" t="s">
        <v>1198</v>
      </c>
    </row>
    <row r="1717" spans="1:12" x14ac:dyDescent="0.25">
      <c r="A1717" t="s">
        <v>477</v>
      </c>
      <c r="B1717" t="s">
        <v>2951</v>
      </c>
      <c r="C1717" t="s">
        <v>1222</v>
      </c>
      <c r="I1717" t="s">
        <v>1198</v>
      </c>
    </row>
    <row r="1718" spans="1:12" x14ac:dyDescent="0.25">
      <c r="A1718" t="s">
        <v>616</v>
      </c>
      <c r="B1718" t="s">
        <v>2952</v>
      </c>
      <c r="C1718" t="s">
        <v>1218</v>
      </c>
      <c r="E1718">
        <v>100</v>
      </c>
      <c r="F1718" s="10">
        <v>40179</v>
      </c>
      <c r="G1718">
        <v>14</v>
      </c>
      <c r="H1718">
        <v>25</v>
      </c>
      <c r="I1718" t="s">
        <v>1199</v>
      </c>
      <c r="J1718" t="s">
        <v>1219</v>
      </c>
      <c r="K1718" t="s">
        <v>1234</v>
      </c>
      <c r="L1718">
        <v>321</v>
      </c>
    </row>
    <row r="1719" spans="1:12" x14ac:dyDescent="0.25">
      <c r="A1719" t="s">
        <v>616</v>
      </c>
      <c r="B1719" t="s">
        <v>2953</v>
      </c>
      <c r="C1719" t="s">
        <v>1225</v>
      </c>
      <c r="D1719" s="13">
        <v>96000</v>
      </c>
      <c r="F1719" s="10">
        <v>34335</v>
      </c>
      <c r="G1719">
        <v>30</v>
      </c>
      <c r="H1719">
        <v>15</v>
      </c>
      <c r="I1719" t="s">
        <v>1198</v>
      </c>
    </row>
    <row r="1720" spans="1:12" x14ac:dyDescent="0.25">
      <c r="A1720" t="s">
        <v>616</v>
      </c>
      <c r="B1720" t="s">
        <v>2954</v>
      </c>
      <c r="C1720" t="s">
        <v>1222</v>
      </c>
      <c r="D1720" s="13">
        <v>180000</v>
      </c>
      <c r="F1720" s="10">
        <v>34335</v>
      </c>
      <c r="G1720">
        <v>30</v>
      </c>
      <c r="H1720">
        <v>15</v>
      </c>
      <c r="I1720" t="s">
        <v>1198</v>
      </c>
    </row>
    <row r="1721" spans="1:12" x14ac:dyDescent="0.25">
      <c r="A1721" t="s">
        <v>616</v>
      </c>
      <c r="B1721" t="s">
        <v>2955</v>
      </c>
      <c r="C1721" t="s">
        <v>1225</v>
      </c>
      <c r="D1721" s="13">
        <v>96000</v>
      </c>
      <c r="F1721" s="10">
        <v>34335</v>
      </c>
      <c r="G1721">
        <v>30</v>
      </c>
      <c r="H1721">
        <v>15</v>
      </c>
      <c r="I1721" t="s">
        <v>1198</v>
      </c>
    </row>
    <row r="1722" spans="1:12" x14ac:dyDescent="0.25">
      <c r="A1722" t="s">
        <v>616</v>
      </c>
      <c r="B1722" t="s">
        <v>2956</v>
      </c>
      <c r="C1722" t="s">
        <v>1222</v>
      </c>
      <c r="D1722" s="13">
        <v>180000</v>
      </c>
      <c r="F1722" s="10">
        <v>34335</v>
      </c>
      <c r="G1722">
        <v>30</v>
      </c>
      <c r="H1722">
        <v>15</v>
      </c>
      <c r="I1722" t="s">
        <v>1198</v>
      </c>
    </row>
    <row r="1723" spans="1:12" x14ac:dyDescent="0.25">
      <c r="A1723" t="s">
        <v>616</v>
      </c>
      <c r="B1723" t="s">
        <v>2957</v>
      </c>
      <c r="C1723" t="s">
        <v>1225</v>
      </c>
      <c r="D1723" s="13">
        <v>40500</v>
      </c>
      <c r="I1723" t="s">
        <v>1198</v>
      </c>
    </row>
    <row r="1724" spans="1:12" x14ac:dyDescent="0.25">
      <c r="A1724" t="s">
        <v>616</v>
      </c>
      <c r="B1724" t="s">
        <v>2958</v>
      </c>
      <c r="C1724" t="s">
        <v>1222</v>
      </c>
      <c r="D1724" s="13">
        <v>40500</v>
      </c>
      <c r="I1724" t="s">
        <v>1198</v>
      </c>
    </row>
    <row r="1725" spans="1:12" x14ac:dyDescent="0.25">
      <c r="A1725" t="s">
        <v>616</v>
      </c>
      <c r="B1725" t="s">
        <v>2959</v>
      </c>
      <c r="C1725" t="s">
        <v>1222</v>
      </c>
      <c r="D1725" s="13">
        <v>180000</v>
      </c>
      <c r="F1725" s="10">
        <v>34335</v>
      </c>
      <c r="I1725" t="s">
        <v>1198</v>
      </c>
    </row>
    <row r="1726" spans="1:12" x14ac:dyDescent="0.25">
      <c r="A1726" t="s">
        <v>616</v>
      </c>
      <c r="B1726" t="s">
        <v>2960</v>
      </c>
      <c r="C1726" t="s">
        <v>1222</v>
      </c>
      <c r="D1726" s="13">
        <v>180000</v>
      </c>
      <c r="F1726" s="10">
        <v>34335</v>
      </c>
      <c r="I1726" t="s">
        <v>1198</v>
      </c>
    </row>
    <row r="1727" spans="1:12" x14ac:dyDescent="0.25">
      <c r="A1727" t="s">
        <v>621</v>
      </c>
      <c r="B1727" t="s">
        <v>2961</v>
      </c>
      <c r="C1727" t="s">
        <v>1218</v>
      </c>
      <c r="E1727">
        <v>150</v>
      </c>
      <c r="I1727" t="s">
        <v>1198</v>
      </c>
      <c r="J1727" t="s">
        <v>1219</v>
      </c>
      <c r="K1727" t="s">
        <v>1234</v>
      </c>
      <c r="L1727">
        <v>362</v>
      </c>
    </row>
    <row r="1728" spans="1:12" x14ac:dyDescent="0.25">
      <c r="A1728" t="s">
        <v>621</v>
      </c>
      <c r="B1728" t="s">
        <v>2962</v>
      </c>
      <c r="C1728" t="s">
        <v>1225</v>
      </c>
      <c r="D1728" s="13">
        <v>90000</v>
      </c>
      <c r="F1728" s="10">
        <v>39814</v>
      </c>
      <c r="G1728">
        <v>15</v>
      </c>
      <c r="H1728">
        <v>15</v>
      </c>
      <c r="I1728" t="s">
        <v>1198</v>
      </c>
    </row>
    <row r="1729" spans="1:12" x14ac:dyDescent="0.25">
      <c r="A1729" t="s">
        <v>621</v>
      </c>
      <c r="B1729" t="s">
        <v>2963</v>
      </c>
      <c r="C1729" t="s">
        <v>1225</v>
      </c>
      <c r="D1729" s="13">
        <v>90000</v>
      </c>
      <c r="F1729" s="10">
        <v>39814</v>
      </c>
      <c r="G1729">
        <v>15</v>
      </c>
      <c r="H1729">
        <v>15</v>
      </c>
      <c r="I1729" t="s">
        <v>1198</v>
      </c>
    </row>
    <row r="1730" spans="1:12" x14ac:dyDescent="0.25">
      <c r="A1730" t="s">
        <v>621</v>
      </c>
      <c r="B1730" t="s">
        <v>2964</v>
      </c>
      <c r="C1730" t="s">
        <v>1222</v>
      </c>
      <c r="D1730" s="13">
        <v>79200</v>
      </c>
      <c r="F1730" s="10">
        <v>40909</v>
      </c>
      <c r="G1730">
        <v>12</v>
      </c>
      <c r="H1730">
        <v>15</v>
      </c>
      <c r="I1730" t="s">
        <v>1199</v>
      </c>
    </row>
    <row r="1731" spans="1:12" x14ac:dyDescent="0.25">
      <c r="A1731" t="s">
        <v>621</v>
      </c>
      <c r="B1731" t="s">
        <v>2965</v>
      </c>
      <c r="C1731" t="s">
        <v>1225</v>
      </c>
      <c r="D1731" s="13">
        <v>90000</v>
      </c>
      <c r="F1731" s="10">
        <v>41275</v>
      </c>
      <c r="G1731">
        <v>11</v>
      </c>
      <c r="H1731">
        <v>15</v>
      </c>
      <c r="I1731" t="s">
        <v>1199</v>
      </c>
    </row>
    <row r="1732" spans="1:12" x14ac:dyDescent="0.25">
      <c r="A1732" t="s">
        <v>621</v>
      </c>
      <c r="B1732" t="s">
        <v>2966</v>
      </c>
      <c r="C1732" t="s">
        <v>1222</v>
      </c>
      <c r="D1732" s="13">
        <v>90000</v>
      </c>
      <c r="F1732" s="10">
        <v>39448</v>
      </c>
      <c r="G1732">
        <v>16</v>
      </c>
      <c r="H1732">
        <v>15</v>
      </c>
      <c r="I1732" t="s">
        <v>1198</v>
      </c>
    </row>
    <row r="1733" spans="1:12" x14ac:dyDescent="0.25">
      <c r="A1733" t="s">
        <v>621</v>
      </c>
      <c r="B1733" t="s">
        <v>2967</v>
      </c>
      <c r="C1733" t="s">
        <v>1222</v>
      </c>
      <c r="F1733" s="10">
        <v>38353</v>
      </c>
      <c r="G1733">
        <v>19</v>
      </c>
      <c r="H1733">
        <v>15</v>
      </c>
      <c r="I1733" t="s">
        <v>1198</v>
      </c>
    </row>
    <row r="1734" spans="1:12" x14ac:dyDescent="0.25">
      <c r="A1734" t="s">
        <v>621</v>
      </c>
      <c r="B1734" t="s">
        <v>2968</v>
      </c>
      <c r="C1734" t="s">
        <v>1225</v>
      </c>
      <c r="I1734" t="s">
        <v>1198</v>
      </c>
    </row>
    <row r="1735" spans="1:12" x14ac:dyDescent="0.25">
      <c r="A1735" t="s">
        <v>621</v>
      </c>
      <c r="B1735" t="s">
        <v>2969</v>
      </c>
      <c r="C1735" t="s">
        <v>1222</v>
      </c>
      <c r="D1735" s="13">
        <v>36000</v>
      </c>
      <c r="I1735" t="s">
        <v>1198</v>
      </c>
    </row>
    <row r="1736" spans="1:12" x14ac:dyDescent="0.25">
      <c r="A1736" t="s">
        <v>971</v>
      </c>
      <c r="B1736" t="s">
        <v>2970</v>
      </c>
      <c r="C1736" t="s">
        <v>1222</v>
      </c>
      <c r="D1736" s="13">
        <v>60000</v>
      </c>
      <c r="F1736" s="10">
        <v>36892</v>
      </c>
      <c r="G1736">
        <v>23</v>
      </c>
      <c r="H1736">
        <v>15</v>
      </c>
      <c r="I1736" t="s">
        <v>1198</v>
      </c>
    </row>
    <row r="1737" spans="1:12" x14ac:dyDescent="0.25">
      <c r="A1737" t="s">
        <v>971</v>
      </c>
      <c r="B1737" t="s">
        <v>2971</v>
      </c>
      <c r="C1737" t="s">
        <v>1238</v>
      </c>
      <c r="D1737" s="13">
        <v>60000</v>
      </c>
      <c r="F1737" s="10">
        <v>36161</v>
      </c>
      <c r="G1737">
        <v>25</v>
      </c>
      <c r="H1737">
        <v>15</v>
      </c>
      <c r="I1737" t="s">
        <v>1198</v>
      </c>
    </row>
    <row r="1738" spans="1:12" x14ac:dyDescent="0.25">
      <c r="A1738" t="s">
        <v>971</v>
      </c>
      <c r="B1738" t="s">
        <v>2972</v>
      </c>
      <c r="C1738" t="s">
        <v>1238</v>
      </c>
      <c r="D1738" s="13">
        <v>60000</v>
      </c>
      <c r="F1738" s="10">
        <v>36161</v>
      </c>
      <c r="G1738">
        <v>25</v>
      </c>
      <c r="H1738">
        <v>15</v>
      </c>
      <c r="I1738" t="s">
        <v>1198</v>
      </c>
    </row>
    <row r="1739" spans="1:12" x14ac:dyDescent="0.25">
      <c r="A1739" t="s">
        <v>971</v>
      </c>
      <c r="B1739" t="s">
        <v>2973</v>
      </c>
      <c r="C1739" t="s">
        <v>1225</v>
      </c>
      <c r="D1739" s="13">
        <v>60000</v>
      </c>
      <c r="I1739" t="s">
        <v>1198</v>
      </c>
    </row>
    <row r="1740" spans="1:12" x14ac:dyDescent="0.25">
      <c r="A1740" t="s">
        <v>971</v>
      </c>
      <c r="B1740" t="s">
        <v>2974</v>
      </c>
      <c r="C1740" t="s">
        <v>1218</v>
      </c>
      <c r="E1740">
        <v>150</v>
      </c>
      <c r="F1740" s="10">
        <v>42736</v>
      </c>
      <c r="G1740">
        <v>7</v>
      </c>
      <c r="H1740">
        <v>25</v>
      </c>
      <c r="I1740" t="s">
        <v>1199</v>
      </c>
      <c r="J1740" t="s">
        <v>1219</v>
      </c>
      <c r="K1740" t="s">
        <v>1220</v>
      </c>
      <c r="L1740">
        <v>138</v>
      </c>
    </row>
    <row r="1741" spans="1:12" x14ac:dyDescent="0.25">
      <c r="A1741" t="s">
        <v>971</v>
      </c>
      <c r="B1741" t="s">
        <v>2975</v>
      </c>
      <c r="C1741" t="s">
        <v>1238</v>
      </c>
      <c r="D1741" s="13">
        <v>60000</v>
      </c>
      <c r="I1741" t="s">
        <v>1198</v>
      </c>
    </row>
    <row r="1742" spans="1:12" x14ac:dyDescent="0.25">
      <c r="A1742" t="s">
        <v>971</v>
      </c>
      <c r="B1742" t="s">
        <v>2976</v>
      </c>
      <c r="C1742" t="s">
        <v>1238</v>
      </c>
      <c r="D1742" s="13">
        <v>60000</v>
      </c>
      <c r="F1742" s="10">
        <v>43831</v>
      </c>
      <c r="G1742">
        <v>4</v>
      </c>
      <c r="H1742">
        <v>15</v>
      </c>
      <c r="I1742" t="s">
        <v>1199</v>
      </c>
    </row>
    <row r="1743" spans="1:12" x14ac:dyDescent="0.25">
      <c r="A1743" t="s">
        <v>971</v>
      </c>
      <c r="B1743" t="s">
        <v>2977</v>
      </c>
      <c r="C1743" t="s">
        <v>1238</v>
      </c>
      <c r="D1743" s="13">
        <v>60000</v>
      </c>
      <c r="F1743" s="10">
        <v>45992</v>
      </c>
      <c r="I1743" t="s">
        <v>1198</v>
      </c>
    </row>
    <row r="1744" spans="1:12" x14ac:dyDescent="0.25">
      <c r="A1744" t="s">
        <v>294</v>
      </c>
      <c r="B1744" t="s">
        <v>2978</v>
      </c>
      <c r="C1744" t="s">
        <v>1222</v>
      </c>
      <c r="D1744" s="13">
        <v>60000</v>
      </c>
      <c r="F1744" s="10">
        <v>39965</v>
      </c>
      <c r="G1744">
        <v>15</v>
      </c>
      <c r="H1744">
        <v>15</v>
      </c>
      <c r="I1744" t="s">
        <v>1198</v>
      </c>
    </row>
    <row r="1745" spans="1:12" x14ac:dyDescent="0.25">
      <c r="A1745" t="s">
        <v>294</v>
      </c>
      <c r="B1745" t="s">
        <v>2979</v>
      </c>
      <c r="C1745" t="s">
        <v>1222</v>
      </c>
      <c r="D1745" s="13">
        <v>60000</v>
      </c>
      <c r="F1745" s="10">
        <v>39965</v>
      </c>
      <c r="G1745">
        <v>15</v>
      </c>
      <c r="H1745">
        <v>15</v>
      </c>
      <c r="I1745" t="s">
        <v>1198</v>
      </c>
    </row>
    <row r="1746" spans="1:12" x14ac:dyDescent="0.25">
      <c r="A1746" t="s">
        <v>294</v>
      </c>
      <c r="B1746" t="s">
        <v>2980</v>
      </c>
      <c r="C1746" t="s">
        <v>1296</v>
      </c>
      <c r="D1746" s="13">
        <v>60000</v>
      </c>
      <c r="F1746" s="10">
        <v>38504</v>
      </c>
      <c r="G1746">
        <v>19</v>
      </c>
      <c r="H1746">
        <v>15</v>
      </c>
      <c r="I1746" t="s">
        <v>1198</v>
      </c>
    </row>
    <row r="1747" spans="1:12" x14ac:dyDescent="0.25">
      <c r="A1747" t="s">
        <v>294</v>
      </c>
      <c r="B1747" t="s">
        <v>2981</v>
      </c>
      <c r="C1747" t="s">
        <v>1225</v>
      </c>
      <c r="D1747" s="13">
        <v>60000</v>
      </c>
      <c r="F1747" s="10">
        <v>38687</v>
      </c>
      <c r="G1747">
        <v>18</v>
      </c>
      <c r="H1747">
        <v>15</v>
      </c>
      <c r="I1747" t="s">
        <v>1198</v>
      </c>
    </row>
    <row r="1748" spans="1:12" x14ac:dyDescent="0.25">
      <c r="A1748" t="s">
        <v>294</v>
      </c>
      <c r="B1748" t="s">
        <v>2982</v>
      </c>
      <c r="C1748" t="s">
        <v>1218</v>
      </c>
      <c r="E1748">
        <v>40</v>
      </c>
      <c r="F1748" s="10">
        <v>43983</v>
      </c>
      <c r="G1748">
        <v>4</v>
      </c>
      <c r="H1748">
        <v>25</v>
      </c>
      <c r="I1748" t="s">
        <v>1199</v>
      </c>
      <c r="J1748" t="s">
        <v>1219</v>
      </c>
      <c r="K1748" t="s">
        <v>1220</v>
      </c>
      <c r="L1748">
        <v>90.1</v>
      </c>
    </row>
    <row r="1749" spans="1:12" x14ac:dyDescent="0.25">
      <c r="A1749" t="s">
        <v>800</v>
      </c>
      <c r="B1749" t="s">
        <v>2983</v>
      </c>
      <c r="C1749" t="s">
        <v>1218</v>
      </c>
      <c r="E1749">
        <v>102</v>
      </c>
      <c r="I1749" t="s">
        <v>1198</v>
      </c>
      <c r="J1749" t="s">
        <v>1219</v>
      </c>
      <c r="K1749" t="s">
        <v>1234</v>
      </c>
      <c r="L1749">
        <v>214.9</v>
      </c>
    </row>
    <row r="1750" spans="1:12" x14ac:dyDescent="0.25">
      <c r="A1750" t="s">
        <v>800</v>
      </c>
      <c r="B1750" t="s">
        <v>2984</v>
      </c>
      <c r="C1750" t="s">
        <v>1225</v>
      </c>
      <c r="D1750" s="13">
        <v>90000</v>
      </c>
      <c r="F1750" s="10">
        <v>39083</v>
      </c>
      <c r="G1750">
        <v>17</v>
      </c>
      <c r="H1750">
        <v>15</v>
      </c>
      <c r="I1750" t="s">
        <v>1198</v>
      </c>
    </row>
    <row r="1751" spans="1:12" x14ac:dyDescent="0.25">
      <c r="A1751" t="s">
        <v>800</v>
      </c>
      <c r="B1751" t="s">
        <v>2985</v>
      </c>
      <c r="C1751" t="s">
        <v>1225</v>
      </c>
      <c r="D1751" s="13">
        <v>90000</v>
      </c>
      <c r="F1751" s="10">
        <v>39083</v>
      </c>
      <c r="G1751">
        <v>17</v>
      </c>
      <c r="H1751">
        <v>15</v>
      </c>
      <c r="I1751" t="s">
        <v>1198</v>
      </c>
    </row>
    <row r="1752" spans="1:12" x14ac:dyDescent="0.25">
      <c r="A1752" t="s">
        <v>800</v>
      </c>
      <c r="B1752" t="s">
        <v>2986</v>
      </c>
      <c r="C1752" t="s">
        <v>1225</v>
      </c>
      <c r="F1752" s="10">
        <v>25569</v>
      </c>
      <c r="G1752">
        <v>54</v>
      </c>
      <c r="H1752">
        <v>15</v>
      </c>
      <c r="I1752" t="s">
        <v>1198</v>
      </c>
    </row>
    <row r="1753" spans="1:12" x14ac:dyDescent="0.25">
      <c r="A1753" t="s">
        <v>800</v>
      </c>
      <c r="B1753" t="s">
        <v>2987</v>
      </c>
      <c r="C1753" t="s">
        <v>1222</v>
      </c>
      <c r="I1753" t="s">
        <v>1198</v>
      </c>
    </row>
    <row r="1754" spans="1:12" x14ac:dyDescent="0.25">
      <c r="A1754" t="s">
        <v>800</v>
      </c>
      <c r="B1754" t="s">
        <v>2988</v>
      </c>
      <c r="C1754" t="s">
        <v>1225</v>
      </c>
      <c r="I1754" t="s">
        <v>1198</v>
      </c>
    </row>
    <row r="1755" spans="1:12" x14ac:dyDescent="0.25">
      <c r="A1755" t="s">
        <v>805</v>
      </c>
      <c r="B1755" t="s">
        <v>2989</v>
      </c>
      <c r="C1755" t="s">
        <v>1218</v>
      </c>
      <c r="E1755">
        <v>60</v>
      </c>
      <c r="I1755" t="s">
        <v>1198</v>
      </c>
      <c r="J1755" t="s">
        <v>1219</v>
      </c>
      <c r="K1755" t="s">
        <v>1234</v>
      </c>
      <c r="L1755">
        <v>1413</v>
      </c>
    </row>
    <row r="1756" spans="1:12" x14ac:dyDescent="0.25">
      <c r="A1756" t="s">
        <v>805</v>
      </c>
      <c r="B1756" t="s">
        <v>2990</v>
      </c>
      <c r="C1756" t="s">
        <v>1225</v>
      </c>
      <c r="D1756" s="13">
        <v>96000</v>
      </c>
      <c r="I1756" t="s">
        <v>1198</v>
      </c>
    </row>
    <row r="1757" spans="1:12" x14ac:dyDescent="0.25">
      <c r="A1757" t="s">
        <v>805</v>
      </c>
      <c r="B1757" t="s">
        <v>2991</v>
      </c>
      <c r="C1757" t="s">
        <v>1222</v>
      </c>
      <c r="I1757" t="s">
        <v>1198</v>
      </c>
    </row>
    <row r="1758" spans="1:12" x14ac:dyDescent="0.25">
      <c r="A1758" t="s">
        <v>869</v>
      </c>
      <c r="B1758" t="s">
        <v>2992</v>
      </c>
      <c r="C1758" t="s">
        <v>1218</v>
      </c>
      <c r="E1758">
        <v>75</v>
      </c>
      <c r="F1758" s="10">
        <v>30348</v>
      </c>
      <c r="G1758">
        <v>41</v>
      </c>
      <c r="H1758">
        <v>25</v>
      </c>
      <c r="I1758" t="s">
        <v>1198</v>
      </c>
      <c r="J1758" t="s">
        <v>1341</v>
      </c>
      <c r="K1758" t="s">
        <v>1234</v>
      </c>
      <c r="L1758">
        <v>179.7</v>
      </c>
    </row>
    <row r="1759" spans="1:12" x14ac:dyDescent="0.25">
      <c r="A1759" t="s">
        <v>869</v>
      </c>
      <c r="B1759" t="s">
        <v>2993</v>
      </c>
      <c r="C1759" t="s">
        <v>1225</v>
      </c>
      <c r="F1759" s="10">
        <v>30682</v>
      </c>
      <c r="G1759">
        <v>40</v>
      </c>
      <c r="H1759">
        <v>15</v>
      </c>
      <c r="I1759" t="s">
        <v>1198</v>
      </c>
    </row>
    <row r="1760" spans="1:12" x14ac:dyDescent="0.25">
      <c r="A1760" t="s">
        <v>869</v>
      </c>
      <c r="B1760" t="s">
        <v>2994</v>
      </c>
      <c r="C1760" t="s">
        <v>1225</v>
      </c>
      <c r="F1760" s="10">
        <v>30682</v>
      </c>
      <c r="G1760">
        <v>40</v>
      </c>
      <c r="H1760">
        <v>15</v>
      </c>
      <c r="I1760" t="s">
        <v>1198</v>
      </c>
    </row>
    <row r="1761" spans="1:12" x14ac:dyDescent="0.25">
      <c r="A1761" t="s">
        <v>869</v>
      </c>
      <c r="B1761" t="s">
        <v>2995</v>
      </c>
      <c r="C1761" t="s">
        <v>1225</v>
      </c>
      <c r="D1761" s="13">
        <v>84000</v>
      </c>
      <c r="F1761" s="10">
        <v>30682</v>
      </c>
      <c r="G1761">
        <v>40</v>
      </c>
      <c r="H1761">
        <v>15</v>
      </c>
      <c r="I1761" t="s">
        <v>1198</v>
      </c>
    </row>
    <row r="1762" spans="1:12" x14ac:dyDescent="0.25">
      <c r="A1762" t="s">
        <v>869</v>
      </c>
      <c r="B1762" t="s">
        <v>2996</v>
      </c>
      <c r="C1762" t="s">
        <v>1225</v>
      </c>
      <c r="D1762" s="13">
        <v>84000</v>
      </c>
      <c r="F1762" s="10">
        <v>30682</v>
      </c>
      <c r="G1762">
        <v>40</v>
      </c>
      <c r="H1762">
        <v>15</v>
      </c>
      <c r="I1762" t="s">
        <v>1198</v>
      </c>
    </row>
    <row r="1763" spans="1:12" x14ac:dyDescent="0.25">
      <c r="A1763" t="s">
        <v>869</v>
      </c>
      <c r="B1763" t="s">
        <v>2997</v>
      </c>
      <c r="C1763" t="s">
        <v>1222</v>
      </c>
      <c r="D1763" s="13">
        <v>120000</v>
      </c>
      <c r="F1763" s="10">
        <v>42736</v>
      </c>
      <c r="G1763">
        <v>7</v>
      </c>
      <c r="H1763">
        <v>15</v>
      </c>
      <c r="I1763" t="s">
        <v>1199</v>
      </c>
    </row>
    <row r="1764" spans="1:12" x14ac:dyDescent="0.25">
      <c r="A1764" t="s">
        <v>869</v>
      </c>
      <c r="B1764" t="s">
        <v>2998</v>
      </c>
      <c r="C1764" t="s">
        <v>1222</v>
      </c>
      <c r="D1764" s="13">
        <v>84000</v>
      </c>
      <c r="F1764" s="10">
        <v>30682</v>
      </c>
      <c r="G1764">
        <v>40</v>
      </c>
      <c r="H1764">
        <v>15</v>
      </c>
      <c r="I1764" t="s">
        <v>1198</v>
      </c>
    </row>
    <row r="1765" spans="1:12" x14ac:dyDescent="0.25">
      <c r="A1765" t="s">
        <v>869</v>
      </c>
      <c r="B1765" t="s">
        <v>2999</v>
      </c>
      <c r="C1765" t="s">
        <v>1222</v>
      </c>
      <c r="D1765" s="13">
        <v>90000</v>
      </c>
      <c r="F1765" s="10">
        <v>42736</v>
      </c>
      <c r="G1765">
        <v>7</v>
      </c>
      <c r="H1765">
        <v>15</v>
      </c>
      <c r="I1765" t="s">
        <v>1199</v>
      </c>
    </row>
    <row r="1766" spans="1:12" x14ac:dyDescent="0.25">
      <c r="A1766" t="s">
        <v>869</v>
      </c>
      <c r="B1766" t="s">
        <v>3000</v>
      </c>
      <c r="C1766" t="s">
        <v>1225</v>
      </c>
      <c r="F1766" s="10">
        <v>42736</v>
      </c>
      <c r="G1766">
        <v>7</v>
      </c>
      <c r="H1766">
        <v>15</v>
      </c>
      <c r="I1766" t="s">
        <v>1199</v>
      </c>
    </row>
    <row r="1767" spans="1:12" x14ac:dyDescent="0.25">
      <c r="A1767" t="s">
        <v>869</v>
      </c>
      <c r="B1767" t="s">
        <v>3001</v>
      </c>
      <c r="C1767" t="s">
        <v>1225</v>
      </c>
      <c r="F1767" s="10">
        <v>42736</v>
      </c>
      <c r="G1767">
        <v>7</v>
      </c>
      <c r="H1767">
        <v>15</v>
      </c>
      <c r="I1767" t="s">
        <v>1199</v>
      </c>
    </row>
    <row r="1768" spans="1:12" x14ac:dyDescent="0.25">
      <c r="A1768" t="s">
        <v>869</v>
      </c>
      <c r="B1768" t="s">
        <v>3002</v>
      </c>
      <c r="C1768" t="s">
        <v>1225</v>
      </c>
      <c r="F1768" s="10">
        <v>42736</v>
      </c>
      <c r="G1768">
        <v>7</v>
      </c>
      <c r="H1768">
        <v>15</v>
      </c>
      <c r="I1768" t="s">
        <v>1199</v>
      </c>
    </row>
    <row r="1769" spans="1:12" x14ac:dyDescent="0.25">
      <c r="A1769" t="s">
        <v>869</v>
      </c>
      <c r="B1769" t="s">
        <v>3003</v>
      </c>
      <c r="C1769" t="s">
        <v>1225</v>
      </c>
      <c r="F1769" s="10">
        <v>42736</v>
      </c>
      <c r="G1769">
        <v>7</v>
      </c>
      <c r="H1769">
        <v>15</v>
      </c>
      <c r="I1769" t="s">
        <v>1199</v>
      </c>
    </row>
    <row r="1770" spans="1:12" x14ac:dyDescent="0.25">
      <c r="A1770" t="s">
        <v>869</v>
      </c>
      <c r="B1770" t="s">
        <v>3004</v>
      </c>
      <c r="C1770" t="s">
        <v>1222</v>
      </c>
      <c r="D1770" s="13">
        <v>76000</v>
      </c>
      <c r="I1770" t="s">
        <v>1198</v>
      </c>
    </row>
    <row r="1771" spans="1:12" x14ac:dyDescent="0.25">
      <c r="A1771" t="s">
        <v>869</v>
      </c>
      <c r="B1771" t="s">
        <v>3005</v>
      </c>
      <c r="C1771" t="s">
        <v>1222</v>
      </c>
      <c r="I1771" t="s">
        <v>1198</v>
      </c>
    </row>
    <row r="1772" spans="1:12" x14ac:dyDescent="0.25">
      <c r="A1772" t="s">
        <v>873</v>
      </c>
      <c r="B1772" t="s">
        <v>3006</v>
      </c>
      <c r="C1772" t="s">
        <v>1218</v>
      </c>
      <c r="E1772">
        <v>100</v>
      </c>
      <c r="F1772" s="10">
        <v>36831</v>
      </c>
      <c r="G1772">
        <v>23</v>
      </c>
      <c r="H1772">
        <v>25</v>
      </c>
      <c r="I1772" t="s">
        <v>1199</v>
      </c>
      <c r="J1772" t="s">
        <v>1219</v>
      </c>
      <c r="K1772" t="s">
        <v>1234</v>
      </c>
      <c r="L1772">
        <v>503.3</v>
      </c>
    </row>
    <row r="1773" spans="1:12" x14ac:dyDescent="0.25">
      <c r="A1773" t="s">
        <v>873</v>
      </c>
      <c r="B1773" t="s">
        <v>3007</v>
      </c>
      <c r="C1773" t="s">
        <v>1225</v>
      </c>
      <c r="D1773" s="13">
        <v>60000</v>
      </c>
      <c r="F1773" s="10">
        <v>41791</v>
      </c>
      <c r="G1773">
        <v>10</v>
      </c>
      <c r="H1773">
        <v>15</v>
      </c>
      <c r="I1773" t="s">
        <v>1199</v>
      </c>
    </row>
    <row r="1774" spans="1:12" x14ac:dyDescent="0.25">
      <c r="A1774" t="s">
        <v>873</v>
      </c>
      <c r="B1774" t="s">
        <v>3008</v>
      </c>
      <c r="C1774" t="s">
        <v>1225</v>
      </c>
      <c r="D1774" s="13">
        <v>60000</v>
      </c>
      <c r="F1774" s="10">
        <v>41640</v>
      </c>
      <c r="G1774">
        <v>10</v>
      </c>
      <c r="H1774">
        <v>15</v>
      </c>
      <c r="I1774" t="s">
        <v>1199</v>
      </c>
    </row>
    <row r="1775" spans="1:12" x14ac:dyDescent="0.25">
      <c r="A1775" t="s">
        <v>873</v>
      </c>
      <c r="B1775" t="s">
        <v>3009</v>
      </c>
      <c r="C1775" t="s">
        <v>1222</v>
      </c>
      <c r="D1775" s="13">
        <v>120000</v>
      </c>
      <c r="F1775" s="10">
        <v>41609</v>
      </c>
      <c r="G1775">
        <v>10</v>
      </c>
      <c r="H1775">
        <v>15</v>
      </c>
      <c r="I1775" t="s">
        <v>1199</v>
      </c>
    </row>
    <row r="1776" spans="1:12" x14ac:dyDescent="0.25">
      <c r="A1776" t="s">
        <v>873</v>
      </c>
      <c r="B1776" t="s">
        <v>3010</v>
      </c>
      <c r="C1776" t="s">
        <v>1225</v>
      </c>
      <c r="D1776" s="13">
        <v>48000</v>
      </c>
      <c r="F1776" s="10">
        <v>40634</v>
      </c>
      <c r="G1776">
        <v>13</v>
      </c>
      <c r="H1776">
        <v>15</v>
      </c>
      <c r="I1776" t="s">
        <v>1199</v>
      </c>
    </row>
    <row r="1777" spans="1:9" x14ac:dyDescent="0.25">
      <c r="A1777" t="s">
        <v>873</v>
      </c>
      <c r="B1777" t="s">
        <v>3011</v>
      </c>
      <c r="C1777" t="s">
        <v>1222</v>
      </c>
      <c r="D1777" s="13">
        <v>48000</v>
      </c>
      <c r="F1777" s="10">
        <v>40664</v>
      </c>
      <c r="G1777">
        <v>13</v>
      </c>
      <c r="H1777">
        <v>15</v>
      </c>
      <c r="I1777" t="s">
        <v>1199</v>
      </c>
    </row>
    <row r="1778" spans="1:9" x14ac:dyDescent="0.25">
      <c r="A1778" t="s">
        <v>873</v>
      </c>
      <c r="B1778" t="s">
        <v>3012</v>
      </c>
      <c r="C1778" t="s">
        <v>1225</v>
      </c>
      <c r="D1778" s="13">
        <v>36000</v>
      </c>
      <c r="I1778" t="s">
        <v>1198</v>
      </c>
    </row>
    <row r="1779" spans="1:9" x14ac:dyDescent="0.25">
      <c r="A1779" t="s">
        <v>873</v>
      </c>
      <c r="B1779" t="s">
        <v>3013</v>
      </c>
      <c r="C1779" t="s">
        <v>1222</v>
      </c>
      <c r="D1779" s="13">
        <v>36000</v>
      </c>
      <c r="I1779" t="s">
        <v>1198</v>
      </c>
    </row>
    <row r="1780" spans="1:9" x14ac:dyDescent="0.25">
      <c r="A1780" t="s">
        <v>873</v>
      </c>
      <c r="B1780" t="s">
        <v>3014</v>
      </c>
      <c r="C1780" t="s">
        <v>1225</v>
      </c>
      <c r="D1780" s="13">
        <v>36000</v>
      </c>
      <c r="I1780" t="s">
        <v>1198</v>
      </c>
    </row>
    <row r="1781" spans="1:9" x14ac:dyDescent="0.25">
      <c r="A1781" t="s">
        <v>873</v>
      </c>
      <c r="B1781" t="s">
        <v>3015</v>
      </c>
      <c r="C1781" t="s">
        <v>1222</v>
      </c>
      <c r="D1781" s="13">
        <v>36000</v>
      </c>
      <c r="F1781" s="10">
        <v>33359</v>
      </c>
      <c r="G1781">
        <v>33</v>
      </c>
      <c r="H1781">
        <v>15</v>
      </c>
      <c r="I1781" t="s">
        <v>1198</v>
      </c>
    </row>
    <row r="1782" spans="1:9" x14ac:dyDescent="0.25">
      <c r="A1782" t="s">
        <v>873</v>
      </c>
      <c r="B1782" t="s">
        <v>3016</v>
      </c>
      <c r="C1782" t="s">
        <v>1225</v>
      </c>
      <c r="D1782" s="13">
        <v>48000</v>
      </c>
      <c r="I1782" t="s">
        <v>1198</v>
      </c>
    </row>
    <row r="1783" spans="1:9" x14ac:dyDescent="0.25">
      <c r="A1783" t="s">
        <v>873</v>
      </c>
      <c r="B1783" t="s">
        <v>3017</v>
      </c>
      <c r="C1783" t="s">
        <v>1222</v>
      </c>
      <c r="D1783" s="13">
        <v>48000</v>
      </c>
      <c r="I1783" t="s">
        <v>1198</v>
      </c>
    </row>
    <row r="1784" spans="1:9" x14ac:dyDescent="0.25">
      <c r="A1784" t="s">
        <v>873</v>
      </c>
      <c r="B1784" t="s">
        <v>3018</v>
      </c>
      <c r="C1784" t="s">
        <v>1225</v>
      </c>
      <c r="D1784" s="13">
        <v>48000</v>
      </c>
      <c r="I1784" t="s">
        <v>1198</v>
      </c>
    </row>
    <row r="1785" spans="1:9" x14ac:dyDescent="0.25">
      <c r="A1785" t="s">
        <v>873</v>
      </c>
      <c r="B1785" t="s">
        <v>3019</v>
      </c>
      <c r="C1785" t="s">
        <v>1225</v>
      </c>
      <c r="D1785" s="13">
        <v>48000</v>
      </c>
      <c r="I1785" t="s">
        <v>1198</v>
      </c>
    </row>
    <row r="1786" spans="1:9" x14ac:dyDescent="0.25">
      <c r="A1786" t="s">
        <v>873</v>
      </c>
      <c r="B1786" t="s">
        <v>3020</v>
      </c>
      <c r="C1786" t="s">
        <v>1222</v>
      </c>
      <c r="D1786" s="13">
        <v>48000</v>
      </c>
      <c r="I1786" t="s">
        <v>1198</v>
      </c>
    </row>
    <row r="1787" spans="1:9" x14ac:dyDescent="0.25">
      <c r="A1787" t="s">
        <v>873</v>
      </c>
      <c r="B1787" t="s">
        <v>3021</v>
      </c>
      <c r="C1787" t="s">
        <v>1225</v>
      </c>
      <c r="D1787" s="13">
        <v>48000</v>
      </c>
      <c r="I1787" t="s">
        <v>1198</v>
      </c>
    </row>
    <row r="1788" spans="1:9" x14ac:dyDescent="0.25">
      <c r="A1788" t="s">
        <v>873</v>
      </c>
      <c r="B1788" t="s">
        <v>3022</v>
      </c>
      <c r="C1788" t="s">
        <v>1222</v>
      </c>
      <c r="D1788" s="13">
        <v>48000</v>
      </c>
      <c r="I1788" t="s">
        <v>1198</v>
      </c>
    </row>
    <row r="1789" spans="1:9" x14ac:dyDescent="0.25">
      <c r="A1789" t="s">
        <v>873</v>
      </c>
      <c r="B1789" t="s">
        <v>3023</v>
      </c>
      <c r="C1789" t="s">
        <v>1225</v>
      </c>
      <c r="I1789" t="s">
        <v>1198</v>
      </c>
    </row>
    <row r="1790" spans="1:9" x14ac:dyDescent="0.25">
      <c r="A1790" t="s">
        <v>873</v>
      </c>
      <c r="B1790" t="s">
        <v>3024</v>
      </c>
      <c r="C1790" t="s">
        <v>1225</v>
      </c>
      <c r="D1790" s="13">
        <v>90000</v>
      </c>
      <c r="F1790" s="10">
        <v>44976</v>
      </c>
      <c r="G1790">
        <v>1</v>
      </c>
      <c r="H1790">
        <v>15</v>
      </c>
      <c r="I1790" t="s">
        <v>1199</v>
      </c>
    </row>
    <row r="1791" spans="1:9" x14ac:dyDescent="0.25">
      <c r="A1791" t="s">
        <v>873</v>
      </c>
      <c r="B1791" t="s">
        <v>3025</v>
      </c>
      <c r="C1791" t="s">
        <v>1222</v>
      </c>
      <c r="D1791" s="13">
        <v>90000</v>
      </c>
      <c r="F1791" s="10">
        <v>44973</v>
      </c>
      <c r="G1791">
        <v>1</v>
      </c>
      <c r="H1791">
        <v>15</v>
      </c>
      <c r="I1791" t="s">
        <v>1199</v>
      </c>
    </row>
    <row r="1792" spans="1:9" x14ac:dyDescent="0.25">
      <c r="A1792" t="s">
        <v>873</v>
      </c>
      <c r="B1792" t="s">
        <v>3026</v>
      </c>
      <c r="C1792" t="s">
        <v>1222</v>
      </c>
      <c r="D1792" s="13">
        <v>9000</v>
      </c>
      <c r="I1792" t="s">
        <v>1198</v>
      </c>
    </row>
    <row r="1793" spans="1:12" x14ac:dyDescent="0.25">
      <c r="A1793" t="s">
        <v>873</v>
      </c>
      <c r="B1793" t="s">
        <v>3027</v>
      </c>
      <c r="C1793" t="s">
        <v>1225</v>
      </c>
      <c r="I1793" t="s">
        <v>1198</v>
      </c>
    </row>
    <row r="1794" spans="1:12" x14ac:dyDescent="0.25">
      <c r="A1794" t="s">
        <v>873</v>
      </c>
      <c r="B1794" t="s">
        <v>3028</v>
      </c>
      <c r="C1794" t="s">
        <v>1222</v>
      </c>
      <c r="I1794" t="s">
        <v>1198</v>
      </c>
    </row>
    <row r="1795" spans="1:12" x14ac:dyDescent="0.25">
      <c r="A1795" t="s">
        <v>873</v>
      </c>
      <c r="B1795" t="s">
        <v>3029</v>
      </c>
      <c r="C1795" t="s">
        <v>1225</v>
      </c>
      <c r="I1795" t="s">
        <v>1198</v>
      </c>
    </row>
    <row r="1796" spans="1:12" x14ac:dyDescent="0.25">
      <c r="A1796" t="s">
        <v>873</v>
      </c>
      <c r="B1796" t="s">
        <v>3030</v>
      </c>
      <c r="C1796" t="s">
        <v>1225</v>
      </c>
      <c r="D1796" s="13">
        <v>48000</v>
      </c>
      <c r="F1796" s="10">
        <v>46009</v>
      </c>
      <c r="I1796" t="s">
        <v>1198</v>
      </c>
    </row>
    <row r="1797" spans="1:12" x14ac:dyDescent="0.25">
      <c r="A1797" t="s">
        <v>873</v>
      </c>
      <c r="B1797" t="s">
        <v>3031</v>
      </c>
      <c r="C1797" t="s">
        <v>1222</v>
      </c>
      <c r="D1797" s="13">
        <v>48000</v>
      </c>
      <c r="F1797" s="10">
        <v>46009</v>
      </c>
      <c r="I1797" t="s">
        <v>1198</v>
      </c>
    </row>
    <row r="1798" spans="1:12" x14ac:dyDescent="0.25">
      <c r="A1798" t="s">
        <v>877</v>
      </c>
      <c r="B1798" t="s">
        <v>3032</v>
      </c>
      <c r="C1798" t="s">
        <v>1218</v>
      </c>
      <c r="E1798">
        <v>350</v>
      </c>
      <c r="F1798" s="10">
        <v>36526</v>
      </c>
      <c r="G1798">
        <v>24</v>
      </c>
      <c r="H1798">
        <v>25</v>
      </c>
      <c r="I1798" t="s">
        <v>1199</v>
      </c>
      <c r="J1798" t="s">
        <v>1219</v>
      </c>
      <c r="K1798" t="s">
        <v>1234</v>
      </c>
      <c r="L1798">
        <v>813</v>
      </c>
    </row>
    <row r="1799" spans="1:12" x14ac:dyDescent="0.25">
      <c r="A1799" t="s">
        <v>877</v>
      </c>
      <c r="B1799" t="s">
        <v>3033</v>
      </c>
      <c r="C1799" t="s">
        <v>1225</v>
      </c>
      <c r="F1799" s="10">
        <v>37469</v>
      </c>
      <c r="G1799">
        <v>22</v>
      </c>
      <c r="H1799">
        <v>15</v>
      </c>
      <c r="I1799" t="s">
        <v>1198</v>
      </c>
    </row>
    <row r="1800" spans="1:12" x14ac:dyDescent="0.25">
      <c r="A1800" t="s">
        <v>877</v>
      </c>
      <c r="B1800" t="s">
        <v>3034</v>
      </c>
      <c r="C1800" t="s">
        <v>1225</v>
      </c>
      <c r="I1800" t="s">
        <v>1198</v>
      </c>
    </row>
    <row r="1801" spans="1:12" x14ac:dyDescent="0.25">
      <c r="A1801" t="s">
        <v>877</v>
      </c>
      <c r="B1801" t="s">
        <v>3035</v>
      </c>
      <c r="C1801" t="s">
        <v>1222</v>
      </c>
      <c r="D1801" s="13">
        <v>240000</v>
      </c>
      <c r="F1801" s="10">
        <v>37469</v>
      </c>
      <c r="G1801">
        <v>22</v>
      </c>
      <c r="H1801">
        <v>15</v>
      </c>
      <c r="I1801" t="s">
        <v>1198</v>
      </c>
    </row>
    <row r="1802" spans="1:12" x14ac:dyDescent="0.25">
      <c r="A1802" t="s">
        <v>877</v>
      </c>
      <c r="B1802" t="s">
        <v>3036</v>
      </c>
      <c r="C1802" t="s">
        <v>1225</v>
      </c>
      <c r="F1802" s="10">
        <v>38777</v>
      </c>
      <c r="G1802">
        <v>18</v>
      </c>
      <c r="H1802">
        <v>15</v>
      </c>
      <c r="I1802" t="s">
        <v>1198</v>
      </c>
    </row>
    <row r="1803" spans="1:12" x14ac:dyDescent="0.25">
      <c r="A1803" t="s">
        <v>877</v>
      </c>
      <c r="B1803" t="s">
        <v>3037</v>
      </c>
      <c r="C1803" t="s">
        <v>1222</v>
      </c>
      <c r="I1803" t="s">
        <v>1198</v>
      </c>
    </row>
    <row r="1804" spans="1:12" x14ac:dyDescent="0.25">
      <c r="A1804" t="s">
        <v>877</v>
      </c>
      <c r="B1804" t="s">
        <v>3038</v>
      </c>
      <c r="C1804" t="s">
        <v>1222</v>
      </c>
      <c r="I1804" t="s">
        <v>1198</v>
      </c>
    </row>
    <row r="1805" spans="1:12" x14ac:dyDescent="0.25">
      <c r="A1805" t="s">
        <v>877</v>
      </c>
      <c r="B1805" t="s">
        <v>3039</v>
      </c>
      <c r="C1805" t="s">
        <v>1222</v>
      </c>
      <c r="F1805" s="10">
        <v>39692</v>
      </c>
      <c r="G1805">
        <v>16</v>
      </c>
      <c r="H1805">
        <v>15</v>
      </c>
      <c r="I1805" t="s">
        <v>1198</v>
      </c>
    </row>
    <row r="1806" spans="1:12" x14ac:dyDescent="0.25">
      <c r="A1806" t="s">
        <v>877</v>
      </c>
      <c r="B1806" t="s">
        <v>3040</v>
      </c>
      <c r="C1806" t="s">
        <v>1222</v>
      </c>
      <c r="I1806" t="s">
        <v>1198</v>
      </c>
    </row>
    <row r="1807" spans="1:12" x14ac:dyDescent="0.25">
      <c r="A1807" t="s">
        <v>877</v>
      </c>
      <c r="B1807" t="s">
        <v>3041</v>
      </c>
      <c r="C1807" t="s">
        <v>1225</v>
      </c>
      <c r="D1807" s="13">
        <v>240000</v>
      </c>
      <c r="F1807" s="10">
        <v>42644</v>
      </c>
      <c r="G1807">
        <v>8</v>
      </c>
      <c r="H1807">
        <v>15</v>
      </c>
      <c r="I1807" t="s">
        <v>1199</v>
      </c>
    </row>
    <row r="1808" spans="1:12" x14ac:dyDescent="0.25">
      <c r="A1808" t="s">
        <v>877</v>
      </c>
      <c r="B1808" t="s">
        <v>3042</v>
      </c>
      <c r="C1808" t="s">
        <v>1222</v>
      </c>
      <c r="D1808" s="13">
        <v>240000</v>
      </c>
      <c r="F1808" s="10">
        <v>42614</v>
      </c>
      <c r="G1808">
        <v>8</v>
      </c>
      <c r="H1808">
        <v>15</v>
      </c>
      <c r="I1808" t="s">
        <v>1199</v>
      </c>
    </row>
    <row r="1809" spans="1:9" x14ac:dyDescent="0.25">
      <c r="A1809" t="s">
        <v>877</v>
      </c>
      <c r="B1809" t="s">
        <v>3043</v>
      </c>
      <c r="C1809" t="s">
        <v>1222</v>
      </c>
      <c r="I1809" t="s">
        <v>1198</v>
      </c>
    </row>
    <row r="1810" spans="1:9" x14ac:dyDescent="0.25">
      <c r="A1810" t="s">
        <v>877</v>
      </c>
      <c r="B1810" t="s">
        <v>3044</v>
      </c>
      <c r="C1810" t="s">
        <v>1222</v>
      </c>
      <c r="F1810" s="10">
        <v>38777</v>
      </c>
      <c r="I1810" t="s">
        <v>1198</v>
      </c>
    </row>
    <row r="1811" spans="1:9" x14ac:dyDescent="0.25">
      <c r="A1811" t="s">
        <v>877</v>
      </c>
      <c r="B1811" t="s">
        <v>3045</v>
      </c>
      <c r="C1811" t="s">
        <v>1225</v>
      </c>
      <c r="D1811" s="13">
        <v>240000</v>
      </c>
      <c r="F1811" s="10">
        <v>42644</v>
      </c>
      <c r="I1811" t="s">
        <v>1198</v>
      </c>
    </row>
    <row r="1812" spans="1:9" x14ac:dyDescent="0.25">
      <c r="A1812" t="s">
        <v>286</v>
      </c>
      <c r="B1812" t="s">
        <v>3046</v>
      </c>
      <c r="C1812" t="s">
        <v>1238</v>
      </c>
      <c r="D1812" s="13">
        <v>24000</v>
      </c>
      <c r="F1812" s="10">
        <v>40330</v>
      </c>
      <c r="G1812">
        <v>14</v>
      </c>
      <c r="H1812">
        <v>15</v>
      </c>
      <c r="I1812" t="s">
        <v>1199</v>
      </c>
    </row>
    <row r="1813" spans="1:9" x14ac:dyDescent="0.25">
      <c r="A1813" t="s">
        <v>286</v>
      </c>
      <c r="B1813" t="s">
        <v>3047</v>
      </c>
      <c r="C1813" t="s">
        <v>1222</v>
      </c>
      <c r="D1813" s="13">
        <v>48000</v>
      </c>
      <c r="F1813" s="10">
        <v>39995</v>
      </c>
      <c r="G1813">
        <v>15</v>
      </c>
      <c r="H1813">
        <v>15</v>
      </c>
      <c r="I1813" t="s">
        <v>1198</v>
      </c>
    </row>
    <row r="1814" spans="1:9" x14ac:dyDescent="0.25">
      <c r="A1814" t="s">
        <v>286</v>
      </c>
      <c r="B1814" t="s">
        <v>3048</v>
      </c>
      <c r="C1814" t="s">
        <v>1222</v>
      </c>
      <c r="D1814" s="13">
        <v>30000</v>
      </c>
      <c r="F1814" s="10">
        <v>34090</v>
      </c>
      <c r="G1814">
        <v>31</v>
      </c>
      <c r="H1814">
        <v>15</v>
      </c>
      <c r="I1814" t="s">
        <v>1198</v>
      </c>
    </row>
    <row r="1815" spans="1:9" x14ac:dyDescent="0.25">
      <c r="A1815" t="s">
        <v>286</v>
      </c>
      <c r="B1815" t="s">
        <v>3049</v>
      </c>
      <c r="C1815" t="s">
        <v>1222</v>
      </c>
      <c r="D1815" s="13">
        <v>60000</v>
      </c>
      <c r="F1815" s="10">
        <v>39356</v>
      </c>
      <c r="G1815">
        <v>17</v>
      </c>
      <c r="H1815">
        <v>15</v>
      </c>
      <c r="I1815" t="s">
        <v>1198</v>
      </c>
    </row>
    <row r="1816" spans="1:9" x14ac:dyDescent="0.25">
      <c r="A1816" t="s">
        <v>286</v>
      </c>
      <c r="B1816" t="s">
        <v>3050</v>
      </c>
      <c r="C1816" t="s">
        <v>1222</v>
      </c>
      <c r="D1816" s="13">
        <v>30000</v>
      </c>
      <c r="F1816" s="10">
        <v>39965</v>
      </c>
      <c r="G1816">
        <v>15</v>
      </c>
      <c r="H1816">
        <v>15</v>
      </c>
      <c r="I1816" t="s">
        <v>1198</v>
      </c>
    </row>
    <row r="1817" spans="1:9" x14ac:dyDescent="0.25">
      <c r="A1817" t="s">
        <v>286</v>
      </c>
      <c r="B1817" t="s">
        <v>3051</v>
      </c>
      <c r="C1817" t="s">
        <v>1222</v>
      </c>
      <c r="D1817" s="13">
        <v>36000</v>
      </c>
      <c r="F1817" s="10">
        <v>39417</v>
      </c>
      <c r="G1817">
        <v>16</v>
      </c>
      <c r="H1817">
        <v>15</v>
      </c>
      <c r="I1817" t="s">
        <v>1198</v>
      </c>
    </row>
    <row r="1818" spans="1:9" x14ac:dyDescent="0.25">
      <c r="A1818" t="s">
        <v>286</v>
      </c>
      <c r="B1818" t="s">
        <v>3052</v>
      </c>
      <c r="C1818" t="s">
        <v>1225</v>
      </c>
      <c r="D1818" s="13">
        <v>30000</v>
      </c>
      <c r="F1818" s="10">
        <v>39995</v>
      </c>
      <c r="G1818">
        <v>15</v>
      </c>
      <c r="H1818">
        <v>15</v>
      </c>
      <c r="I1818" t="s">
        <v>1198</v>
      </c>
    </row>
    <row r="1819" spans="1:9" x14ac:dyDescent="0.25">
      <c r="A1819" t="s">
        <v>286</v>
      </c>
      <c r="B1819" t="s">
        <v>3053</v>
      </c>
      <c r="C1819" t="s">
        <v>1225</v>
      </c>
      <c r="D1819" s="13">
        <v>60000</v>
      </c>
      <c r="F1819" s="10">
        <v>39387</v>
      </c>
      <c r="G1819">
        <v>16</v>
      </c>
      <c r="H1819">
        <v>15</v>
      </c>
      <c r="I1819" t="s">
        <v>1198</v>
      </c>
    </row>
    <row r="1820" spans="1:9" x14ac:dyDescent="0.25">
      <c r="A1820" t="s">
        <v>286</v>
      </c>
      <c r="B1820" t="s">
        <v>3054</v>
      </c>
      <c r="C1820" t="s">
        <v>1225</v>
      </c>
      <c r="D1820" s="13">
        <v>36000</v>
      </c>
      <c r="F1820" s="10">
        <v>39052</v>
      </c>
      <c r="G1820">
        <v>17</v>
      </c>
      <c r="H1820">
        <v>15</v>
      </c>
      <c r="I1820" t="s">
        <v>1198</v>
      </c>
    </row>
    <row r="1821" spans="1:9" x14ac:dyDescent="0.25">
      <c r="A1821" t="s">
        <v>286</v>
      </c>
      <c r="B1821" t="s">
        <v>3055</v>
      </c>
      <c r="C1821" t="s">
        <v>1225</v>
      </c>
      <c r="D1821" s="13">
        <v>48000</v>
      </c>
      <c r="F1821" s="10">
        <v>39995</v>
      </c>
      <c r="G1821">
        <v>15</v>
      </c>
      <c r="H1821">
        <v>15</v>
      </c>
      <c r="I1821" t="s">
        <v>1198</v>
      </c>
    </row>
    <row r="1822" spans="1:9" x14ac:dyDescent="0.25">
      <c r="A1822" t="s">
        <v>286</v>
      </c>
      <c r="B1822" t="s">
        <v>3056</v>
      </c>
      <c r="C1822" t="s">
        <v>1225</v>
      </c>
      <c r="D1822" s="13">
        <v>36000</v>
      </c>
      <c r="F1822" s="10">
        <v>34090</v>
      </c>
      <c r="G1822">
        <v>31</v>
      </c>
      <c r="H1822">
        <v>15</v>
      </c>
      <c r="I1822" t="s">
        <v>1198</v>
      </c>
    </row>
    <row r="1823" spans="1:9" x14ac:dyDescent="0.25">
      <c r="A1823" t="s">
        <v>286</v>
      </c>
      <c r="B1823" t="s">
        <v>3057</v>
      </c>
      <c r="C1823" t="s">
        <v>1222</v>
      </c>
      <c r="D1823" s="13">
        <v>30000</v>
      </c>
      <c r="F1823" s="10">
        <v>34090</v>
      </c>
      <c r="I1823" t="s">
        <v>1198</v>
      </c>
    </row>
    <row r="1824" spans="1:9" x14ac:dyDescent="0.25">
      <c r="A1824" t="s">
        <v>286</v>
      </c>
      <c r="B1824" t="s">
        <v>3058</v>
      </c>
      <c r="C1824" t="s">
        <v>1225</v>
      </c>
      <c r="F1824" s="10">
        <v>45292</v>
      </c>
      <c r="I1824" t="s">
        <v>1198</v>
      </c>
    </row>
    <row r="1825" spans="1:12" x14ac:dyDescent="0.25">
      <c r="A1825" t="s">
        <v>286</v>
      </c>
      <c r="B1825" t="s">
        <v>3059</v>
      </c>
      <c r="C1825" t="s">
        <v>1225</v>
      </c>
      <c r="F1825" s="10">
        <v>44197</v>
      </c>
      <c r="I1825" t="s">
        <v>1198</v>
      </c>
    </row>
    <row r="1826" spans="1:12" x14ac:dyDescent="0.25">
      <c r="A1826" t="s">
        <v>286</v>
      </c>
      <c r="B1826" t="s">
        <v>3060</v>
      </c>
      <c r="C1826" t="s">
        <v>1225</v>
      </c>
      <c r="F1826" s="10">
        <v>39814</v>
      </c>
      <c r="I1826" t="s">
        <v>1198</v>
      </c>
    </row>
    <row r="1827" spans="1:12" x14ac:dyDescent="0.25">
      <c r="A1827" t="s">
        <v>290</v>
      </c>
      <c r="B1827" t="s">
        <v>3061</v>
      </c>
      <c r="C1827" t="s">
        <v>1218</v>
      </c>
      <c r="E1827">
        <v>150</v>
      </c>
      <c r="I1827" t="s">
        <v>1198</v>
      </c>
      <c r="J1827" t="s">
        <v>1219</v>
      </c>
      <c r="K1827" t="s">
        <v>1220</v>
      </c>
      <c r="L1827">
        <v>213</v>
      </c>
    </row>
    <row r="1828" spans="1:12" x14ac:dyDescent="0.25">
      <c r="A1828" t="s">
        <v>290</v>
      </c>
      <c r="B1828" t="s">
        <v>3062</v>
      </c>
      <c r="C1828" t="s">
        <v>1238</v>
      </c>
      <c r="D1828" s="13">
        <v>60000</v>
      </c>
      <c r="F1828" s="10">
        <v>38626</v>
      </c>
      <c r="G1828">
        <v>19</v>
      </c>
      <c r="H1828">
        <v>15</v>
      </c>
      <c r="I1828" t="s">
        <v>1198</v>
      </c>
    </row>
    <row r="1829" spans="1:12" x14ac:dyDescent="0.25">
      <c r="A1829" t="s">
        <v>290</v>
      </c>
      <c r="B1829" t="s">
        <v>3063</v>
      </c>
      <c r="C1829" t="s">
        <v>1238</v>
      </c>
      <c r="D1829" s="13">
        <v>24000</v>
      </c>
      <c r="F1829" s="10">
        <v>37561</v>
      </c>
      <c r="G1829">
        <v>21</v>
      </c>
      <c r="H1829">
        <v>15</v>
      </c>
      <c r="I1829" t="s">
        <v>1198</v>
      </c>
    </row>
    <row r="1830" spans="1:12" x14ac:dyDescent="0.25">
      <c r="A1830" t="s">
        <v>290</v>
      </c>
      <c r="B1830" t="s">
        <v>3064</v>
      </c>
      <c r="C1830" t="s">
        <v>1222</v>
      </c>
      <c r="F1830" s="10">
        <v>40330</v>
      </c>
      <c r="G1830">
        <v>14</v>
      </c>
      <c r="H1830">
        <v>15</v>
      </c>
      <c r="I1830" t="s">
        <v>1199</v>
      </c>
    </row>
    <row r="1831" spans="1:12" x14ac:dyDescent="0.25">
      <c r="A1831" t="s">
        <v>290</v>
      </c>
      <c r="B1831" t="s">
        <v>3065</v>
      </c>
      <c r="C1831" t="s">
        <v>1222</v>
      </c>
      <c r="D1831" s="13">
        <v>156000</v>
      </c>
      <c r="F1831" s="10">
        <v>40544</v>
      </c>
      <c r="G1831">
        <v>13</v>
      </c>
      <c r="H1831">
        <v>15</v>
      </c>
      <c r="I1831" t="s">
        <v>1199</v>
      </c>
    </row>
    <row r="1832" spans="1:12" x14ac:dyDescent="0.25">
      <c r="A1832" t="s">
        <v>290</v>
      </c>
      <c r="B1832" t="s">
        <v>3066</v>
      </c>
      <c r="C1832" t="s">
        <v>1222</v>
      </c>
      <c r="D1832" s="13">
        <v>24000</v>
      </c>
      <c r="F1832" s="10">
        <v>38504</v>
      </c>
      <c r="G1832">
        <v>19</v>
      </c>
      <c r="H1832">
        <v>15</v>
      </c>
      <c r="I1832" t="s">
        <v>1198</v>
      </c>
    </row>
    <row r="1833" spans="1:12" x14ac:dyDescent="0.25">
      <c r="A1833" t="s">
        <v>290</v>
      </c>
      <c r="B1833" t="s">
        <v>3067</v>
      </c>
      <c r="C1833" t="s">
        <v>1225</v>
      </c>
      <c r="D1833" s="13">
        <v>180000</v>
      </c>
      <c r="F1833" s="10">
        <v>40544</v>
      </c>
      <c r="G1833">
        <v>13</v>
      </c>
      <c r="H1833">
        <v>15</v>
      </c>
      <c r="I1833" t="s">
        <v>1199</v>
      </c>
    </row>
    <row r="1834" spans="1:12" x14ac:dyDescent="0.25">
      <c r="A1834" t="s">
        <v>290</v>
      </c>
      <c r="B1834" t="s">
        <v>3068</v>
      </c>
      <c r="C1834" t="s">
        <v>1225</v>
      </c>
      <c r="D1834" s="13">
        <v>180000</v>
      </c>
      <c r="F1834" s="10">
        <v>41760</v>
      </c>
      <c r="G1834">
        <v>10</v>
      </c>
      <c r="H1834">
        <v>15</v>
      </c>
      <c r="I1834" t="s">
        <v>1199</v>
      </c>
    </row>
    <row r="1835" spans="1:12" x14ac:dyDescent="0.25">
      <c r="A1835" t="s">
        <v>290</v>
      </c>
      <c r="B1835" t="s">
        <v>3069</v>
      </c>
      <c r="C1835" t="s">
        <v>1225</v>
      </c>
      <c r="D1835" s="13">
        <v>24000</v>
      </c>
      <c r="F1835" s="10">
        <v>38504</v>
      </c>
      <c r="G1835">
        <v>19</v>
      </c>
      <c r="H1835">
        <v>15</v>
      </c>
      <c r="I1835" t="s">
        <v>1198</v>
      </c>
    </row>
    <row r="1836" spans="1:12" x14ac:dyDescent="0.25">
      <c r="A1836" t="s">
        <v>290</v>
      </c>
      <c r="B1836" t="s">
        <v>3070</v>
      </c>
      <c r="C1836" t="s">
        <v>1225</v>
      </c>
      <c r="I1836" t="s">
        <v>1198</v>
      </c>
    </row>
    <row r="1837" spans="1:12" x14ac:dyDescent="0.25">
      <c r="A1837" t="s">
        <v>290</v>
      </c>
      <c r="B1837" t="s">
        <v>3071</v>
      </c>
      <c r="C1837" t="s">
        <v>1222</v>
      </c>
      <c r="I1837" t="s">
        <v>1198</v>
      </c>
    </row>
    <row r="1838" spans="1:12" x14ac:dyDescent="0.25">
      <c r="A1838" t="s">
        <v>290</v>
      </c>
      <c r="B1838" t="s">
        <v>3072</v>
      </c>
      <c r="C1838" t="s">
        <v>1225</v>
      </c>
      <c r="F1838" s="10">
        <v>45335</v>
      </c>
      <c r="G1838">
        <v>0</v>
      </c>
      <c r="H1838">
        <v>15</v>
      </c>
      <c r="I1838" t="s">
        <v>1199</v>
      </c>
    </row>
    <row r="1839" spans="1:12" x14ac:dyDescent="0.25">
      <c r="A1839" t="s">
        <v>290</v>
      </c>
      <c r="B1839" t="s">
        <v>3073</v>
      </c>
      <c r="C1839" t="s">
        <v>1222</v>
      </c>
      <c r="F1839" s="10">
        <v>45335</v>
      </c>
      <c r="G1839">
        <v>0</v>
      </c>
      <c r="H1839">
        <v>15</v>
      </c>
      <c r="I1839" t="s">
        <v>1199</v>
      </c>
    </row>
    <row r="1840" spans="1:12" x14ac:dyDescent="0.25">
      <c r="A1840" t="s">
        <v>290</v>
      </c>
      <c r="B1840" t="s">
        <v>3074</v>
      </c>
      <c r="C1840" t="s">
        <v>1225</v>
      </c>
      <c r="D1840" s="13">
        <v>60000</v>
      </c>
      <c r="F1840" s="10">
        <v>45716</v>
      </c>
      <c r="I1840" t="s">
        <v>1198</v>
      </c>
    </row>
    <row r="1841" spans="1:12" x14ac:dyDescent="0.25">
      <c r="A1841" t="s">
        <v>290</v>
      </c>
      <c r="B1841" t="s">
        <v>3075</v>
      </c>
      <c r="C1841" t="s">
        <v>1222</v>
      </c>
      <c r="D1841" s="13">
        <v>60000</v>
      </c>
      <c r="F1841" s="10">
        <v>45716</v>
      </c>
      <c r="I1841" t="s">
        <v>1198</v>
      </c>
    </row>
    <row r="1842" spans="1:12" x14ac:dyDescent="0.25">
      <c r="A1842" t="s">
        <v>810</v>
      </c>
      <c r="B1842" t="s">
        <v>3076</v>
      </c>
      <c r="C1842" t="s">
        <v>1218</v>
      </c>
      <c r="E1842">
        <v>125</v>
      </c>
      <c r="F1842" s="10">
        <v>32660</v>
      </c>
      <c r="G1842">
        <v>35</v>
      </c>
      <c r="H1842">
        <v>25</v>
      </c>
      <c r="I1842" t="s">
        <v>1198</v>
      </c>
      <c r="J1842" t="s">
        <v>1219</v>
      </c>
      <c r="K1842" t="s">
        <v>1234</v>
      </c>
      <c r="L1842">
        <v>14555.2</v>
      </c>
    </row>
    <row r="1843" spans="1:12" x14ac:dyDescent="0.25">
      <c r="A1843" t="s">
        <v>810</v>
      </c>
      <c r="B1843" t="s">
        <v>3077</v>
      </c>
      <c r="C1843" t="s">
        <v>1222</v>
      </c>
      <c r="D1843" s="13">
        <v>36000</v>
      </c>
      <c r="F1843" s="10">
        <v>42644</v>
      </c>
      <c r="G1843">
        <v>8</v>
      </c>
      <c r="H1843">
        <v>15</v>
      </c>
      <c r="I1843" t="s">
        <v>1199</v>
      </c>
    </row>
    <row r="1844" spans="1:12" x14ac:dyDescent="0.25">
      <c r="A1844" t="s">
        <v>810</v>
      </c>
      <c r="B1844" t="s">
        <v>3078</v>
      </c>
      <c r="C1844" t="s">
        <v>1222</v>
      </c>
      <c r="D1844" s="13">
        <v>60000</v>
      </c>
      <c r="F1844" s="10">
        <v>42644</v>
      </c>
      <c r="I1844" t="s">
        <v>1198</v>
      </c>
    </row>
    <row r="1845" spans="1:12" x14ac:dyDescent="0.25">
      <c r="A1845" t="s">
        <v>810</v>
      </c>
      <c r="B1845" t="s">
        <v>3079</v>
      </c>
      <c r="C1845" t="s">
        <v>1225</v>
      </c>
      <c r="D1845" s="13">
        <v>60000</v>
      </c>
      <c r="F1845" s="10">
        <v>42217</v>
      </c>
      <c r="I1845" t="s">
        <v>1198</v>
      </c>
    </row>
    <row r="1846" spans="1:12" x14ac:dyDescent="0.25">
      <c r="A1846" t="s">
        <v>810</v>
      </c>
      <c r="B1846" t="s">
        <v>3080</v>
      </c>
      <c r="C1846" t="s">
        <v>1222</v>
      </c>
      <c r="F1846" s="10">
        <v>45737</v>
      </c>
      <c r="I1846" t="s">
        <v>1198</v>
      </c>
    </row>
    <row r="1847" spans="1:12" x14ac:dyDescent="0.25">
      <c r="A1847" t="s">
        <v>810</v>
      </c>
      <c r="B1847" t="s">
        <v>3081</v>
      </c>
      <c r="C1847" t="s">
        <v>1222</v>
      </c>
      <c r="D1847" s="13">
        <v>60000</v>
      </c>
      <c r="F1847" s="10">
        <v>45818</v>
      </c>
      <c r="I1847" t="s">
        <v>1198</v>
      </c>
    </row>
    <row r="1848" spans="1:12" x14ac:dyDescent="0.25">
      <c r="A1848" t="s">
        <v>810</v>
      </c>
      <c r="B1848" t="s">
        <v>3082</v>
      </c>
      <c r="C1848" t="s">
        <v>1225</v>
      </c>
      <c r="D1848" s="13">
        <v>120000</v>
      </c>
      <c r="F1848" s="10">
        <v>45818</v>
      </c>
      <c r="I1848" t="s">
        <v>1198</v>
      </c>
    </row>
    <row r="1849" spans="1:12" x14ac:dyDescent="0.25">
      <c r="A1849" t="s">
        <v>810</v>
      </c>
      <c r="B1849" t="s">
        <v>3083</v>
      </c>
      <c r="C1849" t="s">
        <v>1225</v>
      </c>
      <c r="I1849" t="s">
        <v>1198</v>
      </c>
    </row>
    <row r="1850" spans="1:12" x14ac:dyDescent="0.25">
      <c r="A1850" t="s">
        <v>810</v>
      </c>
      <c r="B1850" t="s">
        <v>3084</v>
      </c>
      <c r="C1850" t="s">
        <v>1225</v>
      </c>
      <c r="I1850" t="s">
        <v>1198</v>
      </c>
    </row>
    <row r="1851" spans="1:12" x14ac:dyDescent="0.25">
      <c r="A1851" t="s">
        <v>815</v>
      </c>
      <c r="B1851" t="s">
        <v>3085</v>
      </c>
      <c r="C1851" t="s">
        <v>1218</v>
      </c>
      <c r="E1851">
        <v>60</v>
      </c>
      <c r="F1851" s="10">
        <v>32874</v>
      </c>
      <c r="G1851">
        <v>34</v>
      </c>
      <c r="H1851">
        <v>25</v>
      </c>
      <c r="I1851" t="s">
        <v>1198</v>
      </c>
      <c r="J1851" t="s">
        <v>1219</v>
      </c>
      <c r="K1851" t="s">
        <v>1234</v>
      </c>
      <c r="L1851">
        <v>806.3</v>
      </c>
    </row>
    <row r="1852" spans="1:12" x14ac:dyDescent="0.25">
      <c r="A1852" t="s">
        <v>815</v>
      </c>
      <c r="B1852" t="s">
        <v>3086</v>
      </c>
      <c r="C1852" t="s">
        <v>1225</v>
      </c>
      <c r="D1852">
        <v>5</v>
      </c>
      <c r="I1852" t="s">
        <v>1198</v>
      </c>
    </row>
    <row r="1853" spans="1:12" x14ac:dyDescent="0.25">
      <c r="A1853" t="s">
        <v>815</v>
      </c>
      <c r="B1853" t="s">
        <v>3087</v>
      </c>
      <c r="C1853" t="s">
        <v>1222</v>
      </c>
      <c r="D1853" s="13">
        <v>60000</v>
      </c>
      <c r="I1853" t="s">
        <v>1198</v>
      </c>
    </row>
    <row r="1854" spans="1:12" x14ac:dyDescent="0.25">
      <c r="A1854" t="s">
        <v>815</v>
      </c>
      <c r="B1854" t="s">
        <v>3088</v>
      </c>
      <c r="C1854" t="s">
        <v>1225</v>
      </c>
      <c r="D1854">
        <v>5</v>
      </c>
      <c r="I1854" t="s">
        <v>1198</v>
      </c>
    </row>
    <row r="1855" spans="1:12" x14ac:dyDescent="0.25">
      <c r="A1855" t="s">
        <v>815</v>
      </c>
      <c r="B1855" t="s">
        <v>3089</v>
      </c>
      <c r="C1855" t="s">
        <v>1222</v>
      </c>
      <c r="D1855">
        <v>5</v>
      </c>
      <c r="I1855" t="s">
        <v>1198</v>
      </c>
    </row>
    <row r="1856" spans="1:12" x14ac:dyDescent="0.25">
      <c r="A1856" t="s">
        <v>974</v>
      </c>
      <c r="B1856" t="s">
        <v>3090</v>
      </c>
      <c r="C1856" t="s">
        <v>1218</v>
      </c>
      <c r="E1856">
        <v>275</v>
      </c>
      <c r="I1856" t="s">
        <v>1198</v>
      </c>
      <c r="J1856" t="s">
        <v>1219</v>
      </c>
      <c r="K1856" t="s">
        <v>1234</v>
      </c>
      <c r="L1856">
        <v>689.3</v>
      </c>
    </row>
    <row r="1857" spans="1:12" x14ac:dyDescent="0.25">
      <c r="A1857" t="s">
        <v>974</v>
      </c>
      <c r="B1857" t="s">
        <v>3091</v>
      </c>
      <c r="C1857" t="s">
        <v>1225</v>
      </c>
      <c r="D1857" s="13">
        <v>60000</v>
      </c>
      <c r="F1857" s="10">
        <v>40544</v>
      </c>
      <c r="G1857">
        <v>13</v>
      </c>
      <c r="H1857">
        <v>15</v>
      </c>
      <c r="I1857" t="s">
        <v>1199</v>
      </c>
    </row>
    <row r="1858" spans="1:12" x14ac:dyDescent="0.25">
      <c r="A1858" t="s">
        <v>974</v>
      </c>
      <c r="B1858" t="s">
        <v>3092</v>
      </c>
      <c r="C1858" t="s">
        <v>1225</v>
      </c>
      <c r="D1858" s="13">
        <v>60000</v>
      </c>
      <c r="F1858" s="10">
        <v>40544</v>
      </c>
      <c r="G1858">
        <v>13</v>
      </c>
      <c r="H1858">
        <v>15</v>
      </c>
      <c r="I1858" t="s">
        <v>1199</v>
      </c>
    </row>
    <row r="1859" spans="1:12" x14ac:dyDescent="0.25">
      <c r="A1859" t="s">
        <v>974</v>
      </c>
      <c r="B1859" t="s">
        <v>3093</v>
      </c>
      <c r="C1859" t="s">
        <v>1225</v>
      </c>
      <c r="D1859" s="13">
        <v>480000</v>
      </c>
      <c r="F1859" s="10">
        <v>35796</v>
      </c>
      <c r="G1859">
        <v>26</v>
      </c>
      <c r="H1859">
        <v>15</v>
      </c>
      <c r="I1859" t="s">
        <v>1198</v>
      </c>
    </row>
    <row r="1860" spans="1:12" x14ac:dyDescent="0.25">
      <c r="A1860" t="s">
        <v>974</v>
      </c>
      <c r="B1860" t="s">
        <v>3094</v>
      </c>
      <c r="C1860" t="s">
        <v>1225</v>
      </c>
      <c r="D1860" s="13">
        <v>60000</v>
      </c>
      <c r="F1860" s="10">
        <v>38353</v>
      </c>
      <c r="G1860">
        <v>19</v>
      </c>
      <c r="H1860">
        <v>15</v>
      </c>
      <c r="I1860" t="s">
        <v>1198</v>
      </c>
    </row>
    <row r="1861" spans="1:12" x14ac:dyDescent="0.25">
      <c r="A1861" t="s">
        <v>974</v>
      </c>
      <c r="B1861" t="s">
        <v>3095</v>
      </c>
      <c r="C1861" t="s">
        <v>1225</v>
      </c>
      <c r="I1861" t="s">
        <v>1198</v>
      </c>
    </row>
    <row r="1862" spans="1:12" x14ac:dyDescent="0.25">
      <c r="A1862" t="s">
        <v>974</v>
      </c>
      <c r="B1862" t="s">
        <v>3096</v>
      </c>
      <c r="C1862" t="s">
        <v>1222</v>
      </c>
      <c r="I1862" t="s">
        <v>1198</v>
      </c>
    </row>
    <row r="1863" spans="1:12" x14ac:dyDescent="0.25">
      <c r="A1863" t="s">
        <v>974</v>
      </c>
      <c r="B1863" t="s">
        <v>3097</v>
      </c>
      <c r="C1863" t="s">
        <v>1222</v>
      </c>
      <c r="I1863" t="s">
        <v>1198</v>
      </c>
    </row>
    <row r="1864" spans="1:12" x14ac:dyDescent="0.25">
      <c r="A1864" t="s">
        <v>974</v>
      </c>
      <c r="B1864" t="s">
        <v>3098</v>
      </c>
      <c r="C1864" t="s">
        <v>1222</v>
      </c>
      <c r="I1864" t="s">
        <v>1198</v>
      </c>
    </row>
    <row r="1865" spans="1:12" x14ac:dyDescent="0.25">
      <c r="A1865" t="s">
        <v>820</v>
      </c>
      <c r="B1865" t="s">
        <v>3099</v>
      </c>
      <c r="C1865" t="s">
        <v>1218</v>
      </c>
      <c r="E1865">
        <v>90</v>
      </c>
      <c r="I1865" t="s">
        <v>1198</v>
      </c>
      <c r="J1865" t="s">
        <v>1219</v>
      </c>
      <c r="K1865" t="s">
        <v>1234</v>
      </c>
      <c r="L1865">
        <v>1914.6</v>
      </c>
    </row>
    <row r="1866" spans="1:12" x14ac:dyDescent="0.25">
      <c r="A1866" t="s">
        <v>820</v>
      </c>
      <c r="B1866" t="s">
        <v>3100</v>
      </c>
      <c r="C1866" t="s">
        <v>1225</v>
      </c>
      <c r="D1866" s="13">
        <v>60000</v>
      </c>
      <c r="F1866" s="10">
        <v>33664</v>
      </c>
      <c r="G1866">
        <v>32</v>
      </c>
      <c r="H1866">
        <v>15</v>
      </c>
      <c r="I1866" t="s">
        <v>1198</v>
      </c>
    </row>
    <row r="1867" spans="1:12" x14ac:dyDescent="0.25">
      <c r="A1867" t="s">
        <v>820</v>
      </c>
      <c r="B1867" t="s">
        <v>3101</v>
      </c>
      <c r="C1867" t="s">
        <v>1225</v>
      </c>
      <c r="D1867" s="13">
        <v>60000</v>
      </c>
      <c r="F1867" s="10">
        <v>42005</v>
      </c>
      <c r="G1867">
        <v>7</v>
      </c>
      <c r="H1867">
        <v>15</v>
      </c>
      <c r="I1867" t="s">
        <v>1199</v>
      </c>
    </row>
    <row r="1868" spans="1:12" x14ac:dyDescent="0.25">
      <c r="A1868" t="s">
        <v>820</v>
      </c>
      <c r="B1868" t="s">
        <v>3102</v>
      </c>
      <c r="C1868" t="s">
        <v>1222</v>
      </c>
      <c r="F1868" s="10">
        <v>42736</v>
      </c>
      <c r="G1868">
        <v>7</v>
      </c>
      <c r="H1868">
        <v>15</v>
      </c>
      <c r="I1868" t="s">
        <v>1199</v>
      </c>
    </row>
    <row r="1869" spans="1:12" x14ac:dyDescent="0.25">
      <c r="A1869" t="s">
        <v>820</v>
      </c>
      <c r="B1869" t="s">
        <v>3103</v>
      </c>
      <c r="C1869" t="s">
        <v>1222</v>
      </c>
      <c r="F1869" s="10">
        <v>33604</v>
      </c>
      <c r="G1869">
        <v>32</v>
      </c>
      <c r="H1869">
        <v>15</v>
      </c>
      <c r="I1869" t="s">
        <v>1198</v>
      </c>
    </row>
    <row r="1870" spans="1:12" x14ac:dyDescent="0.25">
      <c r="A1870" t="s">
        <v>820</v>
      </c>
      <c r="B1870" t="s">
        <v>3104</v>
      </c>
      <c r="C1870" t="s">
        <v>1225</v>
      </c>
      <c r="D1870" s="13">
        <v>60000</v>
      </c>
      <c r="F1870" s="10">
        <v>45490</v>
      </c>
      <c r="I1870" t="s">
        <v>1198</v>
      </c>
    </row>
    <row r="1871" spans="1:12" x14ac:dyDescent="0.25">
      <c r="A1871" t="s">
        <v>820</v>
      </c>
      <c r="B1871" t="s">
        <v>3105</v>
      </c>
      <c r="C1871" t="s">
        <v>1222</v>
      </c>
      <c r="D1871" s="13">
        <v>60000</v>
      </c>
      <c r="F1871" s="10">
        <v>45490</v>
      </c>
      <c r="I1871" t="s">
        <v>1198</v>
      </c>
    </row>
    <row r="1872" spans="1:12" x14ac:dyDescent="0.25">
      <c r="A1872" t="s">
        <v>3106</v>
      </c>
      <c r="B1872" t="s">
        <v>3107</v>
      </c>
      <c r="C1872" t="s">
        <v>1218</v>
      </c>
      <c r="E1872">
        <v>100</v>
      </c>
      <c r="I1872" t="s">
        <v>1198</v>
      </c>
      <c r="J1872" t="s">
        <v>1219</v>
      </c>
      <c r="K1872" t="s">
        <v>1234</v>
      </c>
      <c r="L1872">
        <v>697.3</v>
      </c>
    </row>
    <row r="1873" spans="1:12" x14ac:dyDescent="0.25">
      <c r="A1873" t="s">
        <v>3106</v>
      </c>
      <c r="B1873" t="s">
        <v>3108</v>
      </c>
      <c r="C1873" t="s">
        <v>1238</v>
      </c>
      <c r="D1873" s="13">
        <v>120000</v>
      </c>
      <c r="I1873" t="s">
        <v>1198</v>
      </c>
    </row>
    <row r="1874" spans="1:12" x14ac:dyDescent="0.25">
      <c r="A1874" t="s">
        <v>3106</v>
      </c>
      <c r="B1874" t="s">
        <v>3109</v>
      </c>
      <c r="C1874" t="s">
        <v>1238</v>
      </c>
      <c r="I1874" t="s">
        <v>1198</v>
      </c>
    </row>
    <row r="1875" spans="1:12" x14ac:dyDescent="0.25">
      <c r="A1875" t="s">
        <v>3106</v>
      </c>
      <c r="B1875" t="s">
        <v>3110</v>
      </c>
      <c r="C1875" t="s">
        <v>1238</v>
      </c>
      <c r="D1875" s="13">
        <v>120000</v>
      </c>
      <c r="F1875" s="10">
        <v>44727</v>
      </c>
      <c r="G1875">
        <v>2</v>
      </c>
      <c r="H1875">
        <v>15</v>
      </c>
      <c r="I1875" t="s">
        <v>1199</v>
      </c>
    </row>
    <row r="1876" spans="1:12" x14ac:dyDescent="0.25">
      <c r="A1876" t="s">
        <v>3106</v>
      </c>
      <c r="B1876" t="s">
        <v>3111</v>
      </c>
      <c r="C1876" t="s">
        <v>1238</v>
      </c>
      <c r="D1876" s="13">
        <v>120000</v>
      </c>
      <c r="F1876" s="10">
        <v>44727</v>
      </c>
      <c r="G1876">
        <v>2</v>
      </c>
      <c r="H1876">
        <v>15</v>
      </c>
      <c r="I1876" t="s">
        <v>1199</v>
      </c>
    </row>
    <row r="1877" spans="1:12" x14ac:dyDescent="0.25">
      <c r="A1877" t="s">
        <v>571</v>
      </c>
      <c r="B1877" t="s">
        <v>3112</v>
      </c>
      <c r="C1877" t="s">
        <v>1218</v>
      </c>
      <c r="E1877">
        <v>100</v>
      </c>
      <c r="I1877" t="s">
        <v>1198</v>
      </c>
      <c r="J1877" t="s">
        <v>1219</v>
      </c>
      <c r="K1877" t="s">
        <v>1234</v>
      </c>
      <c r="L1877">
        <v>264</v>
      </c>
    </row>
    <row r="1878" spans="1:12" x14ac:dyDescent="0.25">
      <c r="A1878" t="s">
        <v>571</v>
      </c>
      <c r="B1878" t="s">
        <v>3113</v>
      </c>
      <c r="C1878" t="s">
        <v>1225</v>
      </c>
      <c r="D1878" s="13">
        <v>60000</v>
      </c>
      <c r="F1878" s="10">
        <v>40909</v>
      </c>
      <c r="G1878">
        <v>12</v>
      </c>
      <c r="H1878">
        <v>15</v>
      </c>
      <c r="I1878" t="s">
        <v>1199</v>
      </c>
    </row>
    <row r="1879" spans="1:12" x14ac:dyDescent="0.25">
      <c r="A1879" t="s">
        <v>571</v>
      </c>
      <c r="B1879" t="s">
        <v>3114</v>
      </c>
      <c r="C1879" t="s">
        <v>1238</v>
      </c>
      <c r="D1879" s="13">
        <v>96000</v>
      </c>
      <c r="F1879" s="10">
        <v>34335</v>
      </c>
      <c r="G1879">
        <v>30</v>
      </c>
      <c r="H1879">
        <v>15</v>
      </c>
      <c r="I1879" t="s">
        <v>1198</v>
      </c>
    </row>
    <row r="1880" spans="1:12" x14ac:dyDescent="0.25">
      <c r="A1880" t="s">
        <v>571</v>
      </c>
      <c r="B1880" t="s">
        <v>3115</v>
      </c>
      <c r="C1880" t="s">
        <v>1238</v>
      </c>
      <c r="D1880" s="13">
        <v>96000</v>
      </c>
      <c r="F1880" s="10">
        <v>34335</v>
      </c>
      <c r="G1880">
        <v>30</v>
      </c>
      <c r="H1880">
        <v>15</v>
      </c>
      <c r="I1880" t="s">
        <v>1198</v>
      </c>
    </row>
    <row r="1881" spans="1:12" x14ac:dyDescent="0.25">
      <c r="A1881" t="s">
        <v>571</v>
      </c>
      <c r="B1881" t="s">
        <v>3116</v>
      </c>
      <c r="C1881" t="s">
        <v>1222</v>
      </c>
      <c r="D1881" s="13">
        <v>60000</v>
      </c>
      <c r="I1881" t="s">
        <v>1198</v>
      </c>
    </row>
    <row r="1882" spans="1:12" x14ac:dyDescent="0.25">
      <c r="A1882" t="s">
        <v>571</v>
      </c>
      <c r="B1882" t="s">
        <v>3117</v>
      </c>
      <c r="C1882" t="s">
        <v>1238</v>
      </c>
      <c r="I1882" t="s">
        <v>1198</v>
      </c>
    </row>
    <row r="1883" spans="1:12" x14ac:dyDescent="0.25">
      <c r="A1883" t="s">
        <v>571</v>
      </c>
      <c r="B1883" t="s">
        <v>3118</v>
      </c>
      <c r="C1883" t="s">
        <v>1222</v>
      </c>
      <c r="I1883" t="s">
        <v>1198</v>
      </c>
    </row>
    <row r="1884" spans="1:12" x14ac:dyDescent="0.25">
      <c r="A1884" t="s">
        <v>571</v>
      </c>
      <c r="B1884" t="s">
        <v>3119</v>
      </c>
      <c r="C1884" t="s">
        <v>1225</v>
      </c>
      <c r="I1884" t="s">
        <v>1198</v>
      </c>
    </row>
    <row r="1885" spans="1:12" x14ac:dyDescent="0.25">
      <c r="A1885" t="s">
        <v>987</v>
      </c>
      <c r="B1885" t="s">
        <v>3120</v>
      </c>
      <c r="C1885" t="s">
        <v>1218</v>
      </c>
      <c r="E1885">
        <v>350</v>
      </c>
      <c r="I1885" t="s">
        <v>1198</v>
      </c>
      <c r="J1885" t="s">
        <v>1219</v>
      </c>
      <c r="K1885" t="s">
        <v>1220</v>
      </c>
      <c r="L1885">
        <v>538</v>
      </c>
    </row>
    <row r="1886" spans="1:12" x14ac:dyDescent="0.25">
      <c r="A1886" t="s">
        <v>987</v>
      </c>
      <c r="B1886" t="s">
        <v>3121</v>
      </c>
      <c r="C1886" t="s">
        <v>1225</v>
      </c>
      <c r="D1886" s="13">
        <v>300000</v>
      </c>
      <c r="F1886" s="10">
        <v>43292</v>
      </c>
      <c r="G1886">
        <v>6</v>
      </c>
      <c r="H1886">
        <v>15</v>
      </c>
      <c r="I1886" t="s">
        <v>1199</v>
      </c>
    </row>
    <row r="1887" spans="1:12" x14ac:dyDescent="0.25">
      <c r="A1887" t="s">
        <v>987</v>
      </c>
      <c r="B1887" t="s">
        <v>3122</v>
      </c>
      <c r="C1887" t="s">
        <v>1222</v>
      </c>
      <c r="D1887" s="13">
        <v>300000</v>
      </c>
      <c r="F1887" s="10">
        <v>43290</v>
      </c>
      <c r="G1887">
        <v>6</v>
      </c>
      <c r="H1887">
        <v>15</v>
      </c>
      <c r="I1887" t="s">
        <v>1199</v>
      </c>
    </row>
    <row r="1888" spans="1:12" x14ac:dyDescent="0.25">
      <c r="A1888" t="s">
        <v>987</v>
      </c>
      <c r="B1888" t="s">
        <v>3123</v>
      </c>
      <c r="C1888" t="s">
        <v>1225</v>
      </c>
      <c r="I1888" t="s">
        <v>1198</v>
      </c>
    </row>
    <row r="1889" spans="1:12" x14ac:dyDescent="0.25">
      <c r="A1889" t="s">
        <v>987</v>
      </c>
      <c r="B1889" t="s">
        <v>3124</v>
      </c>
      <c r="C1889" t="s">
        <v>1222</v>
      </c>
      <c r="I1889" t="s">
        <v>1198</v>
      </c>
    </row>
    <row r="1890" spans="1:12" x14ac:dyDescent="0.25">
      <c r="A1890" t="s">
        <v>992</v>
      </c>
      <c r="B1890" t="s">
        <v>3125</v>
      </c>
      <c r="C1890" t="s">
        <v>1218</v>
      </c>
      <c r="E1890">
        <v>600</v>
      </c>
      <c r="F1890" s="10">
        <v>30317</v>
      </c>
      <c r="G1890">
        <v>41</v>
      </c>
      <c r="H1890">
        <v>25</v>
      </c>
      <c r="I1890" t="s">
        <v>1198</v>
      </c>
      <c r="J1890" t="s">
        <v>1219</v>
      </c>
      <c r="K1890" t="s">
        <v>1234</v>
      </c>
      <c r="L1890">
        <v>881.7</v>
      </c>
    </row>
    <row r="1891" spans="1:12" x14ac:dyDescent="0.25">
      <c r="A1891" t="s">
        <v>992</v>
      </c>
      <c r="B1891" t="s">
        <v>3126</v>
      </c>
      <c r="C1891" t="s">
        <v>1222</v>
      </c>
      <c r="D1891" s="13">
        <v>720000</v>
      </c>
      <c r="F1891" s="10">
        <v>30317</v>
      </c>
      <c r="G1891">
        <v>41</v>
      </c>
      <c r="H1891">
        <v>15</v>
      </c>
      <c r="I1891" t="s">
        <v>1198</v>
      </c>
    </row>
    <row r="1892" spans="1:12" x14ac:dyDescent="0.25">
      <c r="A1892" t="s">
        <v>992</v>
      </c>
      <c r="B1892" t="s">
        <v>3127</v>
      </c>
      <c r="C1892" t="s">
        <v>1225</v>
      </c>
      <c r="F1892" s="10">
        <v>42006</v>
      </c>
      <c r="G1892">
        <v>9</v>
      </c>
      <c r="H1892">
        <v>15</v>
      </c>
      <c r="I1892" t="s">
        <v>1199</v>
      </c>
    </row>
    <row r="1893" spans="1:12" x14ac:dyDescent="0.25">
      <c r="A1893" t="s">
        <v>992</v>
      </c>
      <c r="B1893" t="s">
        <v>3128</v>
      </c>
      <c r="C1893" t="s">
        <v>1225</v>
      </c>
      <c r="F1893" s="10">
        <v>42767</v>
      </c>
      <c r="G1893">
        <v>7</v>
      </c>
      <c r="H1893">
        <v>15</v>
      </c>
      <c r="I1893" t="s">
        <v>1199</v>
      </c>
    </row>
    <row r="1894" spans="1:12" x14ac:dyDescent="0.25">
      <c r="A1894" t="s">
        <v>992</v>
      </c>
      <c r="B1894" t="s">
        <v>3129</v>
      </c>
      <c r="C1894" t="s">
        <v>1222</v>
      </c>
      <c r="D1894" s="13">
        <v>240000</v>
      </c>
      <c r="F1894" s="10">
        <v>42795</v>
      </c>
      <c r="G1894">
        <v>7</v>
      </c>
      <c r="H1894">
        <v>15</v>
      </c>
      <c r="I1894" t="s">
        <v>1199</v>
      </c>
    </row>
    <row r="1895" spans="1:12" x14ac:dyDescent="0.25">
      <c r="A1895" t="s">
        <v>992</v>
      </c>
      <c r="B1895" t="s">
        <v>3130</v>
      </c>
      <c r="C1895" t="s">
        <v>1225</v>
      </c>
      <c r="D1895" s="13">
        <v>60000</v>
      </c>
      <c r="F1895" s="10">
        <v>42522</v>
      </c>
      <c r="G1895">
        <v>8</v>
      </c>
      <c r="H1895">
        <v>15</v>
      </c>
      <c r="I1895" t="s">
        <v>1199</v>
      </c>
    </row>
    <row r="1896" spans="1:12" x14ac:dyDescent="0.25">
      <c r="A1896" t="s">
        <v>992</v>
      </c>
      <c r="B1896" t="s">
        <v>3131</v>
      </c>
      <c r="C1896" t="s">
        <v>1225</v>
      </c>
      <c r="D1896" s="13">
        <v>720000</v>
      </c>
      <c r="F1896" s="10">
        <v>42669</v>
      </c>
      <c r="G1896">
        <v>7</v>
      </c>
      <c r="H1896">
        <v>15</v>
      </c>
      <c r="I1896" t="s">
        <v>1199</v>
      </c>
    </row>
    <row r="1897" spans="1:12" x14ac:dyDescent="0.25">
      <c r="A1897" t="s">
        <v>992</v>
      </c>
      <c r="B1897" t="s">
        <v>3132</v>
      </c>
      <c r="C1897" t="s">
        <v>1222</v>
      </c>
      <c r="D1897" s="13">
        <v>60000</v>
      </c>
      <c r="F1897" s="10">
        <v>42522</v>
      </c>
      <c r="G1897">
        <v>8</v>
      </c>
      <c r="H1897">
        <v>15</v>
      </c>
      <c r="I1897" t="s">
        <v>1199</v>
      </c>
    </row>
    <row r="1898" spans="1:12" x14ac:dyDescent="0.25">
      <c r="A1898" t="s">
        <v>992</v>
      </c>
      <c r="B1898" t="s">
        <v>3133</v>
      </c>
      <c r="C1898" t="s">
        <v>1222</v>
      </c>
      <c r="D1898" s="13">
        <v>720000</v>
      </c>
      <c r="F1898" s="10">
        <v>42005</v>
      </c>
      <c r="G1898">
        <v>9</v>
      </c>
      <c r="H1898">
        <v>15</v>
      </c>
      <c r="I1898" t="s">
        <v>1199</v>
      </c>
    </row>
    <row r="1899" spans="1:12" x14ac:dyDescent="0.25">
      <c r="A1899" t="s">
        <v>992</v>
      </c>
      <c r="B1899" t="s">
        <v>3134</v>
      </c>
      <c r="C1899" t="s">
        <v>1225</v>
      </c>
      <c r="F1899" s="10">
        <v>44197</v>
      </c>
      <c r="G1899">
        <v>3</v>
      </c>
      <c r="H1899">
        <v>15</v>
      </c>
      <c r="I1899" t="s">
        <v>1199</v>
      </c>
    </row>
    <row r="1900" spans="1:12" x14ac:dyDescent="0.25">
      <c r="A1900" t="s">
        <v>992</v>
      </c>
      <c r="B1900" t="s">
        <v>3135</v>
      </c>
      <c r="C1900" t="s">
        <v>1222</v>
      </c>
      <c r="F1900" s="10">
        <v>44197</v>
      </c>
      <c r="G1900">
        <v>3</v>
      </c>
      <c r="H1900">
        <v>15</v>
      </c>
      <c r="I1900" t="s">
        <v>1199</v>
      </c>
    </row>
    <row r="1901" spans="1:12" x14ac:dyDescent="0.25">
      <c r="A1901" t="s">
        <v>992</v>
      </c>
      <c r="B1901" t="s">
        <v>3136</v>
      </c>
      <c r="C1901" t="s">
        <v>1222</v>
      </c>
      <c r="D1901" s="13">
        <v>720000</v>
      </c>
      <c r="F1901" s="10">
        <v>42005</v>
      </c>
      <c r="I1901" t="s">
        <v>1198</v>
      </c>
    </row>
    <row r="1902" spans="1:12" x14ac:dyDescent="0.25">
      <c r="A1902" t="s">
        <v>992</v>
      </c>
      <c r="B1902" t="s">
        <v>3137</v>
      </c>
      <c r="C1902" t="s">
        <v>1225</v>
      </c>
      <c r="D1902" s="13">
        <v>360000</v>
      </c>
      <c r="F1902" s="10">
        <v>42289</v>
      </c>
      <c r="I1902" t="s">
        <v>1198</v>
      </c>
    </row>
    <row r="1903" spans="1:12" x14ac:dyDescent="0.25">
      <c r="A1903" t="s">
        <v>3138</v>
      </c>
      <c r="B1903" t="s">
        <v>3139</v>
      </c>
      <c r="C1903" t="s">
        <v>1238</v>
      </c>
      <c r="D1903" s="13">
        <v>24000</v>
      </c>
      <c r="F1903" s="10">
        <v>34700</v>
      </c>
      <c r="G1903">
        <v>29</v>
      </c>
      <c r="H1903">
        <v>15</v>
      </c>
      <c r="I1903" t="s">
        <v>1198</v>
      </c>
    </row>
    <row r="1904" spans="1:12" x14ac:dyDescent="0.25">
      <c r="A1904" t="s">
        <v>631</v>
      </c>
      <c r="B1904" t="s">
        <v>3140</v>
      </c>
      <c r="C1904" t="s">
        <v>1218</v>
      </c>
      <c r="E1904">
        <v>60</v>
      </c>
      <c r="I1904" t="s">
        <v>1198</v>
      </c>
      <c r="J1904" t="s">
        <v>1219</v>
      </c>
      <c r="K1904" t="s">
        <v>1234</v>
      </c>
      <c r="L1904">
        <v>341</v>
      </c>
    </row>
    <row r="1905" spans="1:12" x14ac:dyDescent="0.25">
      <c r="A1905" t="s">
        <v>631</v>
      </c>
      <c r="B1905" t="s">
        <v>3141</v>
      </c>
      <c r="C1905" t="s">
        <v>1225</v>
      </c>
      <c r="D1905" s="13">
        <v>60000</v>
      </c>
      <c r="F1905" s="10">
        <v>35827</v>
      </c>
      <c r="G1905">
        <v>26</v>
      </c>
      <c r="H1905">
        <v>15</v>
      </c>
      <c r="I1905" t="s">
        <v>1198</v>
      </c>
    </row>
    <row r="1906" spans="1:12" x14ac:dyDescent="0.25">
      <c r="A1906" t="s">
        <v>631</v>
      </c>
      <c r="B1906" t="s">
        <v>3142</v>
      </c>
      <c r="C1906" t="s">
        <v>1222</v>
      </c>
      <c r="D1906" s="13">
        <v>60000</v>
      </c>
      <c r="I1906" t="s">
        <v>1198</v>
      </c>
    </row>
    <row r="1907" spans="1:12" x14ac:dyDescent="0.25">
      <c r="A1907" t="s">
        <v>631</v>
      </c>
      <c r="B1907" t="s">
        <v>3143</v>
      </c>
      <c r="C1907" t="s">
        <v>1222</v>
      </c>
      <c r="D1907" s="13">
        <v>60000</v>
      </c>
      <c r="F1907" s="10">
        <v>35827</v>
      </c>
      <c r="G1907">
        <v>26</v>
      </c>
      <c r="H1907">
        <v>15</v>
      </c>
      <c r="I1907" t="s">
        <v>1198</v>
      </c>
    </row>
    <row r="1908" spans="1:12" x14ac:dyDescent="0.25">
      <c r="A1908" t="s">
        <v>631</v>
      </c>
      <c r="B1908" t="s">
        <v>3144</v>
      </c>
      <c r="C1908" t="s">
        <v>1225</v>
      </c>
      <c r="D1908" s="13">
        <v>60000</v>
      </c>
      <c r="F1908" s="10">
        <v>39722</v>
      </c>
      <c r="G1908">
        <v>16</v>
      </c>
      <c r="H1908">
        <v>15</v>
      </c>
      <c r="I1908" t="s">
        <v>1198</v>
      </c>
    </row>
    <row r="1909" spans="1:12" x14ac:dyDescent="0.25">
      <c r="A1909" t="s">
        <v>626</v>
      </c>
      <c r="B1909" t="s">
        <v>3145</v>
      </c>
      <c r="C1909" t="s">
        <v>1225</v>
      </c>
      <c r="D1909" s="13">
        <v>90000</v>
      </c>
      <c r="F1909" s="10">
        <v>34090</v>
      </c>
      <c r="G1909">
        <v>31</v>
      </c>
      <c r="H1909">
        <v>15</v>
      </c>
      <c r="I1909" t="s">
        <v>1198</v>
      </c>
    </row>
    <row r="1910" spans="1:12" x14ac:dyDescent="0.25">
      <c r="A1910" t="s">
        <v>626</v>
      </c>
      <c r="B1910" t="s">
        <v>3146</v>
      </c>
      <c r="C1910" t="s">
        <v>1225</v>
      </c>
      <c r="F1910" s="10">
        <v>34090</v>
      </c>
      <c r="G1910">
        <v>31</v>
      </c>
      <c r="H1910">
        <v>15</v>
      </c>
      <c r="I1910" t="s">
        <v>1198</v>
      </c>
    </row>
    <row r="1911" spans="1:12" x14ac:dyDescent="0.25">
      <c r="A1911" t="s">
        <v>626</v>
      </c>
      <c r="B1911" t="s">
        <v>3147</v>
      </c>
      <c r="C1911" t="s">
        <v>1225</v>
      </c>
      <c r="D1911" s="13">
        <v>90000</v>
      </c>
      <c r="F1911" s="10">
        <v>34090</v>
      </c>
      <c r="G1911">
        <v>31</v>
      </c>
      <c r="H1911">
        <v>15</v>
      </c>
      <c r="I1911" t="s">
        <v>1198</v>
      </c>
    </row>
    <row r="1912" spans="1:12" x14ac:dyDescent="0.25">
      <c r="A1912" t="s">
        <v>626</v>
      </c>
      <c r="B1912" t="s">
        <v>3148</v>
      </c>
      <c r="C1912" t="s">
        <v>1218</v>
      </c>
      <c r="E1912">
        <v>60</v>
      </c>
      <c r="F1912" s="10">
        <v>37165</v>
      </c>
      <c r="G1912">
        <v>23</v>
      </c>
      <c r="H1912">
        <v>25</v>
      </c>
      <c r="I1912" t="s">
        <v>1199</v>
      </c>
      <c r="J1912" t="s">
        <v>1219</v>
      </c>
      <c r="K1912" t="s">
        <v>1369</v>
      </c>
      <c r="L1912">
        <v>839</v>
      </c>
    </row>
    <row r="1913" spans="1:12" x14ac:dyDescent="0.25">
      <c r="A1913" t="s">
        <v>626</v>
      </c>
      <c r="B1913" t="s">
        <v>3149</v>
      </c>
      <c r="C1913" t="s">
        <v>1222</v>
      </c>
      <c r="D1913" s="13">
        <v>90000</v>
      </c>
      <c r="F1913" s="10">
        <v>34090</v>
      </c>
      <c r="G1913">
        <v>31</v>
      </c>
      <c r="H1913">
        <v>15</v>
      </c>
      <c r="I1913" t="s">
        <v>1198</v>
      </c>
    </row>
    <row r="1914" spans="1:12" x14ac:dyDescent="0.25">
      <c r="A1914" t="s">
        <v>626</v>
      </c>
      <c r="B1914" t="s">
        <v>3150</v>
      </c>
      <c r="C1914" t="s">
        <v>1222</v>
      </c>
      <c r="D1914" s="13">
        <v>90000</v>
      </c>
      <c r="F1914" s="10">
        <v>34090</v>
      </c>
      <c r="G1914">
        <v>31</v>
      </c>
      <c r="H1914">
        <v>15</v>
      </c>
      <c r="I1914" t="s">
        <v>1198</v>
      </c>
    </row>
    <row r="1915" spans="1:12" x14ac:dyDescent="0.25">
      <c r="A1915" t="s">
        <v>626</v>
      </c>
      <c r="B1915" t="s">
        <v>3151</v>
      </c>
      <c r="C1915" t="s">
        <v>1222</v>
      </c>
      <c r="D1915" s="13">
        <v>120000</v>
      </c>
      <c r="F1915" s="10">
        <v>34090</v>
      </c>
      <c r="G1915">
        <v>31</v>
      </c>
      <c r="H1915">
        <v>15</v>
      </c>
      <c r="I1915" t="s">
        <v>1198</v>
      </c>
    </row>
    <row r="1916" spans="1:12" x14ac:dyDescent="0.25">
      <c r="A1916" t="s">
        <v>626</v>
      </c>
      <c r="B1916" t="s">
        <v>3152</v>
      </c>
      <c r="C1916" t="s">
        <v>1222</v>
      </c>
      <c r="D1916" s="13">
        <v>48000</v>
      </c>
      <c r="F1916" s="10">
        <v>38231</v>
      </c>
      <c r="G1916">
        <v>20</v>
      </c>
      <c r="H1916">
        <v>15</v>
      </c>
      <c r="I1916" t="s">
        <v>1198</v>
      </c>
    </row>
    <row r="1917" spans="1:12" x14ac:dyDescent="0.25">
      <c r="A1917" t="s">
        <v>626</v>
      </c>
      <c r="B1917" t="s">
        <v>3153</v>
      </c>
      <c r="C1917" t="s">
        <v>1222</v>
      </c>
      <c r="D1917" s="13">
        <v>100000</v>
      </c>
      <c r="F1917" s="10">
        <v>38261</v>
      </c>
      <c r="G1917">
        <v>9</v>
      </c>
      <c r="H1917">
        <v>15</v>
      </c>
      <c r="I1917" t="s">
        <v>1199</v>
      </c>
    </row>
    <row r="1918" spans="1:12" x14ac:dyDescent="0.25">
      <c r="A1918" t="s">
        <v>626</v>
      </c>
      <c r="B1918" t="s">
        <v>3154</v>
      </c>
      <c r="C1918" t="s">
        <v>1225</v>
      </c>
      <c r="D1918" s="13">
        <v>100000</v>
      </c>
      <c r="F1918" s="10">
        <v>42278</v>
      </c>
      <c r="G1918">
        <v>9</v>
      </c>
      <c r="H1918">
        <v>15</v>
      </c>
      <c r="I1918" t="s">
        <v>1199</v>
      </c>
    </row>
    <row r="1919" spans="1:12" x14ac:dyDescent="0.25">
      <c r="A1919" t="s">
        <v>626</v>
      </c>
      <c r="B1919" t="s">
        <v>3155</v>
      </c>
      <c r="C1919" t="s">
        <v>1225</v>
      </c>
      <c r="D1919" s="13">
        <v>100000</v>
      </c>
      <c r="F1919" s="10">
        <v>38261</v>
      </c>
      <c r="G1919">
        <v>20</v>
      </c>
      <c r="H1919">
        <v>15</v>
      </c>
      <c r="I1919" t="s">
        <v>1198</v>
      </c>
    </row>
    <row r="1920" spans="1:12" x14ac:dyDescent="0.25">
      <c r="A1920" t="s">
        <v>626</v>
      </c>
      <c r="B1920" t="s">
        <v>3156</v>
      </c>
      <c r="C1920" t="s">
        <v>1225</v>
      </c>
      <c r="D1920">
        <v>7.5</v>
      </c>
      <c r="F1920" s="10">
        <v>33970</v>
      </c>
      <c r="G1920">
        <v>31</v>
      </c>
      <c r="H1920">
        <v>15</v>
      </c>
      <c r="I1920" t="s">
        <v>1198</v>
      </c>
    </row>
    <row r="1921" spans="1:12" x14ac:dyDescent="0.25">
      <c r="A1921" t="s">
        <v>626</v>
      </c>
      <c r="B1921" t="s">
        <v>3157</v>
      </c>
      <c r="C1921" t="s">
        <v>1222</v>
      </c>
      <c r="I1921" t="s">
        <v>1198</v>
      </c>
    </row>
    <row r="1922" spans="1:12" x14ac:dyDescent="0.25">
      <c r="A1922" t="s">
        <v>626</v>
      </c>
      <c r="B1922" t="s">
        <v>3158</v>
      </c>
      <c r="C1922" t="s">
        <v>1225</v>
      </c>
      <c r="D1922" s="13">
        <v>48000</v>
      </c>
      <c r="F1922" s="10">
        <v>38292</v>
      </c>
      <c r="I1922" t="s">
        <v>1198</v>
      </c>
    </row>
    <row r="1923" spans="1:12" x14ac:dyDescent="0.25">
      <c r="A1923" t="s">
        <v>626</v>
      </c>
      <c r="B1923" t="s">
        <v>3159</v>
      </c>
      <c r="C1923" t="s">
        <v>1225</v>
      </c>
      <c r="D1923" s="13">
        <v>90000</v>
      </c>
      <c r="F1923" s="10">
        <v>46113</v>
      </c>
      <c r="I1923" t="s">
        <v>1198</v>
      </c>
    </row>
    <row r="1924" spans="1:12" x14ac:dyDescent="0.25">
      <c r="A1924" t="s">
        <v>626</v>
      </c>
      <c r="B1924" t="s">
        <v>3160</v>
      </c>
      <c r="C1924" t="s">
        <v>1222</v>
      </c>
      <c r="D1924" s="13">
        <v>90000</v>
      </c>
      <c r="F1924" s="10">
        <v>46113</v>
      </c>
      <c r="I1924" t="s">
        <v>1198</v>
      </c>
    </row>
    <row r="1925" spans="1:12" x14ac:dyDescent="0.25">
      <c r="A1925" t="s">
        <v>66</v>
      </c>
      <c r="B1925" t="s">
        <v>3161</v>
      </c>
      <c r="C1925" t="s">
        <v>1218</v>
      </c>
      <c r="E1925">
        <v>200</v>
      </c>
      <c r="F1925" s="10">
        <v>35186</v>
      </c>
      <c r="G1925">
        <v>28</v>
      </c>
      <c r="H1925">
        <v>25</v>
      </c>
      <c r="I1925" t="s">
        <v>1198</v>
      </c>
      <c r="J1925" t="s">
        <v>1219</v>
      </c>
      <c r="K1925" t="s">
        <v>1234</v>
      </c>
      <c r="L1925">
        <v>698.2</v>
      </c>
    </row>
    <row r="1926" spans="1:12" x14ac:dyDescent="0.25">
      <c r="A1926" t="s">
        <v>66</v>
      </c>
      <c r="B1926" t="s">
        <v>3162</v>
      </c>
      <c r="C1926" t="s">
        <v>1225</v>
      </c>
      <c r="D1926" s="13">
        <v>42000</v>
      </c>
      <c r="F1926" s="10">
        <v>41061</v>
      </c>
      <c r="G1926">
        <v>12</v>
      </c>
      <c r="H1926">
        <v>15</v>
      </c>
      <c r="I1926" t="s">
        <v>1199</v>
      </c>
    </row>
    <row r="1927" spans="1:12" x14ac:dyDescent="0.25">
      <c r="A1927" t="s">
        <v>66</v>
      </c>
      <c r="B1927" t="s">
        <v>3163</v>
      </c>
      <c r="C1927" t="s">
        <v>1225</v>
      </c>
      <c r="D1927" s="13">
        <v>42000</v>
      </c>
      <c r="F1927" s="10">
        <v>41061</v>
      </c>
      <c r="G1927">
        <v>12</v>
      </c>
      <c r="H1927">
        <v>15</v>
      </c>
      <c r="I1927" t="s">
        <v>1199</v>
      </c>
    </row>
    <row r="1928" spans="1:12" x14ac:dyDescent="0.25">
      <c r="A1928" t="s">
        <v>66</v>
      </c>
      <c r="B1928" t="s">
        <v>3164</v>
      </c>
      <c r="C1928" t="s">
        <v>1225</v>
      </c>
      <c r="D1928" s="13">
        <v>90000</v>
      </c>
      <c r="I1928" t="s">
        <v>1198</v>
      </c>
    </row>
    <row r="1929" spans="1:12" x14ac:dyDescent="0.25">
      <c r="A1929" t="s">
        <v>66</v>
      </c>
      <c r="B1929" t="s">
        <v>3165</v>
      </c>
      <c r="C1929" t="s">
        <v>1225</v>
      </c>
      <c r="D1929" s="13">
        <v>90000</v>
      </c>
      <c r="I1929" t="s">
        <v>1198</v>
      </c>
    </row>
    <row r="1930" spans="1:12" x14ac:dyDescent="0.25">
      <c r="A1930" t="s">
        <v>66</v>
      </c>
      <c r="B1930" t="s">
        <v>3166</v>
      </c>
      <c r="C1930" t="s">
        <v>1225</v>
      </c>
      <c r="D1930" s="13">
        <v>60000</v>
      </c>
      <c r="I1930" t="s">
        <v>1198</v>
      </c>
    </row>
    <row r="1931" spans="1:12" x14ac:dyDescent="0.25">
      <c r="A1931" t="s">
        <v>66</v>
      </c>
      <c r="B1931" t="s">
        <v>3167</v>
      </c>
      <c r="C1931" t="s">
        <v>1222</v>
      </c>
      <c r="D1931" s="13">
        <v>90000</v>
      </c>
      <c r="I1931" t="s">
        <v>1198</v>
      </c>
    </row>
    <row r="1932" spans="1:12" x14ac:dyDescent="0.25">
      <c r="A1932" t="s">
        <v>66</v>
      </c>
      <c r="B1932" t="s">
        <v>3168</v>
      </c>
      <c r="C1932" t="s">
        <v>1222</v>
      </c>
      <c r="D1932" s="13">
        <v>360000</v>
      </c>
      <c r="F1932" s="10">
        <v>40695</v>
      </c>
      <c r="G1932">
        <v>13</v>
      </c>
      <c r="H1932">
        <v>15</v>
      </c>
      <c r="I1932" t="s">
        <v>1199</v>
      </c>
    </row>
    <row r="1933" spans="1:12" x14ac:dyDescent="0.25">
      <c r="A1933" t="s">
        <v>66</v>
      </c>
      <c r="B1933" t="s">
        <v>3169</v>
      </c>
      <c r="C1933" t="s">
        <v>1222</v>
      </c>
      <c r="F1933" s="10">
        <v>39052</v>
      </c>
      <c r="G1933">
        <v>17</v>
      </c>
      <c r="H1933">
        <v>15</v>
      </c>
      <c r="I1933" t="s">
        <v>1198</v>
      </c>
    </row>
    <row r="1934" spans="1:12" x14ac:dyDescent="0.25">
      <c r="A1934" t="s">
        <v>66</v>
      </c>
      <c r="B1934" t="s">
        <v>3170</v>
      </c>
      <c r="C1934" t="s">
        <v>1222</v>
      </c>
      <c r="D1934" s="13">
        <v>42000</v>
      </c>
      <c r="F1934" s="10">
        <v>38930</v>
      </c>
      <c r="G1934">
        <v>18</v>
      </c>
      <c r="H1934">
        <v>15</v>
      </c>
      <c r="I1934" t="s">
        <v>1198</v>
      </c>
    </row>
    <row r="1935" spans="1:12" x14ac:dyDescent="0.25">
      <c r="A1935" t="s">
        <v>66</v>
      </c>
      <c r="B1935" t="s">
        <v>3171</v>
      </c>
      <c r="C1935" t="s">
        <v>1222</v>
      </c>
      <c r="D1935" s="13">
        <v>36000</v>
      </c>
      <c r="F1935" s="10">
        <v>41030</v>
      </c>
      <c r="G1935">
        <v>12</v>
      </c>
      <c r="H1935">
        <v>15</v>
      </c>
      <c r="I1935" t="s">
        <v>1199</v>
      </c>
    </row>
    <row r="1936" spans="1:12" x14ac:dyDescent="0.25">
      <c r="A1936" t="s">
        <v>66</v>
      </c>
      <c r="B1936" t="s">
        <v>3172</v>
      </c>
      <c r="C1936" t="s">
        <v>1222</v>
      </c>
      <c r="D1936" s="13">
        <v>36000</v>
      </c>
      <c r="F1936" s="10">
        <v>41061</v>
      </c>
      <c r="G1936">
        <v>12</v>
      </c>
      <c r="H1936">
        <v>15</v>
      </c>
      <c r="I1936" t="s">
        <v>1199</v>
      </c>
    </row>
    <row r="1937" spans="1:12" x14ac:dyDescent="0.25">
      <c r="A1937" t="s">
        <v>66</v>
      </c>
      <c r="B1937" t="s">
        <v>3173</v>
      </c>
      <c r="C1937" t="s">
        <v>1225</v>
      </c>
      <c r="D1937" s="13">
        <v>110000</v>
      </c>
      <c r="F1937" s="10">
        <v>38231</v>
      </c>
      <c r="G1937">
        <v>20</v>
      </c>
      <c r="H1937">
        <v>15</v>
      </c>
      <c r="I1937" t="s">
        <v>1198</v>
      </c>
    </row>
    <row r="1938" spans="1:12" x14ac:dyDescent="0.25">
      <c r="A1938" t="s">
        <v>66</v>
      </c>
      <c r="B1938" t="s">
        <v>3174</v>
      </c>
      <c r="C1938" t="s">
        <v>1225</v>
      </c>
      <c r="F1938" s="10">
        <v>38777</v>
      </c>
      <c r="G1938">
        <v>18</v>
      </c>
      <c r="H1938">
        <v>15</v>
      </c>
      <c r="I1938" t="s">
        <v>1198</v>
      </c>
    </row>
    <row r="1939" spans="1:12" x14ac:dyDescent="0.25">
      <c r="A1939" t="s">
        <v>66</v>
      </c>
      <c r="B1939" t="s">
        <v>3175</v>
      </c>
      <c r="C1939" t="s">
        <v>1222</v>
      </c>
      <c r="D1939" s="13">
        <v>90000</v>
      </c>
      <c r="F1939" s="10">
        <v>34121</v>
      </c>
      <c r="G1939">
        <v>31</v>
      </c>
      <c r="H1939">
        <v>15</v>
      </c>
      <c r="I1939" t="s">
        <v>1198</v>
      </c>
    </row>
    <row r="1940" spans="1:12" x14ac:dyDescent="0.25">
      <c r="A1940" t="s">
        <v>66</v>
      </c>
      <c r="B1940" t="s">
        <v>3176</v>
      </c>
      <c r="C1940" t="s">
        <v>1225</v>
      </c>
      <c r="D1940" s="13">
        <v>60000</v>
      </c>
      <c r="I1940" t="s">
        <v>1198</v>
      </c>
    </row>
    <row r="1941" spans="1:12" x14ac:dyDescent="0.25">
      <c r="A1941" t="s">
        <v>66</v>
      </c>
      <c r="B1941" t="s">
        <v>3177</v>
      </c>
      <c r="C1941" t="s">
        <v>1222</v>
      </c>
      <c r="D1941" s="13">
        <v>90000</v>
      </c>
      <c r="I1941" t="s">
        <v>1198</v>
      </c>
    </row>
    <row r="1942" spans="1:12" x14ac:dyDescent="0.25">
      <c r="A1942" t="s">
        <v>66</v>
      </c>
      <c r="B1942" t="s">
        <v>3178</v>
      </c>
      <c r="C1942" t="s">
        <v>1222</v>
      </c>
      <c r="D1942" s="13">
        <v>30000</v>
      </c>
      <c r="F1942" s="10">
        <v>39052</v>
      </c>
      <c r="I1942" t="s">
        <v>1198</v>
      </c>
    </row>
    <row r="1943" spans="1:12" x14ac:dyDescent="0.25">
      <c r="A1943" t="s">
        <v>66</v>
      </c>
      <c r="B1943" t="s">
        <v>3179</v>
      </c>
      <c r="C1943" t="s">
        <v>1260</v>
      </c>
      <c r="D1943" s="13">
        <v>60000</v>
      </c>
      <c r="F1943" s="10">
        <v>43930</v>
      </c>
      <c r="I1943" t="s">
        <v>1198</v>
      </c>
    </row>
    <row r="1944" spans="1:12" x14ac:dyDescent="0.25">
      <c r="A1944" t="s">
        <v>66</v>
      </c>
      <c r="B1944" t="s">
        <v>3180</v>
      </c>
      <c r="C1944" t="s">
        <v>1225</v>
      </c>
      <c r="D1944" s="13">
        <v>60000</v>
      </c>
      <c r="F1944" s="10">
        <v>45363</v>
      </c>
      <c r="I1944" t="s">
        <v>1198</v>
      </c>
    </row>
    <row r="1945" spans="1:12" x14ac:dyDescent="0.25">
      <c r="A1945" t="s">
        <v>66</v>
      </c>
      <c r="B1945" t="s">
        <v>3181</v>
      </c>
      <c r="C1945" t="s">
        <v>1222</v>
      </c>
      <c r="D1945" s="13">
        <v>60000</v>
      </c>
      <c r="F1945" s="10">
        <v>45363</v>
      </c>
      <c r="I1945" t="s">
        <v>1198</v>
      </c>
    </row>
    <row r="1946" spans="1:12" x14ac:dyDescent="0.25">
      <c r="A1946" t="s">
        <v>882</v>
      </c>
      <c r="B1946" t="s">
        <v>3182</v>
      </c>
      <c r="C1946" t="s">
        <v>1218</v>
      </c>
      <c r="E1946">
        <v>60</v>
      </c>
      <c r="F1946" s="10">
        <v>36526</v>
      </c>
      <c r="G1946">
        <v>24</v>
      </c>
      <c r="H1946">
        <v>25</v>
      </c>
      <c r="I1946" t="s">
        <v>1199</v>
      </c>
      <c r="J1946" t="s">
        <v>1219</v>
      </c>
      <c r="K1946" t="s">
        <v>1234</v>
      </c>
      <c r="L1946">
        <v>619.6</v>
      </c>
    </row>
    <row r="1947" spans="1:12" x14ac:dyDescent="0.25">
      <c r="A1947" t="s">
        <v>882</v>
      </c>
      <c r="B1947" t="s">
        <v>3183</v>
      </c>
      <c r="C1947" t="s">
        <v>1296</v>
      </c>
      <c r="D1947" s="13">
        <v>60000</v>
      </c>
      <c r="F1947" s="10">
        <v>40057</v>
      </c>
      <c r="G1947">
        <v>15</v>
      </c>
      <c r="H1947">
        <v>15</v>
      </c>
      <c r="I1947" t="s">
        <v>1198</v>
      </c>
    </row>
    <row r="1948" spans="1:12" x14ac:dyDescent="0.25">
      <c r="A1948" t="s">
        <v>882</v>
      </c>
      <c r="B1948" t="s">
        <v>3184</v>
      </c>
      <c r="C1948" t="s">
        <v>1225</v>
      </c>
      <c r="D1948" s="13">
        <v>60000</v>
      </c>
      <c r="F1948" s="10">
        <v>39295</v>
      </c>
      <c r="G1948">
        <v>17</v>
      </c>
      <c r="H1948">
        <v>15</v>
      </c>
      <c r="I1948" t="s">
        <v>1198</v>
      </c>
    </row>
    <row r="1949" spans="1:12" x14ac:dyDescent="0.25">
      <c r="A1949" t="s">
        <v>882</v>
      </c>
      <c r="B1949" t="s">
        <v>3185</v>
      </c>
      <c r="C1949" t="s">
        <v>1222</v>
      </c>
      <c r="D1949" s="13">
        <v>60000</v>
      </c>
      <c r="F1949" s="10">
        <v>39661</v>
      </c>
      <c r="G1949">
        <v>16</v>
      </c>
      <c r="H1949">
        <v>15</v>
      </c>
      <c r="I1949" t="s">
        <v>1198</v>
      </c>
    </row>
    <row r="1950" spans="1:12" x14ac:dyDescent="0.25">
      <c r="A1950" t="s">
        <v>882</v>
      </c>
      <c r="B1950" t="s">
        <v>3186</v>
      </c>
      <c r="C1950" t="s">
        <v>1296</v>
      </c>
      <c r="D1950" s="13">
        <v>48000</v>
      </c>
      <c r="I1950" t="s">
        <v>1198</v>
      </c>
    </row>
    <row r="1951" spans="1:12" x14ac:dyDescent="0.25">
      <c r="A1951" t="s">
        <v>882</v>
      </c>
      <c r="B1951" t="s">
        <v>3187</v>
      </c>
      <c r="C1951" t="s">
        <v>1225</v>
      </c>
      <c r="D1951" s="13">
        <v>60000</v>
      </c>
      <c r="F1951" s="10">
        <v>45943</v>
      </c>
      <c r="I1951" t="s">
        <v>1198</v>
      </c>
    </row>
    <row r="1952" spans="1:12" x14ac:dyDescent="0.25">
      <c r="A1952" t="s">
        <v>882</v>
      </c>
      <c r="B1952" t="s">
        <v>3188</v>
      </c>
      <c r="C1952" t="s">
        <v>1222</v>
      </c>
      <c r="D1952" s="13">
        <v>60000</v>
      </c>
      <c r="F1952" s="10">
        <v>45943</v>
      </c>
      <c r="I1952" t="s">
        <v>1198</v>
      </c>
    </row>
    <row r="1953" spans="1:12" x14ac:dyDescent="0.25">
      <c r="A1953" t="s">
        <v>882</v>
      </c>
      <c r="B1953" t="s">
        <v>3189</v>
      </c>
      <c r="C1953" t="s">
        <v>1225</v>
      </c>
      <c r="D1953" s="13">
        <v>60000</v>
      </c>
      <c r="F1953" s="10">
        <v>45943</v>
      </c>
      <c r="I1953" t="s">
        <v>1198</v>
      </c>
    </row>
    <row r="1954" spans="1:12" x14ac:dyDescent="0.25">
      <c r="A1954" t="s">
        <v>882</v>
      </c>
      <c r="B1954" t="s">
        <v>3190</v>
      </c>
      <c r="C1954" t="s">
        <v>1222</v>
      </c>
      <c r="D1954" s="13">
        <v>60000</v>
      </c>
      <c r="F1954" s="10">
        <v>45943</v>
      </c>
      <c r="I1954" t="s">
        <v>1198</v>
      </c>
    </row>
    <row r="1955" spans="1:12" x14ac:dyDescent="0.25">
      <c r="A1955" t="s">
        <v>299</v>
      </c>
      <c r="B1955" t="s">
        <v>3191</v>
      </c>
      <c r="C1955" t="s">
        <v>1218</v>
      </c>
      <c r="E1955">
        <v>100</v>
      </c>
      <c r="F1955" s="10">
        <v>33809</v>
      </c>
      <c r="G1955">
        <v>32</v>
      </c>
      <c r="H1955">
        <v>25</v>
      </c>
      <c r="I1955" t="s">
        <v>1198</v>
      </c>
      <c r="J1955" t="s">
        <v>1219</v>
      </c>
      <c r="L1955">
        <v>1552.5</v>
      </c>
    </row>
    <row r="1956" spans="1:12" x14ac:dyDescent="0.25">
      <c r="A1956" t="s">
        <v>299</v>
      </c>
      <c r="B1956" t="s">
        <v>3192</v>
      </c>
      <c r="C1956" t="s">
        <v>1238</v>
      </c>
      <c r="D1956" s="13">
        <v>120000</v>
      </c>
      <c r="F1956" s="10">
        <v>37377</v>
      </c>
      <c r="G1956">
        <v>22</v>
      </c>
      <c r="H1956">
        <v>15</v>
      </c>
      <c r="I1956" t="s">
        <v>1198</v>
      </c>
    </row>
    <row r="1957" spans="1:12" x14ac:dyDescent="0.25">
      <c r="A1957" t="s">
        <v>299</v>
      </c>
      <c r="B1957" t="s">
        <v>3193</v>
      </c>
      <c r="C1957" t="s">
        <v>1222</v>
      </c>
      <c r="D1957" s="13">
        <v>90000</v>
      </c>
      <c r="F1957" s="10">
        <v>41671</v>
      </c>
      <c r="G1957">
        <v>10</v>
      </c>
      <c r="H1957">
        <v>15</v>
      </c>
      <c r="I1957" t="s">
        <v>1199</v>
      </c>
    </row>
    <row r="1958" spans="1:12" x14ac:dyDescent="0.25">
      <c r="A1958" t="s">
        <v>299</v>
      </c>
      <c r="B1958" t="s">
        <v>3194</v>
      </c>
      <c r="C1958" t="s">
        <v>1225</v>
      </c>
      <c r="D1958" s="13">
        <v>90000</v>
      </c>
      <c r="F1958" s="10">
        <v>41640</v>
      </c>
      <c r="G1958">
        <v>10</v>
      </c>
      <c r="H1958">
        <v>15</v>
      </c>
      <c r="I1958" t="s">
        <v>1199</v>
      </c>
    </row>
    <row r="1959" spans="1:12" x14ac:dyDescent="0.25">
      <c r="A1959" t="s">
        <v>299</v>
      </c>
      <c r="B1959" t="s">
        <v>3195</v>
      </c>
      <c r="C1959" t="s">
        <v>1225</v>
      </c>
      <c r="D1959" s="13">
        <v>90000</v>
      </c>
      <c r="F1959" s="10">
        <v>39479</v>
      </c>
      <c r="G1959">
        <v>16</v>
      </c>
      <c r="H1959">
        <v>15</v>
      </c>
      <c r="I1959" t="s">
        <v>1198</v>
      </c>
    </row>
    <row r="1960" spans="1:12" x14ac:dyDescent="0.25">
      <c r="A1960" t="s">
        <v>299</v>
      </c>
      <c r="B1960" t="s">
        <v>3196</v>
      </c>
      <c r="C1960" t="s">
        <v>1222</v>
      </c>
      <c r="D1960" s="13">
        <v>90000</v>
      </c>
      <c r="F1960" s="10">
        <v>42095</v>
      </c>
      <c r="G1960">
        <v>9</v>
      </c>
      <c r="H1960">
        <v>15</v>
      </c>
      <c r="I1960" t="s">
        <v>1199</v>
      </c>
    </row>
    <row r="1961" spans="1:12" x14ac:dyDescent="0.25">
      <c r="A1961" t="s">
        <v>299</v>
      </c>
      <c r="B1961" t="s">
        <v>3197</v>
      </c>
      <c r="C1961" t="s">
        <v>1296</v>
      </c>
      <c r="D1961" s="13">
        <v>240000</v>
      </c>
      <c r="I1961" t="s">
        <v>1198</v>
      </c>
    </row>
    <row r="1962" spans="1:12" x14ac:dyDescent="0.25">
      <c r="A1962" t="s">
        <v>996</v>
      </c>
      <c r="B1962" t="s">
        <v>3198</v>
      </c>
      <c r="C1962" t="s">
        <v>1218</v>
      </c>
      <c r="E1962">
        <v>230</v>
      </c>
      <c r="I1962" t="s">
        <v>1198</v>
      </c>
      <c r="J1962" t="s">
        <v>1219</v>
      </c>
      <c r="K1962" t="s">
        <v>1234</v>
      </c>
      <c r="L1962">
        <v>192.8</v>
      </c>
    </row>
    <row r="1963" spans="1:12" x14ac:dyDescent="0.25">
      <c r="A1963" t="s">
        <v>996</v>
      </c>
      <c r="B1963" t="s">
        <v>3199</v>
      </c>
      <c r="C1963" t="s">
        <v>1222</v>
      </c>
      <c r="D1963" s="13">
        <v>24000</v>
      </c>
      <c r="F1963" s="10">
        <v>43101</v>
      </c>
      <c r="I1963" t="s">
        <v>1198</v>
      </c>
    </row>
    <row r="1964" spans="1:12" x14ac:dyDescent="0.25">
      <c r="A1964" t="s">
        <v>996</v>
      </c>
      <c r="B1964" t="s">
        <v>3200</v>
      </c>
      <c r="C1964" t="s">
        <v>1222</v>
      </c>
      <c r="D1964" s="13">
        <v>24000</v>
      </c>
      <c r="F1964" s="10">
        <v>29587</v>
      </c>
      <c r="G1964">
        <v>43</v>
      </c>
      <c r="H1964">
        <v>15</v>
      </c>
      <c r="I1964" t="s">
        <v>1198</v>
      </c>
    </row>
    <row r="1965" spans="1:12" x14ac:dyDescent="0.25">
      <c r="A1965" t="s">
        <v>996</v>
      </c>
      <c r="B1965" t="s">
        <v>3201</v>
      </c>
      <c r="C1965" t="s">
        <v>1222</v>
      </c>
      <c r="D1965" s="13">
        <v>36000</v>
      </c>
      <c r="F1965" s="10">
        <v>29587</v>
      </c>
      <c r="G1965">
        <v>43</v>
      </c>
      <c r="H1965">
        <v>15</v>
      </c>
      <c r="I1965" t="s">
        <v>1198</v>
      </c>
    </row>
    <row r="1966" spans="1:12" x14ac:dyDescent="0.25">
      <c r="A1966" t="s">
        <v>996</v>
      </c>
      <c r="B1966" t="s">
        <v>3202</v>
      </c>
      <c r="C1966" t="s">
        <v>1225</v>
      </c>
      <c r="D1966" s="13">
        <v>288000</v>
      </c>
      <c r="F1966" s="10">
        <v>29587</v>
      </c>
      <c r="G1966">
        <v>43</v>
      </c>
      <c r="H1966">
        <v>15</v>
      </c>
      <c r="I1966" t="s">
        <v>1198</v>
      </c>
    </row>
    <row r="1967" spans="1:12" x14ac:dyDescent="0.25">
      <c r="A1967" t="s">
        <v>996</v>
      </c>
      <c r="B1967" t="s">
        <v>3203</v>
      </c>
      <c r="C1967" t="s">
        <v>1225</v>
      </c>
      <c r="D1967" s="13">
        <v>288000</v>
      </c>
      <c r="I1967" t="s">
        <v>1198</v>
      </c>
    </row>
    <row r="1968" spans="1:12" x14ac:dyDescent="0.25">
      <c r="A1968" t="s">
        <v>996</v>
      </c>
      <c r="B1968" t="s">
        <v>3204</v>
      </c>
      <c r="C1968" t="s">
        <v>1225</v>
      </c>
      <c r="D1968" s="13">
        <v>36000</v>
      </c>
      <c r="F1968" s="10">
        <v>32905</v>
      </c>
      <c r="G1968">
        <v>34</v>
      </c>
      <c r="H1968">
        <v>15</v>
      </c>
      <c r="I1968" t="s">
        <v>1198</v>
      </c>
    </row>
    <row r="1969" spans="1:12" x14ac:dyDescent="0.25">
      <c r="A1969" t="s">
        <v>983</v>
      </c>
      <c r="B1969" t="s">
        <v>3205</v>
      </c>
      <c r="C1969" t="s">
        <v>1218</v>
      </c>
      <c r="E1969">
        <v>135</v>
      </c>
      <c r="I1969" t="s">
        <v>1198</v>
      </c>
      <c r="J1969" t="s">
        <v>1219</v>
      </c>
      <c r="K1969" t="s">
        <v>1234</v>
      </c>
      <c r="L1969">
        <v>572</v>
      </c>
    </row>
    <row r="1970" spans="1:12" x14ac:dyDescent="0.25">
      <c r="A1970" t="s">
        <v>983</v>
      </c>
      <c r="B1970" t="s">
        <v>3206</v>
      </c>
      <c r="C1970" t="s">
        <v>1218</v>
      </c>
      <c r="E1970">
        <v>150</v>
      </c>
      <c r="I1970" t="s">
        <v>1198</v>
      </c>
      <c r="J1970" t="s">
        <v>1341</v>
      </c>
      <c r="K1970" t="s">
        <v>1234</v>
      </c>
      <c r="L1970">
        <v>590.9</v>
      </c>
    </row>
    <row r="1971" spans="1:12" x14ac:dyDescent="0.25">
      <c r="A1971" t="s">
        <v>983</v>
      </c>
      <c r="B1971" t="s">
        <v>3207</v>
      </c>
      <c r="C1971" t="s">
        <v>1225</v>
      </c>
      <c r="I1971" t="s">
        <v>1198</v>
      </c>
    </row>
    <row r="1972" spans="1:12" x14ac:dyDescent="0.25">
      <c r="A1972" t="s">
        <v>983</v>
      </c>
      <c r="B1972" t="s">
        <v>3208</v>
      </c>
      <c r="C1972" t="s">
        <v>1225</v>
      </c>
      <c r="I1972" t="s">
        <v>1198</v>
      </c>
    </row>
    <row r="1973" spans="1:12" x14ac:dyDescent="0.25">
      <c r="A1973" t="s">
        <v>983</v>
      </c>
      <c r="B1973" t="s">
        <v>3209</v>
      </c>
      <c r="C1973" t="s">
        <v>1225</v>
      </c>
      <c r="I1973" t="s">
        <v>1198</v>
      </c>
    </row>
    <row r="1974" spans="1:12" x14ac:dyDescent="0.25">
      <c r="A1974" t="s">
        <v>983</v>
      </c>
      <c r="B1974" t="s">
        <v>3210</v>
      </c>
      <c r="C1974" t="s">
        <v>1225</v>
      </c>
      <c r="D1974" s="13">
        <v>240000</v>
      </c>
      <c r="F1974" s="10">
        <v>31048</v>
      </c>
      <c r="G1974">
        <v>39</v>
      </c>
      <c r="H1974">
        <v>15</v>
      </c>
      <c r="I1974" t="s">
        <v>1198</v>
      </c>
    </row>
    <row r="1975" spans="1:12" x14ac:dyDescent="0.25">
      <c r="A1975" t="s">
        <v>983</v>
      </c>
      <c r="B1975" t="s">
        <v>3211</v>
      </c>
      <c r="C1975" t="s">
        <v>1225</v>
      </c>
      <c r="D1975" s="13">
        <v>240000</v>
      </c>
      <c r="I1975" t="s">
        <v>1198</v>
      </c>
    </row>
    <row r="1976" spans="1:12" x14ac:dyDescent="0.25">
      <c r="A1976" t="s">
        <v>983</v>
      </c>
      <c r="B1976" t="s">
        <v>3212</v>
      </c>
      <c r="C1976" t="s">
        <v>1225</v>
      </c>
      <c r="I1976" t="s">
        <v>1198</v>
      </c>
    </row>
    <row r="1977" spans="1:12" x14ac:dyDescent="0.25">
      <c r="A1977" t="s">
        <v>304</v>
      </c>
      <c r="B1977" t="s">
        <v>3213</v>
      </c>
      <c r="C1977" t="s">
        <v>1218</v>
      </c>
      <c r="E1977">
        <v>60</v>
      </c>
      <c r="F1977" s="10">
        <v>32372</v>
      </c>
      <c r="G1977">
        <v>36</v>
      </c>
      <c r="H1977">
        <v>25</v>
      </c>
      <c r="I1977" t="s">
        <v>1198</v>
      </c>
      <c r="J1977" t="s">
        <v>1219</v>
      </c>
      <c r="K1977" t="s">
        <v>1220</v>
      </c>
      <c r="L1977">
        <v>1131.2</v>
      </c>
    </row>
    <row r="1978" spans="1:12" x14ac:dyDescent="0.25">
      <c r="A1978" t="s">
        <v>304</v>
      </c>
      <c r="B1978" t="s">
        <v>3214</v>
      </c>
      <c r="C1978" t="s">
        <v>1296</v>
      </c>
      <c r="D1978" s="13">
        <v>60000</v>
      </c>
      <c r="F1978" s="10">
        <v>37377</v>
      </c>
      <c r="G1978">
        <v>22</v>
      </c>
      <c r="H1978">
        <v>15</v>
      </c>
      <c r="I1978" t="s">
        <v>1198</v>
      </c>
    </row>
    <row r="1979" spans="1:12" x14ac:dyDescent="0.25">
      <c r="A1979" t="s">
        <v>304</v>
      </c>
      <c r="B1979" t="s">
        <v>3215</v>
      </c>
      <c r="C1979" t="s">
        <v>1238</v>
      </c>
      <c r="I1979" t="s">
        <v>1198</v>
      </c>
    </row>
    <row r="1980" spans="1:12" x14ac:dyDescent="0.25">
      <c r="A1980" t="s">
        <v>304</v>
      </c>
      <c r="B1980" t="s">
        <v>3216</v>
      </c>
      <c r="C1980" t="s">
        <v>1238</v>
      </c>
      <c r="D1980" s="13">
        <v>36000</v>
      </c>
      <c r="F1980" s="10">
        <v>45420</v>
      </c>
      <c r="G1980">
        <v>0</v>
      </c>
      <c r="H1980">
        <v>15</v>
      </c>
      <c r="I1980" t="s">
        <v>1199</v>
      </c>
    </row>
    <row r="1981" spans="1:12" x14ac:dyDescent="0.25">
      <c r="A1981" t="s">
        <v>304</v>
      </c>
      <c r="B1981" t="s">
        <v>3217</v>
      </c>
      <c r="C1981" t="s">
        <v>1238</v>
      </c>
      <c r="D1981" s="13">
        <v>36000</v>
      </c>
      <c r="F1981" s="10">
        <v>45420</v>
      </c>
      <c r="I1981" t="s">
        <v>1198</v>
      </c>
    </row>
    <row r="1982" spans="1:12" x14ac:dyDescent="0.25">
      <c r="A1982" t="s">
        <v>887</v>
      </c>
      <c r="B1982" t="s">
        <v>3218</v>
      </c>
      <c r="C1982" t="s">
        <v>1218</v>
      </c>
      <c r="E1982">
        <v>350</v>
      </c>
      <c r="I1982" t="s">
        <v>1198</v>
      </c>
      <c r="J1982" t="s">
        <v>1219</v>
      </c>
      <c r="K1982" t="s">
        <v>1234</v>
      </c>
      <c r="L1982">
        <v>591.6</v>
      </c>
    </row>
    <row r="1983" spans="1:12" x14ac:dyDescent="0.25">
      <c r="A1983" t="s">
        <v>887</v>
      </c>
      <c r="B1983" t="s">
        <v>3219</v>
      </c>
      <c r="C1983" t="s">
        <v>1225</v>
      </c>
      <c r="F1983" s="10">
        <v>41821</v>
      </c>
      <c r="G1983">
        <v>10</v>
      </c>
      <c r="H1983">
        <v>15</v>
      </c>
      <c r="I1983" t="s">
        <v>1199</v>
      </c>
    </row>
    <row r="1984" spans="1:12" x14ac:dyDescent="0.25">
      <c r="A1984" t="s">
        <v>887</v>
      </c>
      <c r="B1984" t="s">
        <v>3220</v>
      </c>
      <c r="C1984" t="s">
        <v>1222</v>
      </c>
      <c r="D1984" s="13">
        <v>24000</v>
      </c>
      <c r="F1984" s="10">
        <v>41852</v>
      </c>
      <c r="G1984">
        <v>10</v>
      </c>
      <c r="H1984">
        <v>15</v>
      </c>
      <c r="I1984" t="s">
        <v>1199</v>
      </c>
    </row>
    <row r="1985" spans="1:12" x14ac:dyDescent="0.25">
      <c r="A1985" t="s">
        <v>887</v>
      </c>
      <c r="B1985" t="s">
        <v>3221</v>
      </c>
      <c r="C1985" t="s">
        <v>1225</v>
      </c>
      <c r="D1985" s="13">
        <v>24000</v>
      </c>
      <c r="F1985" s="10">
        <v>41821</v>
      </c>
      <c r="G1985">
        <v>10</v>
      </c>
      <c r="H1985">
        <v>15</v>
      </c>
      <c r="I1985" t="s">
        <v>1199</v>
      </c>
    </row>
    <row r="1986" spans="1:12" x14ac:dyDescent="0.25">
      <c r="A1986" t="s">
        <v>887</v>
      </c>
      <c r="B1986" t="s">
        <v>3222</v>
      </c>
      <c r="C1986" t="s">
        <v>1222</v>
      </c>
      <c r="D1986" s="13">
        <v>300000</v>
      </c>
      <c r="F1986" s="10">
        <v>41852</v>
      </c>
      <c r="G1986">
        <v>10</v>
      </c>
      <c r="H1986">
        <v>15</v>
      </c>
      <c r="I1986" t="s">
        <v>1199</v>
      </c>
    </row>
    <row r="1987" spans="1:12" x14ac:dyDescent="0.25">
      <c r="A1987" t="s">
        <v>887</v>
      </c>
      <c r="B1987" t="s">
        <v>3223</v>
      </c>
      <c r="C1987" t="s">
        <v>1225</v>
      </c>
      <c r="F1987" s="10">
        <v>32660</v>
      </c>
      <c r="G1987">
        <v>35</v>
      </c>
      <c r="H1987">
        <v>15</v>
      </c>
      <c r="I1987" t="s">
        <v>1198</v>
      </c>
    </row>
    <row r="1988" spans="1:12" x14ac:dyDescent="0.25">
      <c r="A1988" t="s">
        <v>887</v>
      </c>
      <c r="B1988" t="s">
        <v>3224</v>
      </c>
      <c r="C1988" t="s">
        <v>1222</v>
      </c>
      <c r="F1988" s="10">
        <v>32660</v>
      </c>
      <c r="G1988">
        <v>35</v>
      </c>
      <c r="H1988">
        <v>15</v>
      </c>
      <c r="I1988" t="s">
        <v>1198</v>
      </c>
    </row>
    <row r="1989" spans="1:12" x14ac:dyDescent="0.25">
      <c r="A1989" t="s">
        <v>887</v>
      </c>
      <c r="B1989" t="s">
        <v>3225</v>
      </c>
      <c r="C1989" t="s">
        <v>1222</v>
      </c>
      <c r="D1989" s="13">
        <v>300000</v>
      </c>
      <c r="F1989" s="10">
        <v>41852</v>
      </c>
      <c r="I1989" t="s">
        <v>1198</v>
      </c>
    </row>
    <row r="1990" spans="1:12" x14ac:dyDescent="0.25">
      <c r="A1990" t="s">
        <v>310</v>
      </c>
      <c r="B1990" t="s">
        <v>3226</v>
      </c>
      <c r="C1990" t="s">
        <v>1218</v>
      </c>
      <c r="E1990">
        <v>150</v>
      </c>
      <c r="I1990" t="s">
        <v>1198</v>
      </c>
      <c r="J1990" t="s">
        <v>1219</v>
      </c>
      <c r="K1990" t="s">
        <v>1234</v>
      </c>
      <c r="L1990">
        <v>180</v>
      </c>
    </row>
    <row r="1991" spans="1:12" x14ac:dyDescent="0.25">
      <c r="A1991" t="s">
        <v>310</v>
      </c>
      <c r="B1991" t="s">
        <v>3227</v>
      </c>
      <c r="C1991" t="s">
        <v>1222</v>
      </c>
      <c r="D1991" s="13">
        <v>240000</v>
      </c>
      <c r="F1991" s="10">
        <v>33939</v>
      </c>
      <c r="G1991">
        <v>31</v>
      </c>
      <c r="H1991">
        <v>15</v>
      </c>
      <c r="I1991" t="s">
        <v>1198</v>
      </c>
    </row>
    <row r="1992" spans="1:12" x14ac:dyDescent="0.25">
      <c r="A1992" t="s">
        <v>310</v>
      </c>
      <c r="B1992" t="s">
        <v>3228</v>
      </c>
      <c r="C1992" t="s">
        <v>1225</v>
      </c>
      <c r="D1992" s="13">
        <v>48000</v>
      </c>
      <c r="I1992" t="s">
        <v>1198</v>
      </c>
    </row>
    <row r="1993" spans="1:12" x14ac:dyDescent="0.25">
      <c r="A1993" t="s">
        <v>310</v>
      </c>
      <c r="B1993" t="s">
        <v>3229</v>
      </c>
      <c r="C1993" t="s">
        <v>1222</v>
      </c>
      <c r="D1993" s="13">
        <v>48000</v>
      </c>
      <c r="I1993" t="s">
        <v>1198</v>
      </c>
    </row>
    <row r="1994" spans="1:12" x14ac:dyDescent="0.25">
      <c r="A1994" t="s">
        <v>310</v>
      </c>
      <c r="B1994" t="s">
        <v>3230</v>
      </c>
      <c r="C1994" t="s">
        <v>1225</v>
      </c>
      <c r="D1994" s="13">
        <v>60000</v>
      </c>
      <c r="I1994" t="s">
        <v>1198</v>
      </c>
    </row>
    <row r="1995" spans="1:12" x14ac:dyDescent="0.25">
      <c r="A1995" t="s">
        <v>310</v>
      </c>
      <c r="B1995" t="s">
        <v>3231</v>
      </c>
      <c r="C1995" t="s">
        <v>1296</v>
      </c>
      <c r="D1995" s="13">
        <v>60000</v>
      </c>
      <c r="I1995" t="s">
        <v>1198</v>
      </c>
    </row>
    <row r="1996" spans="1:12" x14ac:dyDescent="0.25">
      <c r="A1996" t="s">
        <v>310</v>
      </c>
      <c r="B1996" t="s">
        <v>3232</v>
      </c>
      <c r="C1996" t="s">
        <v>1296</v>
      </c>
      <c r="D1996" s="13">
        <v>150000</v>
      </c>
      <c r="F1996" s="10">
        <v>37135</v>
      </c>
      <c r="G1996">
        <v>23</v>
      </c>
      <c r="H1996">
        <v>15</v>
      </c>
      <c r="I1996" t="s">
        <v>1198</v>
      </c>
    </row>
    <row r="1997" spans="1:12" x14ac:dyDescent="0.25">
      <c r="A1997" t="s">
        <v>310</v>
      </c>
      <c r="B1997" t="s">
        <v>3233</v>
      </c>
      <c r="C1997" t="s">
        <v>1225</v>
      </c>
      <c r="F1997" s="10">
        <v>41671</v>
      </c>
      <c r="G1997">
        <v>10</v>
      </c>
      <c r="H1997">
        <v>15</v>
      </c>
      <c r="I1997" t="s">
        <v>1199</v>
      </c>
    </row>
    <row r="1998" spans="1:12" x14ac:dyDescent="0.25">
      <c r="A1998" t="s">
        <v>310</v>
      </c>
      <c r="B1998" t="s">
        <v>3234</v>
      </c>
      <c r="C1998" t="s">
        <v>1222</v>
      </c>
      <c r="F1998" s="10">
        <v>41671</v>
      </c>
      <c r="G1998">
        <v>10</v>
      </c>
      <c r="H1998">
        <v>15</v>
      </c>
      <c r="I1998" t="s">
        <v>1199</v>
      </c>
    </row>
    <row r="1999" spans="1:12" x14ac:dyDescent="0.25">
      <c r="A1999" t="s">
        <v>310</v>
      </c>
      <c r="B1999" t="s">
        <v>3235</v>
      </c>
      <c r="C1999" t="s">
        <v>1296</v>
      </c>
      <c r="F1999" s="10">
        <v>40269</v>
      </c>
      <c r="G1999">
        <v>14</v>
      </c>
      <c r="H1999">
        <v>15</v>
      </c>
      <c r="I1999" t="s">
        <v>1199</v>
      </c>
    </row>
    <row r="2000" spans="1:12" x14ac:dyDescent="0.25">
      <c r="A2000" t="s">
        <v>310</v>
      </c>
      <c r="B2000" t="s">
        <v>3236</v>
      </c>
      <c r="C2000" t="s">
        <v>1222</v>
      </c>
      <c r="D2000" s="13">
        <v>48000</v>
      </c>
      <c r="F2000" s="10">
        <v>40179</v>
      </c>
      <c r="G2000">
        <v>14</v>
      </c>
      <c r="H2000">
        <v>15</v>
      </c>
      <c r="I2000" t="s">
        <v>1199</v>
      </c>
    </row>
    <row r="2001" spans="1:12" x14ac:dyDescent="0.25">
      <c r="A2001" t="s">
        <v>310</v>
      </c>
      <c r="B2001" t="s">
        <v>3237</v>
      </c>
      <c r="C2001" t="s">
        <v>1238</v>
      </c>
      <c r="D2001" s="13">
        <v>60000</v>
      </c>
      <c r="F2001" s="10">
        <v>36251</v>
      </c>
      <c r="G2001">
        <v>25</v>
      </c>
      <c r="H2001">
        <v>15</v>
      </c>
      <c r="I2001" t="s">
        <v>1198</v>
      </c>
    </row>
    <row r="2002" spans="1:12" x14ac:dyDescent="0.25">
      <c r="A2002" t="s">
        <v>310</v>
      </c>
      <c r="B2002" t="s">
        <v>3238</v>
      </c>
      <c r="C2002" t="s">
        <v>1238</v>
      </c>
      <c r="D2002" s="13">
        <v>60000</v>
      </c>
      <c r="F2002" s="10">
        <v>44044</v>
      </c>
      <c r="G2002">
        <v>4</v>
      </c>
      <c r="H2002">
        <v>15</v>
      </c>
      <c r="I2002" t="s">
        <v>1199</v>
      </c>
    </row>
    <row r="2003" spans="1:12" x14ac:dyDescent="0.25">
      <c r="A2003" t="s">
        <v>310</v>
      </c>
      <c r="B2003" t="s">
        <v>3239</v>
      </c>
      <c r="C2003" t="s">
        <v>1296</v>
      </c>
      <c r="D2003" s="13">
        <v>150000</v>
      </c>
      <c r="F2003" s="10">
        <v>42826</v>
      </c>
      <c r="G2003">
        <v>7</v>
      </c>
      <c r="H2003">
        <v>15</v>
      </c>
      <c r="I2003" t="s">
        <v>1199</v>
      </c>
    </row>
    <row r="2004" spans="1:12" x14ac:dyDescent="0.25">
      <c r="A2004" t="s">
        <v>310</v>
      </c>
      <c r="B2004" t="s">
        <v>3240</v>
      </c>
      <c r="C2004" t="s">
        <v>1260</v>
      </c>
      <c r="D2004" s="13">
        <v>60000</v>
      </c>
      <c r="F2004" s="10">
        <v>43831</v>
      </c>
      <c r="I2004" t="s">
        <v>1198</v>
      </c>
    </row>
    <row r="2005" spans="1:12" x14ac:dyDescent="0.25">
      <c r="A2005" t="s">
        <v>314</v>
      </c>
      <c r="B2005" t="s">
        <v>3241</v>
      </c>
      <c r="C2005" t="s">
        <v>1218</v>
      </c>
      <c r="E2005">
        <v>40</v>
      </c>
      <c r="F2005" s="10">
        <v>31079</v>
      </c>
      <c r="G2005">
        <v>39</v>
      </c>
      <c r="H2005">
        <v>25</v>
      </c>
      <c r="I2005" t="s">
        <v>1198</v>
      </c>
      <c r="J2005" t="s">
        <v>1219</v>
      </c>
      <c r="K2005" t="s">
        <v>1234</v>
      </c>
      <c r="L2005">
        <v>1443</v>
      </c>
    </row>
    <row r="2006" spans="1:12" x14ac:dyDescent="0.25">
      <c r="A2006" t="s">
        <v>314</v>
      </c>
      <c r="B2006" t="s">
        <v>3242</v>
      </c>
      <c r="C2006" t="s">
        <v>1218</v>
      </c>
      <c r="E2006">
        <v>50</v>
      </c>
      <c r="F2006" s="10">
        <v>33246</v>
      </c>
      <c r="G2006">
        <v>33</v>
      </c>
      <c r="H2006">
        <v>25</v>
      </c>
      <c r="I2006" t="s">
        <v>1198</v>
      </c>
      <c r="J2006" t="s">
        <v>1341</v>
      </c>
      <c r="K2006" t="s">
        <v>1234</v>
      </c>
      <c r="L2006">
        <v>401</v>
      </c>
    </row>
    <row r="2007" spans="1:12" x14ac:dyDescent="0.25">
      <c r="A2007" t="s">
        <v>314</v>
      </c>
      <c r="B2007" t="s">
        <v>3243</v>
      </c>
      <c r="C2007" t="s">
        <v>1225</v>
      </c>
      <c r="D2007" s="13">
        <v>60000</v>
      </c>
      <c r="F2007" s="10">
        <v>42644</v>
      </c>
      <c r="G2007">
        <v>8</v>
      </c>
      <c r="H2007">
        <v>15</v>
      </c>
      <c r="I2007" t="s">
        <v>1199</v>
      </c>
    </row>
    <row r="2008" spans="1:12" x14ac:dyDescent="0.25">
      <c r="A2008" t="s">
        <v>314</v>
      </c>
      <c r="B2008" t="s">
        <v>3244</v>
      </c>
      <c r="C2008" t="s">
        <v>1225</v>
      </c>
      <c r="I2008" t="s">
        <v>1198</v>
      </c>
    </row>
    <row r="2009" spans="1:12" x14ac:dyDescent="0.25">
      <c r="A2009" t="s">
        <v>314</v>
      </c>
      <c r="B2009" t="s">
        <v>3245</v>
      </c>
      <c r="C2009" t="s">
        <v>1222</v>
      </c>
      <c r="I2009" t="s">
        <v>1198</v>
      </c>
    </row>
    <row r="2010" spans="1:12" x14ac:dyDescent="0.25">
      <c r="A2010" t="s">
        <v>314</v>
      </c>
      <c r="B2010" t="s">
        <v>3246</v>
      </c>
      <c r="C2010" t="s">
        <v>1222</v>
      </c>
      <c r="I2010" t="s">
        <v>1198</v>
      </c>
    </row>
    <row r="2011" spans="1:12" x14ac:dyDescent="0.25">
      <c r="A2011" t="s">
        <v>314</v>
      </c>
      <c r="B2011" t="s">
        <v>3247</v>
      </c>
      <c r="C2011" t="s">
        <v>1225</v>
      </c>
      <c r="I2011" t="s">
        <v>1198</v>
      </c>
    </row>
    <row r="2012" spans="1:12" x14ac:dyDescent="0.25">
      <c r="A2012" t="s">
        <v>314</v>
      </c>
      <c r="B2012" t="s">
        <v>3248</v>
      </c>
      <c r="C2012" t="s">
        <v>1225</v>
      </c>
      <c r="I2012" t="s">
        <v>1198</v>
      </c>
    </row>
    <row r="2013" spans="1:12" x14ac:dyDescent="0.25">
      <c r="A2013" t="s">
        <v>314</v>
      </c>
      <c r="B2013" t="s">
        <v>3249</v>
      </c>
      <c r="C2013" t="s">
        <v>1296</v>
      </c>
      <c r="I2013" t="s">
        <v>1198</v>
      </c>
    </row>
    <row r="2014" spans="1:12" x14ac:dyDescent="0.25">
      <c r="A2014" t="s">
        <v>314</v>
      </c>
      <c r="B2014" t="s">
        <v>3250</v>
      </c>
      <c r="C2014" t="s">
        <v>1238</v>
      </c>
      <c r="F2014" s="10">
        <v>41640</v>
      </c>
      <c r="I2014" t="s">
        <v>1198</v>
      </c>
    </row>
    <row r="2015" spans="1:12" x14ac:dyDescent="0.25">
      <c r="A2015" t="s">
        <v>314</v>
      </c>
      <c r="B2015" t="s">
        <v>3251</v>
      </c>
      <c r="C2015" t="s">
        <v>1238</v>
      </c>
      <c r="I2015" t="s">
        <v>1198</v>
      </c>
    </row>
    <row r="2016" spans="1:12" x14ac:dyDescent="0.25">
      <c r="A2016" t="s">
        <v>314</v>
      </c>
      <c r="B2016" t="s">
        <v>3252</v>
      </c>
      <c r="C2016" t="s">
        <v>1296</v>
      </c>
      <c r="I2016" t="s">
        <v>1198</v>
      </c>
    </row>
    <row r="2017" spans="1:12" x14ac:dyDescent="0.25">
      <c r="A2017" t="s">
        <v>494</v>
      </c>
      <c r="B2017" t="s">
        <v>3253</v>
      </c>
      <c r="C2017" t="s">
        <v>1218</v>
      </c>
      <c r="E2017">
        <v>75</v>
      </c>
      <c r="F2017" s="10">
        <v>28430</v>
      </c>
      <c r="G2017">
        <v>46</v>
      </c>
      <c r="H2017">
        <v>25</v>
      </c>
      <c r="I2017" t="s">
        <v>1198</v>
      </c>
      <c r="J2017" t="s">
        <v>1219</v>
      </c>
      <c r="K2017" t="s">
        <v>1220</v>
      </c>
      <c r="L2017">
        <v>1187.0999999999999</v>
      </c>
    </row>
    <row r="2018" spans="1:12" x14ac:dyDescent="0.25">
      <c r="A2018" t="s">
        <v>494</v>
      </c>
      <c r="B2018" t="s">
        <v>3254</v>
      </c>
      <c r="C2018" t="s">
        <v>1218</v>
      </c>
      <c r="E2018">
        <v>20</v>
      </c>
      <c r="F2018" s="10">
        <v>31199</v>
      </c>
      <c r="G2018">
        <v>39</v>
      </c>
      <c r="H2018">
        <v>25</v>
      </c>
      <c r="I2018" t="s">
        <v>1198</v>
      </c>
      <c r="J2018" t="s">
        <v>1341</v>
      </c>
      <c r="K2018" t="s">
        <v>3255</v>
      </c>
      <c r="L2018">
        <v>268</v>
      </c>
    </row>
    <row r="2019" spans="1:12" x14ac:dyDescent="0.25">
      <c r="A2019" t="s">
        <v>494</v>
      </c>
      <c r="B2019" t="s">
        <v>3256</v>
      </c>
      <c r="C2019" t="s">
        <v>1218</v>
      </c>
      <c r="E2019">
        <v>40</v>
      </c>
      <c r="F2019" s="10">
        <v>35206</v>
      </c>
      <c r="G2019">
        <v>28</v>
      </c>
      <c r="H2019">
        <v>25</v>
      </c>
      <c r="I2019" t="s">
        <v>1198</v>
      </c>
      <c r="J2019" t="s">
        <v>1341</v>
      </c>
      <c r="L2019">
        <v>361.1</v>
      </c>
    </row>
    <row r="2020" spans="1:12" x14ac:dyDescent="0.25">
      <c r="A2020" t="s">
        <v>494</v>
      </c>
      <c r="B2020" t="s">
        <v>3257</v>
      </c>
      <c r="C2020" t="s">
        <v>1225</v>
      </c>
      <c r="D2020" s="13">
        <v>60000</v>
      </c>
      <c r="F2020" s="10">
        <v>37073</v>
      </c>
      <c r="G2020">
        <v>23</v>
      </c>
      <c r="H2020">
        <v>15</v>
      </c>
      <c r="I2020" t="s">
        <v>1198</v>
      </c>
    </row>
    <row r="2021" spans="1:12" x14ac:dyDescent="0.25">
      <c r="A2021" t="s">
        <v>494</v>
      </c>
      <c r="B2021" t="s">
        <v>3258</v>
      </c>
      <c r="C2021" t="s">
        <v>1222</v>
      </c>
      <c r="D2021" s="13">
        <v>60000</v>
      </c>
      <c r="F2021" s="10">
        <v>40087</v>
      </c>
      <c r="G2021">
        <v>15</v>
      </c>
      <c r="H2021">
        <v>15</v>
      </c>
      <c r="I2021" t="s">
        <v>1198</v>
      </c>
    </row>
    <row r="2022" spans="1:12" x14ac:dyDescent="0.25">
      <c r="A2022" t="s">
        <v>494</v>
      </c>
      <c r="B2022" t="s">
        <v>3259</v>
      </c>
      <c r="C2022" t="s">
        <v>1225</v>
      </c>
      <c r="D2022" s="13">
        <v>60000</v>
      </c>
      <c r="F2022" s="10">
        <v>40360</v>
      </c>
      <c r="G2022">
        <v>14</v>
      </c>
      <c r="H2022">
        <v>15</v>
      </c>
      <c r="I2022" t="s">
        <v>1199</v>
      </c>
    </row>
    <row r="2023" spans="1:12" x14ac:dyDescent="0.25">
      <c r="A2023" t="s">
        <v>494</v>
      </c>
      <c r="B2023" t="s">
        <v>3260</v>
      </c>
      <c r="C2023" t="s">
        <v>1222</v>
      </c>
      <c r="D2023" s="13">
        <v>60000</v>
      </c>
      <c r="F2023" s="10">
        <v>40148</v>
      </c>
      <c r="G2023">
        <v>14</v>
      </c>
      <c r="H2023">
        <v>15</v>
      </c>
      <c r="I2023" t="s">
        <v>1199</v>
      </c>
    </row>
    <row r="2024" spans="1:12" x14ac:dyDescent="0.25">
      <c r="A2024" t="s">
        <v>494</v>
      </c>
      <c r="B2024" t="s">
        <v>3261</v>
      </c>
      <c r="C2024" t="s">
        <v>1225</v>
      </c>
      <c r="D2024" s="13">
        <v>36000</v>
      </c>
      <c r="F2024" s="10">
        <v>38047</v>
      </c>
      <c r="G2024">
        <v>20</v>
      </c>
      <c r="H2024">
        <v>15</v>
      </c>
      <c r="I2024" t="s">
        <v>1198</v>
      </c>
    </row>
    <row r="2025" spans="1:12" x14ac:dyDescent="0.25">
      <c r="A2025" t="s">
        <v>494</v>
      </c>
      <c r="B2025" t="s">
        <v>3262</v>
      </c>
      <c r="C2025" t="s">
        <v>1222</v>
      </c>
      <c r="D2025" s="13">
        <v>36000</v>
      </c>
      <c r="F2025" s="10">
        <v>37987</v>
      </c>
      <c r="G2025">
        <v>20</v>
      </c>
      <c r="H2025">
        <v>15</v>
      </c>
      <c r="I2025" t="s">
        <v>1198</v>
      </c>
    </row>
    <row r="2026" spans="1:12" x14ac:dyDescent="0.25">
      <c r="A2026" t="s">
        <v>494</v>
      </c>
      <c r="B2026" t="s">
        <v>3263</v>
      </c>
      <c r="C2026" t="s">
        <v>1238</v>
      </c>
      <c r="D2026" s="13">
        <v>60000</v>
      </c>
      <c r="F2026" s="10">
        <v>39356</v>
      </c>
      <c r="G2026">
        <v>17</v>
      </c>
      <c r="H2026">
        <v>15</v>
      </c>
      <c r="I2026" t="s">
        <v>1198</v>
      </c>
    </row>
    <row r="2027" spans="1:12" x14ac:dyDescent="0.25">
      <c r="A2027" t="s">
        <v>494</v>
      </c>
      <c r="B2027" t="s">
        <v>3264</v>
      </c>
      <c r="C2027" t="s">
        <v>1238</v>
      </c>
      <c r="D2027" s="13">
        <v>60000</v>
      </c>
      <c r="F2027" s="10">
        <v>40909</v>
      </c>
      <c r="G2027">
        <v>12</v>
      </c>
      <c r="H2027">
        <v>15</v>
      </c>
      <c r="I2027" t="s">
        <v>1199</v>
      </c>
    </row>
    <row r="2028" spans="1:12" x14ac:dyDescent="0.25">
      <c r="A2028" t="s">
        <v>494</v>
      </c>
      <c r="B2028" t="s">
        <v>3265</v>
      </c>
      <c r="C2028" t="s">
        <v>1225</v>
      </c>
      <c r="D2028" s="13">
        <v>120000</v>
      </c>
      <c r="I2028" t="s">
        <v>1198</v>
      </c>
    </row>
    <row r="2029" spans="1:12" x14ac:dyDescent="0.25">
      <c r="A2029" t="s">
        <v>494</v>
      </c>
      <c r="B2029" t="s">
        <v>3266</v>
      </c>
      <c r="C2029" t="s">
        <v>1222</v>
      </c>
      <c r="I2029" t="s">
        <v>1198</v>
      </c>
    </row>
    <row r="2030" spans="1:12" x14ac:dyDescent="0.25">
      <c r="A2030" t="s">
        <v>494</v>
      </c>
      <c r="B2030" t="s">
        <v>3267</v>
      </c>
      <c r="C2030" t="s">
        <v>1225</v>
      </c>
      <c r="D2030" s="13">
        <v>60000</v>
      </c>
      <c r="F2030" s="10">
        <v>37073</v>
      </c>
      <c r="I2030" t="s">
        <v>1198</v>
      </c>
    </row>
    <row r="2031" spans="1:12" x14ac:dyDescent="0.25">
      <c r="A2031" t="s">
        <v>494</v>
      </c>
      <c r="B2031" t="s">
        <v>3268</v>
      </c>
      <c r="C2031" t="s">
        <v>1225</v>
      </c>
      <c r="D2031" s="13">
        <v>60000</v>
      </c>
      <c r="F2031" s="10">
        <v>37073</v>
      </c>
      <c r="I2031" t="s">
        <v>1198</v>
      </c>
    </row>
    <row r="2032" spans="1:12" x14ac:dyDescent="0.25">
      <c r="A2032" t="s">
        <v>494</v>
      </c>
      <c r="B2032" t="s">
        <v>3269</v>
      </c>
      <c r="C2032" t="s">
        <v>1222</v>
      </c>
      <c r="D2032" s="13">
        <v>60000</v>
      </c>
      <c r="F2032" s="10">
        <v>40057</v>
      </c>
      <c r="I2032" t="s">
        <v>1198</v>
      </c>
    </row>
    <row r="2033" spans="1:12" x14ac:dyDescent="0.25">
      <c r="A2033" t="s">
        <v>488</v>
      </c>
      <c r="B2033" t="s">
        <v>3270</v>
      </c>
      <c r="C2033" t="s">
        <v>1218</v>
      </c>
      <c r="E2033">
        <v>60</v>
      </c>
      <c r="F2033" s="10">
        <v>31199</v>
      </c>
      <c r="G2033">
        <v>39</v>
      </c>
      <c r="H2033">
        <v>25</v>
      </c>
      <c r="I2033" t="s">
        <v>1198</v>
      </c>
      <c r="J2033" t="s">
        <v>1219</v>
      </c>
      <c r="K2033" t="s">
        <v>1220</v>
      </c>
      <c r="L2033">
        <v>1015.3</v>
      </c>
    </row>
    <row r="2034" spans="1:12" x14ac:dyDescent="0.25">
      <c r="A2034" t="s">
        <v>488</v>
      </c>
      <c r="B2034" t="s">
        <v>3271</v>
      </c>
      <c r="C2034" t="s">
        <v>1218</v>
      </c>
      <c r="E2034">
        <v>45</v>
      </c>
      <c r="F2034" s="10">
        <v>29068</v>
      </c>
      <c r="G2034">
        <v>45</v>
      </c>
      <c r="H2034">
        <v>25</v>
      </c>
      <c r="I2034" t="s">
        <v>1198</v>
      </c>
      <c r="J2034" t="s">
        <v>1341</v>
      </c>
      <c r="K2034" t="s">
        <v>3255</v>
      </c>
      <c r="L2034">
        <v>377.1</v>
      </c>
    </row>
    <row r="2035" spans="1:12" x14ac:dyDescent="0.25">
      <c r="A2035" t="s">
        <v>488</v>
      </c>
      <c r="B2035" t="s">
        <v>3272</v>
      </c>
      <c r="C2035" t="s">
        <v>1225</v>
      </c>
      <c r="D2035" s="13">
        <v>48000</v>
      </c>
      <c r="I2035" t="s">
        <v>1198</v>
      </c>
    </row>
    <row r="2036" spans="1:12" x14ac:dyDescent="0.25">
      <c r="A2036" t="s">
        <v>488</v>
      </c>
      <c r="B2036" t="s">
        <v>3273</v>
      </c>
      <c r="C2036" t="s">
        <v>1225</v>
      </c>
      <c r="D2036" s="13">
        <v>48000</v>
      </c>
      <c r="F2036" s="10">
        <v>38200</v>
      </c>
      <c r="G2036">
        <v>20</v>
      </c>
      <c r="H2036">
        <v>15</v>
      </c>
      <c r="I2036" t="s">
        <v>1198</v>
      </c>
    </row>
    <row r="2037" spans="1:12" x14ac:dyDescent="0.25">
      <c r="A2037" t="s">
        <v>488</v>
      </c>
      <c r="B2037" t="s">
        <v>3274</v>
      </c>
      <c r="C2037" t="s">
        <v>1222</v>
      </c>
      <c r="D2037" s="13">
        <v>48000</v>
      </c>
      <c r="I2037" t="s">
        <v>1198</v>
      </c>
    </row>
    <row r="2038" spans="1:12" x14ac:dyDescent="0.25">
      <c r="A2038" t="s">
        <v>488</v>
      </c>
      <c r="B2038" t="s">
        <v>3275</v>
      </c>
      <c r="C2038" t="s">
        <v>1222</v>
      </c>
      <c r="D2038" s="13">
        <v>48000</v>
      </c>
      <c r="F2038" s="10">
        <v>38200</v>
      </c>
      <c r="G2038">
        <v>20</v>
      </c>
      <c r="H2038">
        <v>15</v>
      </c>
      <c r="I2038" t="s">
        <v>1198</v>
      </c>
    </row>
    <row r="2039" spans="1:12" x14ac:dyDescent="0.25">
      <c r="A2039" t="s">
        <v>488</v>
      </c>
      <c r="B2039" t="s">
        <v>3276</v>
      </c>
      <c r="C2039" t="s">
        <v>1238</v>
      </c>
      <c r="D2039" s="13">
        <v>36000</v>
      </c>
      <c r="I2039" t="s">
        <v>1198</v>
      </c>
    </row>
    <row r="2040" spans="1:12" x14ac:dyDescent="0.25">
      <c r="A2040" t="s">
        <v>488</v>
      </c>
      <c r="B2040" t="s">
        <v>3277</v>
      </c>
      <c r="C2040" t="s">
        <v>1225</v>
      </c>
      <c r="D2040" s="13">
        <v>60000</v>
      </c>
      <c r="F2040" s="10">
        <v>44713</v>
      </c>
      <c r="G2040">
        <v>2</v>
      </c>
      <c r="H2040">
        <v>15</v>
      </c>
      <c r="I2040" t="s">
        <v>1199</v>
      </c>
    </row>
    <row r="2041" spans="1:12" x14ac:dyDescent="0.25">
      <c r="A2041" t="s">
        <v>488</v>
      </c>
      <c r="B2041" t="s">
        <v>3278</v>
      </c>
      <c r="C2041" t="s">
        <v>1222</v>
      </c>
      <c r="D2041" s="13">
        <v>60000</v>
      </c>
      <c r="F2041" s="10">
        <v>44713</v>
      </c>
      <c r="G2041">
        <v>2</v>
      </c>
      <c r="H2041">
        <v>15</v>
      </c>
      <c r="I2041" t="s">
        <v>1199</v>
      </c>
    </row>
    <row r="2042" spans="1:12" x14ac:dyDescent="0.25">
      <c r="A2042" t="s">
        <v>488</v>
      </c>
      <c r="B2042" t="s">
        <v>3279</v>
      </c>
      <c r="C2042" t="s">
        <v>1222</v>
      </c>
      <c r="D2042" s="13">
        <v>48000</v>
      </c>
      <c r="F2042" s="10">
        <v>45890</v>
      </c>
      <c r="I2042" t="s">
        <v>1198</v>
      </c>
    </row>
    <row r="2043" spans="1:12" x14ac:dyDescent="0.25">
      <c r="A2043" t="s">
        <v>488</v>
      </c>
      <c r="B2043" t="s">
        <v>3280</v>
      </c>
      <c r="C2043" t="s">
        <v>1225</v>
      </c>
      <c r="D2043" s="13">
        <v>48000</v>
      </c>
      <c r="F2043" s="10">
        <v>45870</v>
      </c>
      <c r="I2043" t="s">
        <v>1198</v>
      </c>
    </row>
    <row r="2044" spans="1:12" x14ac:dyDescent="0.25">
      <c r="A2044" t="s">
        <v>498</v>
      </c>
      <c r="B2044" t="s">
        <v>3281</v>
      </c>
      <c r="C2044" t="s">
        <v>1218</v>
      </c>
      <c r="E2044">
        <v>55</v>
      </c>
      <c r="I2044" t="s">
        <v>1198</v>
      </c>
      <c r="J2044" t="s">
        <v>1219</v>
      </c>
      <c r="K2044" t="s">
        <v>3282</v>
      </c>
      <c r="L2044">
        <v>1046.9000000000001</v>
      </c>
    </row>
    <row r="2045" spans="1:12" x14ac:dyDescent="0.25">
      <c r="A2045" t="s">
        <v>498</v>
      </c>
      <c r="B2045" t="s">
        <v>3283</v>
      </c>
      <c r="C2045" t="s">
        <v>1225</v>
      </c>
      <c r="D2045" s="13">
        <v>60000</v>
      </c>
      <c r="I2045" t="s">
        <v>1198</v>
      </c>
    </row>
    <row r="2046" spans="1:12" x14ac:dyDescent="0.25">
      <c r="A2046" t="s">
        <v>318</v>
      </c>
      <c r="B2046" t="s">
        <v>3284</v>
      </c>
      <c r="C2046" t="s">
        <v>1218</v>
      </c>
      <c r="E2046">
        <v>50</v>
      </c>
      <c r="F2046" s="10">
        <v>34700</v>
      </c>
      <c r="G2046">
        <v>29</v>
      </c>
      <c r="H2046">
        <v>25</v>
      </c>
      <c r="I2046" t="s">
        <v>1198</v>
      </c>
      <c r="J2046" t="s">
        <v>1219</v>
      </c>
      <c r="K2046" t="s">
        <v>1220</v>
      </c>
      <c r="L2046">
        <v>1069.0999999999999</v>
      </c>
    </row>
    <row r="2047" spans="1:12" x14ac:dyDescent="0.25">
      <c r="A2047" t="s">
        <v>318</v>
      </c>
      <c r="B2047" t="s">
        <v>3285</v>
      </c>
      <c r="C2047" t="s">
        <v>1260</v>
      </c>
      <c r="D2047" s="13">
        <v>60000</v>
      </c>
      <c r="I2047" t="s">
        <v>1198</v>
      </c>
    </row>
    <row r="2048" spans="1:12" x14ac:dyDescent="0.25">
      <c r="A2048" t="s">
        <v>318</v>
      </c>
      <c r="B2048" t="s">
        <v>3286</v>
      </c>
      <c r="C2048" t="s">
        <v>1260</v>
      </c>
      <c r="D2048" s="13">
        <v>60000</v>
      </c>
      <c r="I2048" t="s">
        <v>1198</v>
      </c>
    </row>
    <row r="2049" spans="1:12" x14ac:dyDescent="0.25">
      <c r="A2049" t="s">
        <v>979</v>
      </c>
      <c r="B2049" t="s">
        <v>3287</v>
      </c>
      <c r="C2049" t="s">
        <v>1225</v>
      </c>
      <c r="D2049" s="13">
        <v>36000</v>
      </c>
      <c r="I2049" t="s">
        <v>1198</v>
      </c>
    </row>
    <row r="2050" spans="1:12" x14ac:dyDescent="0.25">
      <c r="A2050" t="s">
        <v>979</v>
      </c>
      <c r="B2050" t="s">
        <v>3288</v>
      </c>
      <c r="C2050" t="s">
        <v>1222</v>
      </c>
      <c r="D2050" s="13">
        <v>36000</v>
      </c>
      <c r="I2050" t="s">
        <v>1198</v>
      </c>
    </row>
    <row r="2051" spans="1:12" x14ac:dyDescent="0.25">
      <c r="A2051" t="s">
        <v>979</v>
      </c>
      <c r="B2051" t="s">
        <v>3289</v>
      </c>
      <c r="C2051" t="s">
        <v>1225</v>
      </c>
      <c r="D2051" s="13">
        <v>36000</v>
      </c>
      <c r="I2051" t="s">
        <v>1198</v>
      </c>
    </row>
    <row r="2052" spans="1:12" x14ac:dyDescent="0.25">
      <c r="A2052" t="s">
        <v>979</v>
      </c>
      <c r="B2052" t="s">
        <v>3290</v>
      </c>
      <c r="C2052" t="s">
        <v>1222</v>
      </c>
      <c r="I2052" t="s">
        <v>1198</v>
      </c>
    </row>
    <row r="2053" spans="1:12" x14ac:dyDescent="0.25">
      <c r="A2053" t="s">
        <v>3291</v>
      </c>
      <c r="B2053" t="s">
        <v>3292</v>
      </c>
      <c r="C2053" t="s">
        <v>1218</v>
      </c>
      <c r="E2053">
        <v>115</v>
      </c>
      <c r="I2053" t="s">
        <v>1198</v>
      </c>
      <c r="J2053" t="s">
        <v>1219</v>
      </c>
      <c r="K2053" t="s">
        <v>1234</v>
      </c>
      <c r="L2053">
        <v>2422.5</v>
      </c>
    </row>
    <row r="2054" spans="1:12" x14ac:dyDescent="0.25">
      <c r="A2054" t="s">
        <v>3291</v>
      </c>
      <c r="B2054" t="s">
        <v>3293</v>
      </c>
      <c r="C2054" t="s">
        <v>1225</v>
      </c>
      <c r="D2054" s="13">
        <v>110000</v>
      </c>
      <c r="F2054" s="10">
        <v>25569</v>
      </c>
      <c r="G2054">
        <v>54</v>
      </c>
      <c r="H2054">
        <v>15</v>
      </c>
      <c r="I2054" t="s">
        <v>1198</v>
      </c>
    </row>
    <row r="2055" spans="1:12" x14ac:dyDescent="0.25">
      <c r="A2055" t="s">
        <v>3291</v>
      </c>
      <c r="B2055" t="s">
        <v>3294</v>
      </c>
      <c r="C2055" t="s">
        <v>1222</v>
      </c>
      <c r="D2055" s="13">
        <v>110000</v>
      </c>
      <c r="F2055" s="10">
        <v>39083</v>
      </c>
      <c r="G2055">
        <v>17</v>
      </c>
      <c r="H2055">
        <v>15</v>
      </c>
      <c r="I2055" t="s">
        <v>1198</v>
      </c>
    </row>
    <row r="2056" spans="1:12" x14ac:dyDescent="0.25">
      <c r="A2056" t="s">
        <v>3291</v>
      </c>
      <c r="B2056" t="s">
        <v>3295</v>
      </c>
      <c r="C2056" t="s">
        <v>1225</v>
      </c>
      <c r="D2056" s="13">
        <v>240000</v>
      </c>
      <c r="F2056" s="10">
        <v>41640</v>
      </c>
      <c r="G2056">
        <v>10</v>
      </c>
      <c r="H2056">
        <v>15</v>
      </c>
      <c r="I2056" t="s">
        <v>1199</v>
      </c>
    </row>
    <row r="2057" spans="1:12" x14ac:dyDescent="0.25">
      <c r="A2057" t="s">
        <v>3291</v>
      </c>
      <c r="B2057" t="s">
        <v>3296</v>
      </c>
      <c r="C2057" t="s">
        <v>1222</v>
      </c>
      <c r="D2057" s="13">
        <v>240000</v>
      </c>
      <c r="F2057" s="10">
        <v>41640</v>
      </c>
      <c r="G2057">
        <v>10</v>
      </c>
      <c r="H2057">
        <v>15</v>
      </c>
      <c r="I2057" t="s">
        <v>1199</v>
      </c>
    </row>
    <row r="2058" spans="1:12" x14ac:dyDescent="0.25">
      <c r="A2058" t="s">
        <v>3291</v>
      </c>
      <c r="B2058" t="s">
        <v>3297</v>
      </c>
      <c r="C2058" t="s">
        <v>1225</v>
      </c>
      <c r="D2058" s="13">
        <v>240000</v>
      </c>
      <c r="F2058" s="10">
        <v>41640</v>
      </c>
      <c r="G2058">
        <v>10</v>
      </c>
      <c r="H2058">
        <v>15</v>
      </c>
      <c r="I2058" t="s">
        <v>1199</v>
      </c>
    </row>
    <row r="2059" spans="1:12" x14ac:dyDescent="0.25">
      <c r="A2059" t="s">
        <v>3291</v>
      </c>
      <c r="B2059" t="s">
        <v>3298</v>
      </c>
      <c r="C2059" t="s">
        <v>1222</v>
      </c>
      <c r="D2059" s="13">
        <v>240000</v>
      </c>
      <c r="F2059" s="10">
        <v>41640</v>
      </c>
      <c r="G2059">
        <v>10</v>
      </c>
      <c r="H2059">
        <v>15</v>
      </c>
      <c r="I2059" t="s">
        <v>1199</v>
      </c>
    </row>
    <row r="2060" spans="1:12" x14ac:dyDescent="0.25">
      <c r="A2060" t="s">
        <v>3291</v>
      </c>
      <c r="B2060" t="s">
        <v>3299</v>
      </c>
      <c r="C2060" t="s">
        <v>1222</v>
      </c>
      <c r="D2060" s="13">
        <v>240000</v>
      </c>
      <c r="F2060" s="10">
        <v>41640</v>
      </c>
      <c r="I2060" t="s">
        <v>1198</v>
      </c>
    </row>
    <row r="2061" spans="1:12" x14ac:dyDescent="0.25">
      <c r="A2061" t="s">
        <v>3300</v>
      </c>
      <c r="B2061" t="s">
        <v>3301</v>
      </c>
      <c r="C2061" t="s">
        <v>1218</v>
      </c>
      <c r="E2061">
        <v>150</v>
      </c>
      <c r="F2061" s="10">
        <v>36571</v>
      </c>
      <c r="G2061">
        <v>24</v>
      </c>
      <c r="H2061">
        <v>25</v>
      </c>
      <c r="I2061" t="s">
        <v>1199</v>
      </c>
      <c r="J2061" t="s">
        <v>1219</v>
      </c>
      <c r="K2061" t="s">
        <v>1220</v>
      </c>
      <c r="L2061">
        <v>809.5</v>
      </c>
    </row>
    <row r="2062" spans="1:12" x14ac:dyDescent="0.25">
      <c r="A2062" t="s">
        <v>3300</v>
      </c>
      <c r="B2062" t="s">
        <v>3302</v>
      </c>
      <c r="C2062" t="s">
        <v>1238</v>
      </c>
      <c r="D2062" s="13">
        <v>48000</v>
      </c>
      <c r="F2062" s="10">
        <v>36526</v>
      </c>
      <c r="G2062">
        <v>24</v>
      </c>
      <c r="H2062">
        <v>15</v>
      </c>
      <c r="I2062" t="s">
        <v>1198</v>
      </c>
    </row>
    <row r="2063" spans="1:12" x14ac:dyDescent="0.25">
      <c r="A2063" t="s">
        <v>3300</v>
      </c>
      <c r="B2063" t="s">
        <v>3303</v>
      </c>
      <c r="C2063" t="s">
        <v>1238</v>
      </c>
      <c r="D2063" s="13">
        <v>48000</v>
      </c>
      <c r="F2063" s="10">
        <v>36526</v>
      </c>
      <c r="G2063">
        <v>24</v>
      </c>
      <c r="H2063">
        <v>15</v>
      </c>
      <c r="I2063" t="s">
        <v>1198</v>
      </c>
    </row>
    <row r="2064" spans="1:12" x14ac:dyDescent="0.25">
      <c r="A2064" t="s">
        <v>3300</v>
      </c>
      <c r="B2064" t="s">
        <v>3304</v>
      </c>
      <c r="C2064" t="s">
        <v>1238</v>
      </c>
      <c r="D2064" s="13">
        <v>48000</v>
      </c>
      <c r="F2064" s="10">
        <v>36526</v>
      </c>
      <c r="G2064">
        <v>24</v>
      </c>
      <c r="H2064">
        <v>15</v>
      </c>
      <c r="I2064" t="s">
        <v>1198</v>
      </c>
    </row>
    <row r="2065" spans="1:12" x14ac:dyDescent="0.25">
      <c r="A2065" t="s">
        <v>3300</v>
      </c>
      <c r="B2065" t="s">
        <v>3305</v>
      </c>
      <c r="C2065" t="s">
        <v>1238</v>
      </c>
      <c r="D2065" s="13">
        <v>48000</v>
      </c>
      <c r="F2065" s="10">
        <v>36526</v>
      </c>
      <c r="G2065">
        <v>24</v>
      </c>
      <c r="H2065">
        <v>15</v>
      </c>
      <c r="I2065" t="s">
        <v>1198</v>
      </c>
    </row>
    <row r="2066" spans="1:12" x14ac:dyDescent="0.25">
      <c r="A2066" t="s">
        <v>71</v>
      </c>
      <c r="B2066" t="s">
        <v>3306</v>
      </c>
      <c r="C2066" t="s">
        <v>1296</v>
      </c>
      <c r="D2066" s="13">
        <v>90000</v>
      </c>
      <c r="F2066" s="10">
        <v>42156</v>
      </c>
      <c r="G2066">
        <v>9</v>
      </c>
      <c r="H2066">
        <v>15</v>
      </c>
      <c r="I2066" t="s">
        <v>1199</v>
      </c>
    </row>
    <row r="2067" spans="1:12" x14ac:dyDescent="0.25">
      <c r="A2067" t="s">
        <v>71</v>
      </c>
      <c r="B2067" t="s">
        <v>3307</v>
      </c>
      <c r="C2067" t="s">
        <v>1296</v>
      </c>
      <c r="D2067" s="13">
        <v>90000</v>
      </c>
      <c r="F2067" s="10">
        <v>42156</v>
      </c>
      <c r="G2067">
        <v>9</v>
      </c>
      <c r="H2067">
        <v>15</v>
      </c>
      <c r="I2067" t="s">
        <v>1199</v>
      </c>
    </row>
    <row r="2068" spans="1:12" x14ac:dyDescent="0.25">
      <c r="A2068" t="s">
        <v>71</v>
      </c>
      <c r="B2068" t="s">
        <v>3308</v>
      </c>
      <c r="C2068" t="s">
        <v>1218</v>
      </c>
      <c r="E2068">
        <v>60</v>
      </c>
      <c r="F2068" s="10">
        <v>42005</v>
      </c>
      <c r="G2068">
        <v>9</v>
      </c>
      <c r="H2068">
        <v>25</v>
      </c>
      <c r="I2068" t="s">
        <v>1199</v>
      </c>
      <c r="J2068" t="s">
        <v>1219</v>
      </c>
      <c r="K2068" t="s">
        <v>1220</v>
      </c>
      <c r="L2068">
        <v>445.8</v>
      </c>
    </row>
    <row r="2069" spans="1:12" x14ac:dyDescent="0.25">
      <c r="A2069" t="s">
        <v>636</v>
      </c>
      <c r="B2069" t="s">
        <v>3309</v>
      </c>
      <c r="C2069" t="s">
        <v>1218</v>
      </c>
      <c r="E2069">
        <v>155</v>
      </c>
      <c r="I2069" t="s">
        <v>1198</v>
      </c>
      <c r="J2069" t="s">
        <v>1219</v>
      </c>
      <c r="K2069" t="s">
        <v>1234</v>
      </c>
      <c r="L2069">
        <v>1067</v>
      </c>
    </row>
    <row r="2070" spans="1:12" x14ac:dyDescent="0.25">
      <c r="A2070" t="s">
        <v>636</v>
      </c>
      <c r="B2070" t="s">
        <v>3310</v>
      </c>
      <c r="C2070" t="s">
        <v>1262</v>
      </c>
      <c r="I2070" t="s">
        <v>1198</v>
      </c>
    </row>
    <row r="2071" spans="1:12" x14ac:dyDescent="0.25">
      <c r="A2071" t="s">
        <v>636</v>
      </c>
      <c r="B2071" t="s">
        <v>3311</v>
      </c>
      <c r="C2071" t="s">
        <v>1262</v>
      </c>
      <c r="F2071" s="10">
        <v>40179</v>
      </c>
      <c r="G2071">
        <v>14</v>
      </c>
      <c r="H2071">
        <v>15</v>
      </c>
      <c r="I2071" t="s">
        <v>1199</v>
      </c>
    </row>
    <row r="2072" spans="1:12" x14ac:dyDescent="0.25">
      <c r="A2072" t="s">
        <v>636</v>
      </c>
      <c r="B2072" t="s">
        <v>3312</v>
      </c>
      <c r="C2072" t="s">
        <v>1262</v>
      </c>
      <c r="F2072" s="10">
        <v>39814</v>
      </c>
      <c r="G2072">
        <v>15</v>
      </c>
      <c r="H2072">
        <v>15</v>
      </c>
      <c r="I2072" t="s">
        <v>1198</v>
      </c>
    </row>
    <row r="2073" spans="1:12" x14ac:dyDescent="0.25">
      <c r="A2073" t="s">
        <v>636</v>
      </c>
      <c r="B2073" t="s">
        <v>3313</v>
      </c>
      <c r="C2073" t="s">
        <v>1225</v>
      </c>
      <c r="D2073" s="13">
        <v>240000</v>
      </c>
      <c r="F2073" s="10">
        <v>36526</v>
      </c>
      <c r="G2073">
        <v>24</v>
      </c>
      <c r="H2073">
        <v>15</v>
      </c>
      <c r="I2073" t="s">
        <v>1198</v>
      </c>
    </row>
    <row r="2074" spans="1:12" x14ac:dyDescent="0.25">
      <c r="A2074" t="s">
        <v>636</v>
      </c>
      <c r="B2074" t="s">
        <v>3314</v>
      </c>
      <c r="C2074" t="s">
        <v>1225</v>
      </c>
      <c r="D2074" s="13">
        <v>24000</v>
      </c>
      <c r="F2074" s="10">
        <v>37622</v>
      </c>
      <c r="G2074">
        <v>21</v>
      </c>
      <c r="H2074">
        <v>15</v>
      </c>
      <c r="I2074" t="s">
        <v>1198</v>
      </c>
    </row>
    <row r="2075" spans="1:12" x14ac:dyDescent="0.25">
      <c r="A2075" t="s">
        <v>636</v>
      </c>
      <c r="B2075" t="s">
        <v>3315</v>
      </c>
      <c r="C2075" t="s">
        <v>1222</v>
      </c>
      <c r="F2075" s="10">
        <v>36526</v>
      </c>
      <c r="G2075">
        <v>24</v>
      </c>
      <c r="H2075">
        <v>15</v>
      </c>
      <c r="I2075" t="s">
        <v>1198</v>
      </c>
    </row>
    <row r="2076" spans="1:12" x14ac:dyDescent="0.25">
      <c r="A2076" t="s">
        <v>636</v>
      </c>
      <c r="B2076" t="s">
        <v>3316</v>
      </c>
      <c r="C2076" t="s">
        <v>1222</v>
      </c>
      <c r="D2076" s="13">
        <v>240000</v>
      </c>
      <c r="F2076" s="10">
        <v>36526</v>
      </c>
      <c r="G2076">
        <v>24</v>
      </c>
      <c r="H2076">
        <v>15</v>
      </c>
      <c r="I2076" t="s">
        <v>1198</v>
      </c>
    </row>
    <row r="2077" spans="1:12" x14ac:dyDescent="0.25">
      <c r="A2077" t="s">
        <v>503</v>
      </c>
      <c r="B2077" t="s">
        <v>3317</v>
      </c>
      <c r="C2077" t="s">
        <v>1218</v>
      </c>
      <c r="E2077">
        <v>100</v>
      </c>
      <c r="F2077" s="10">
        <v>32509</v>
      </c>
      <c r="G2077">
        <v>35</v>
      </c>
      <c r="H2077">
        <v>25</v>
      </c>
      <c r="I2077" t="s">
        <v>1198</v>
      </c>
      <c r="J2077" t="s">
        <v>1219</v>
      </c>
      <c r="K2077" t="s">
        <v>1619</v>
      </c>
      <c r="L2077">
        <v>117.1</v>
      </c>
    </row>
    <row r="2078" spans="1:12" x14ac:dyDescent="0.25">
      <c r="A2078" t="s">
        <v>503</v>
      </c>
      <c r="B2078" t="s">
        <v>3318</v>
      </c>
      <c r="C2078" t="s">
        <v>1225</v>
      </c>
      <c r="D2078" s="13">
        <v>180000</v>
      </c>
      <c r="F2078" s="10">
        <v>34335</v>
      </c>
      <c r="G2078">
        <v>30</v>
      </c>
      <c r="H2078">
        <v>15</v>
      </c>
      <c r="I2078" t="s">
        <v>1198</v>
      </c>
    </row>
    <row r="2079" spans="1:12" x14ac:dyDescent="0.25">
      <c r="A2079" t="s">
        <v>503</v>
      </c>
      <c r="B2079" t="s">
        <v>3319</v>
      </c>
      <c r="C2079" t="s">
        <v>1225</v>
      </c>
      <c r="D2079" s="13">
        <v>180000</v>
      </c>
      <c r="F2079" s="10">
        <v>34335</v>
      </c>
      <c r="G2079">
        <v>30</v>
      </c>
      <c r="H2079">
        <v>15</v>
      </c>
      <c r="I2079" t="s">
        <v>1198</v>
      </c>
    </row>
    <row r="2080" spans="1:12" x14ac:dyDescent="0.25">
      <c r="A2080" t="s">
        <v>503</v>
      </c>
      <c r="B2080" t="s">
        <v>3320</v>
      </c>
      <c r="C2080" t="s">
        <v>1225</v>
      </c>
      <c r="D2080" s="13">
        <v>60000</v>
      </c>
      <c r="I2080" t="s">
        <v>1198</v>
      </c>
    </row>
    <row r="2081" spans="1:12" x14ac:dyDescent="0.25">
      <c r="A2081" t="s">
        <v>503</v>
      </c>
      <c r="B2081" t="s">
        <v>3321</v>
      </c>
      <c r="C2081" t="s">
        <v>1222</v>
      </c>
      <c r="D2081" s="13">
        <v>90000</v>
      </c>
      <c r="F2081" s="10">
        <v>39448</v>
      </c>
      <c r="G2081">
        <v>16</v>
      </c>
      <c r="H2081">
        <v>15</v>
      </c>
      <c r="I2081" t="s">
        <v>1198</v>
      </c>
    </row>
    <row r="2082" spans="1:12" x14ac:dyDescent="0.25">
      <c r="A2082" t="s">
        <v>503</v>
      </c>
      <c r="B2082" t="s">
        <v>3322</v>
      </c>
      <c r="C2082" t="s">
        <v>1222</v>
      </c>
      <c r="I2082" t="s">
        <v>1198</v>
      </c>
    </row>
    <row r="2083" spans="1:12" x14ac:dyDescent="0.25">
      <c r="A2083" t="s">
        <v>503</v>
      </c>
      <c r="B2083" t="s">
        <v>3323</v>
      </c>
      <c r="C2083" t="s">
        <v>1222</v>
      </c>
      <c r="F2083" s="10">
        <v>33970</v>
      </c>
      <c r="G2083">
        <v>31</v>
      </c>
      <c r="H2083">
        <v>15</v>
      </c>
      <c r="I2083" t="s">
        <v>1198</v>
      </c>
    </row>
    <row r="2084" spans="1:12" x14ac:dyDescent="0.25">
      <c r="A2084" t="s">
        <v>503</v>
      </c>
      <c r="B2084" t="s">
        <v>3324</v>
      </c>
      <c r="C2084" t="s">
        <v>1222</v>
      </c>
      <c r="D2084" s="13">
        <v>36000</v>
      </c>
      <c r="I2084" t="s">
        <v>1198</v>
      </c>
    </row>
    <row r="2085" spans="1:12" x14ac:dyDescent="0.25">
      <c r="A2085" t="s">
        <v>75</v>
      </c>
      <c r="B2085" t="s">
        <v>3325</v>
      </c>
      <c r="C2085" t="s">
        <v>1218</v>
      </c>
      <c r="E2085">
        <v>80</v>
      </c>
      <c r="F2085" s="10">
        <v>40634</v>
      </c>
      <c r="G2085">
        <v>13</v>
      </c>
      <c r="H2085">
        <v>25</v>
      </c>
      <c r="I2085" t="s">
        <v>1199</v>
      </c>
      <c r="J2085" t="s">
        <v>1219</v>
      </c>
      <c r="K2085" t="s">
        <v>1234</v>
      </c>
      <c r="L2085">
        <v>183.9</v>
      </c>
    </row>
    <row r="2086" spans="1:12" x14ac:dyDescent="0.25">
      <c r="A2086" t="s">
        <v>75</v>
      </c>
      <c r="B2086" t="s">
        <v>3326</v>
      </c>
      <c r="C2086" t="s">
        <v>1225</v>
      </c>
      <c r="D2086" s="13">
        <v>30000</v>
      </c>
      <c r="F2086" s="10">
        <v>38018</v>
      </c>
      <c r="G2086">
        <v>20</v>
      </c>
      <c r="H2086">
        <v>15</v>
      </c>
      <c r="I2086" t="s">
        <v>1198</v>
      </c>
    </row>
    <row r="2087" spans="1:12" x14ac:dyDescent="0.25">
      <c r="A2087" t="s">
        <v>75</v>
      </c>
      <c r="B2087" t="s">
        <v>3327</v>
      </c>
      <c r="C2087" t="s">
        <v>1225</v>
      </c>
      <c r="D2087" s="13">
        <v>60000</v>
      </c>
      <c r="F2087" s="10">
        <v>42095</v>
      </c>
      <c r="G2087">
        <v>9</v>
      </c>
      <c r="H2087">
        <v>15</v>
      </c>
      <c r="I2087" t="s">
        <v>1199</v>
      </c>
    </row>
    <row r="2088" spans="1:12" x14ac:dyDescent="0.25">
      <c r="A2088" t="s">
        <v>75</v>
      </c>
      <c r="B2088" t="s">
        <v>3328</v>
      </c>
      <c r="C2088" t="s">
        <v>1222</v>
      </c>
      <c r="D2088" s="13">
        <v>30000</v>
      </c>
      <c r="F2088" s="10">
        <v>37773</v>
      </c>
      <c r="G2088">
        <v>21</v>
      </c>
      <c r="H2088">
        <v>15</v>
      </c>
      <c r="I2088" t="s">
        <v>1198</v>
      </c>
    </row>
    <row r="2089" spans="1:12" x14ac:dyDescent="0.25">
      <c r="A2089" t="s">
        <v>75</v>
      </c>
      <c r="B2089" t="s">
        <v>3329</v>
      </c>
      <c r="C2089" t="s">
        <v>1222</v>
      </c>
      <c r="D2089" s="13">
        <v>60000</v>
      </c>
      <c r="F2089" s="10">
        <v>42125</v>
      </c>
      <c r="G2089">
        <v>9</v>
      </c>
      <c r="H2089">
        <v>15</v>
      </c>
      <c r="I2089" t="s">
        <v>1199</v>
      </c>
    </row>
    <row r="2090" spans="1:12" x14ac:dyDescent="0.25">
      <c r="A2090" t="s">
        <v>75</v>
      </c>
      <c r="B2090" t="s">
        <v>3330</v>
      </c>
      <c r="C2090" t="s">
        <v>1222</v>
      </c>
      <c r="D2090" s="13">
        <v>60000</v>
      </c>
      <c r="F2090" s="10">
        <v>40603</v>
      </c>
      <c r="G2090">
        <v>13</v>
      </c>
      <c r="H2090">
        <v>15</v>
      </c>
      <c r="I2090" t="s">
        <v>1199</v>
      </c>
    </row>
    <row r="2091" spans="1:12" x14ac:dyDescent="0.25">
      <c r="A2091" t="s">
        <v>75</v>
      </c>
      <c r="B2091" t="s">
        <v>3331</v>
      </c>
      <c r="C2091" t="s">
        <v>1225</v>
      </c>
      <c r="D2091" s="13">
        <v>60000</v>
      </c>
      <c r="F2091" s="10">
        <v>40544</v>
      </c>
      <c r="G2091">
        <v>13</v>
      </c>
      <c r="H2091">
        <v>15</v>
      </c>
      <c r="I2091" t="s">
        <v>1199</v>
      </c>
    </row>
    <row r="2092" spans="1:12" x14ac:dyDescent="0.25">
      <c r="A2092" t="s">
        <v>900</v>
      </c>
      <c r="B2092" t="s">
        <v>3332</v>
      </c>
      <c r="C2092" t="s">
        <v>1218</v>
      </c>
      <c r="E2092">
        <v>400</v>
      </c>
      <c r="F2092" s="10">
        <v>32782</v>
      </c>
      <c r="G2092">
        <v>35</v>
      </c>
      <c r="H2092">
        <v>25</v>
      </c>
      <c r="I2092" t="s">
        <v>1198</v>
      </c>
      <c r="J2092" t="s">
        <v>1219</v>
      </c>
      <c r="K2092" t="s">
        <v>1234</v>
      </c>
      <c r="L2092">
        <v>4898</v>
      </c>
    </row>
    <row r="2093" spans="1:12" x14ac:dyDescent="0.25">
      <c r="A2093" t="s">
        <v>900</v>
      </c>
      <c r="B2093" t="s">
        <v>3333</v>
      </c>
      <c r="C2093" t="s">
        <v>1225</v>
      </c>
      <c r="F2093" s="10">
        <v>32813</v>
      </c>
      <c r="G2093">
        <v>34</v>
      </c>
      <c r="H2093">
        <v>15</v>
      </c>
      <c r="I2093" t="s">
        <v>1198</v>
      </c>
    </row>
    <row r="2094" spans="1:12" x14ac:dyDescent="0.25">
      <c r="A2094" t="s">
        <v>900</v>
      </c>
      <c r="B2094" t="s">
        <v>3334</v>
      </c>
      <c r="C2094" t="s">
        <v>1222</v>
      </c>
      <c r="I2094" t="s">
        <v>1198</v>
      </c>
    </row>
    <row r="2095" spans="1:12" x14ac:dyDescent="0.25">
      <c r="A2095" t="s">
        <v>900</v>
      </c>
      <c r="B2095" t="s">
        <v>3335</v>
      </c>
      <c r="C2095" t="s">
        <v>1222</v>
      </c>
      <c r="F2095" s="10">
        <v>40634</v>
      </c>
      <c r="G2095">
        <v>13</v>
      </c>
      <c r="H2095">
        <v>15</v>
      </c>
      <c r="I2095" t="s">
        <v>1199</v>
      </c>
    </row>
    <row r="2096" spans="1:12" x14ac:dyDescent="0.25">
      <c r="A2096" t="s">
        <v>900</v>
      </c>
      <c r="B2096" t="s">
        <v>3336</v>
      </c>
      <c r="C2096" t="s">
        <v>1222</v>
      </c>
      <c r="D2096" s="13">
        <v>108000</v>
      </c>
      <c r="F2096" s="10">
        <v>40664</v>
      </c>
      <c r="G2096">
        <v>13</v>
      </c>
      <c r="H2096">
        <v>15</v>
      </c>
      <c r="I2096" t="s">
        <v>1199</v>
      </c>
    </row>
    <row r="2097" spans="1:12" x14ac:dyDescent="0.25">
      <c r="A2097" t="s">
        <v>900</v>
      </c>
      <c r="B2097" t="s">
        <v>3337</v>
      </c>
      <c r="C2097" t="s">
        <v>1222</v>
      </c>
      <c r="F2097" s="10">
        <v>32813</v>
      </c>
      <c r="G2097">
        <v>34</v>
      </c>
      <c r="H2097">
        <v>15</v>
      </c>
      <c r="I2097" t="s">
        <v>1198</v>
      </c>
    </row>
    <row r="2098" spans="1:12" x14ac:dyDescent="0.25">
      <c r="A2098" t="s">
        <v>900</v>
      </c>
      <c r="B2098" t="s">
        <v>3338</v>
      </c>
      <c r="C2098" t="s">
        <v>1225</v>
      </c>
      <c r="D2098" s="13">
        <v>90000</v>
      </c>
      <c r="F2098" s="10">
        <v>40725</v>
      </c>
      <c r="G2098">
        <v>13</v>
      </c>
      <c r="H2098">
        <v>15</v>
      </c>
      <c r="I2098" t="s">
        <v>1199</v>
      </c>
    </row>
    <row r="2099" spans="1:12" x14ac:dyDescent="0.25">
      <c r="A2099" t="s">
        <v>900</v>
      </c>
      <c r="B2099" t="s">
        <v>3339</v>
      </c>
      <c r="C2099" t="s">
        <v>1222</v>
      </c>
      <c r="D2099" s="13">
        <v>90000</v>
      </c>
      <c r="F2099" s="10">
        <v>40695</v>
      </c>
      <c r="G2099">
        <v>13</v>
      </c>
      <c r="H2099">
        <v>15</v>
      </c>
      <c r="I2099" t="s">
        <v>1199</v>
      </c>
    </row>
    <row r="2100" spans="1:12" x14ac:dyDescent="0.25">
      <c r="A2100" t="s">
        <v>900</v>
      </c>
      <c r="B2100" t="s">
        <v>3340</v>
      </c>
      <c r="C2100" t="s">
        <v>1222</v>
      </c>
      <c r="F2100" s="10">
        <v>40756</v>
      </c>
      <c r="G2100">
        <v>13</v>
      </c>
      <c r="H2100">
        <v>15</v>
      </c>
      <c r="I2100" t="s">
        <v>1199</v>
      </c>
    </row>
    <row r="2101" spans="1:12" x14ac:dyDescent="0.25">
      <c r="A2101" t="s">
        <v>900</v>
      </c>
      <c r="B2101" t="s">
        <v>3341</v>
      </c>
      <c r="C2101" t="s">
        <v>1225</v>
      </c>
      <c r="D2101" s="13">
        <v>36000</v>
      </c>
      <c r="F2101" s="10">
        <v>32782</v>
      </c>
      <c r="G2101">
        <v>35</v>
      </c>
      <c r="H2101">
        <v>15</v>
      </c>
      <c r="I2101" t="s">
        <v>1198</v>
      </c>
    </row>
    <row r="2102" spans="1:12" x14ac:dyDescent="0.25">
      <c r="A2102" t="s">
        <v>900</v>
      </c>
      <c r="B2102" t="s">
        <v>3342</v>
      </c>
      <c r="C2102" t="s">
        <v>1222</v>
      </c>
      <c r="D2102" s="13">
        <v>36000</v>
      </c>
      <c r="I2102" t="s">
        <v>1198</v>
      </c>
    </row>
    <row r="2103" spans="1:12" x14ac:dyDescent="0.25">
      <c r="A2103" t="s">
        <v>900</v>
      </c>
      <c r="B2103" t="s">
        <v>3343</v>
      </c>
      <c r="C2103" t="s">
        <v>1238</v>
      </c>
      <c r="D2103" s="13">
        <v>12000</v>
      </c>
      <c r="F2103" s="10">
        <v>43466</v>
      </c>
      <c r="G2103">
        <v>5</v>
      </c>
      <c r="H2103">
        <v>15</v>
      </c>
      <c r="I2103" t="s">
        <v>1199</v>
      </c>
    </row>
    <row r="2104" spans="1:12" x14ac:dyDescent="0.25">
      <c r="A2104" t="s">
        <v>900</v>
      </c>
      <c r="B2104" t="s">
        <v>3344</v>
      </c>
      <c r="C2104" t="s">
        <v>1225</v>
      </c>
      <c r="I2104" t="s">
        <v>1198</v>
      </c>
    </row>
    <row r="2105" spans="1:12" x14ac:dyDescent="0.25">
      <c r="A2105" t="s">
        <v>900</v>
      </c>
      <c r="B2105" t="s">
        <v>3345</v>
      </c>
      <c r="C2105" t="s">
        <v>1222</v>
      </c>
      <c r="I2105" t="s">
        <v>1198</v>
      </c>
    </row>
    <row r="2106" spans="1:12" x14ac:dyDescent="0.25">
      <c r="A2106" t="s">
        <v>900</v>
      </c>
      <c r="B2106" t="s">
        <v>3346</v>
      </c>
      <c r="C2106" t="s">
        <v>2026</v>
      </c>
      <c r="I2106" t="s">
        <v>1198</v>
      </c>
    </row>
    <row r="2107" spans="1:12" x14ac:dyDescent="0.25">
      <c r="A2107" t="s">
        <v>900</v>
      </c>
      <c r="B2107" t="s">
        <v>3347</v>
      </c>
      <c r="C2107" t="s">
        <v>1222</v>
      </c>
      <c r="D2107" s="13">
        <v>108000</v>
      </c>
      <c r="F2107" s="10">
        <v>40664</v>
      </c>
      <c r="I2107" t="s">
        <v>1198</v>
      </c>
    </row>
    <row r="2108" spans="1:12" x14ac:dyDescent="0.25">
      <c r="A2108" t="s">
        <v>900</v>
      </c>
      <c r="B2108" t="s">
        <v>3348</v>
      </c>
      <c r="C2108" t="s">
        <v>1222</v>
      </c>
      <c r="F2108" s="10">
        <v>40756</v>
      </c>
      <c r="I2108" t="s">
        <v>1198</v>
      </c>
    </row>
    <row r="2109" spans="1:12" x14ac:dyDescent="0.25">
      <c r="A2109" t="s">
        <v>900</v>
      </c>
      <c r="B2109" t="s">
        <v>3349</v>
      </c>
      <c r="C2109" t="s">
        <v>1238</v>
      </c>
      <c r="D2109" s="13">
        <v>12000</v>
      </c>
      <c r="F2109" s="10">
        <v>43466</v>
      </c>
      <c r="I2109" t="s">
        <v>1198</v>
      </c>
    </row>
    <row r="2110" spans="1:12" x14ac:dyDescent="0.25">
      <c r="A2110" t="s">
        <v>508</v>
      </c>
      <c r="B2110" t="s">
        <v>3350</v>
      </c>
      <c r="C2110" t="s">
        <v>1218</v>
      </c>
      <c r="E2110">
        <v>55</v>
      </c>
      <c r="I2110" t="s">
        <v>1198</v>
      </c>
      <c r="J2110" t="s">
        <v>1219</v>
      </c>
      <c r="K2110" t="s">
        <v>3282</v>
      </c>
      <c r="L2110">
        <v>1175.3</v>
      </c>
    </row>
    <row r="2111" spans="1:12" x14ac:dyDescent="0.25">
      <c r="A2111" t="s">
        <v>508</v>
      </c>
      <c r="B2111" t="s">
        <v>3351</v>
      </c>
      <c r="C2111" t="s">
        <v>1238</v>
      </c>
      <c r="D2111" s="13">
        <v>60000</v>
      </c>
      <c r="F2111" s="10">
        <v>41548</v>
      </c>
      <c r="G2111">
        <v>11</v>
      </c>
      <c r="H2111">
        <v>15</v>
      </c>
      <c r="I2111" t="s">
        <v>1199</v>
      </c>
    </row>
    <row r="2112" spans="1:12" x14ac:dyDescent="0.25">
      <c r="A2112" t="s">
        <v>508</v>
      </c>
      <c r="B2112" t="s">
        <v>3352</v>
      </c>
      <c r="C2112" t="s">
        <v>1238</v>
      </c>
      <c r="D2112" s="13">
        <v>60000</v>
      </c>
      <c r="F2112" s="10">
        <v>37561</v>
      </c>
      <c r="G2112">
        <v>21</v>
      </c>
      <c r="H2112">
        <v>15</v>
      </c>
      <c r="I2112" t="s">
        <v>1198</v>
      </c>
    </row>
    <row r="2113" spans="1:12" x14ac:dyDescent="0.25">
      <c r="A2113" t="s">
        <v>323</v>
      </c>
      <c r="B2113" t="s">
        <v>3353</v>
      </c>
      <c r="C2113" t="s">
        <v>1218</v>
      </c>
      <c r="E2113">
        <v>350</v>
      </c>
      <c r="F2113" s="10">
        <v>38772</v>
      </c>
      <c r="G2113">
        <v>18</v>
      </c>
      <c r="H2113">
        <v>25</v>
      </c>
      <c r="I2113" t="s">
        <v>1199</v>
      </c>
      <c r="J2113" t="s">
        <v>1219</v>
      </c>
      <c r="K2113" t="s">
        <v>1234</v>
      </c>
      <c r="L2113">
        <v>521</v>
      </c>
    </row>
    <row r="2114" spans="1:12" x14ac:dyDescent="0.25">
      <c r="A2114" t="s">
        <v>323</v>
      </c>
      <c r="B2114" t="s">
        <v>3354</v>
      </c>
      <c r="C2114" t="s">
        <v>1222</v>
      </c>
      <c r="D2114" s="13">
        <v>120000</v>
      </c>
      <c r="I2114" t="s">
        <v>1198</v>
      </c>
    </row>
    <row r="2115" spans="1:12" x14ac:dyDescent="0.25">
      <c r="A2115" t="s">
        <v>323</v>
      </c>
      <c r="B2115" t="s">
        <v>3355</v>
      </c>
      <c r="C2115" t="s">
        <v>1225</v>
      </c>
      <c r="D2115" s="13">
        <v>120000</v>
      </c>
      <c r="F2115" s="10">
        <v>38687</v>
      </c>
      <c r="G2115">
        <v>18</v>
      </c>
      <c r="H2115">
        <v>15</v>
      </c>
      <c r="I2115" t="s">
        <v>1198</v>
      </c>
    </row>
    <row r="2116" spans="1:12" x14ac:dyDescent="0.25">
      <c r="A2116" t="s">
        <v>323</v>
      </c>
      <c r="B2116" t="s">
        <v>3356</v>
      </c>
      <c r="C2116" t="s">
        <v>1222</v>
      </c>
      <c r="F2116" s="10">
        <v>35796</v>
      </c>
      <c r="G2116">
        <v>26</v>
      </c>
      <c r="H2116">
        <v>15</v>
      </c>
      <c r="I2116" t="s">
        <v>1198</v>
      </c>
    </row>
    <row r="2117" spans="1:12" x14ac:dyDescent="0.25">
      <c r="A2117" t="s">
        <v>323</v>
      </c>
      <c r="B2117" t="s">
        <v>3357</v>
      </c>
      <c r="C2117" t="s">
        <v>1222</v>
      </c>
      <c r="D2117" s="13">
        <v>202000</v>
      </c>
      <c r="I2117" t="s">
        <v>1198</v>
      </c>
    </row>
    <row r="2118" spans="1:12" x14ac:dyDescent="0.25">
      <c r="A2118" t="s">
        <v>323</v>
      </c>
      <c r="B2118" t="s">
        <v>3358</v>
      </c>
      <c r="C2118" t="s">
        <v>1225</v>
      </c>
      <c r="D2118" s="13">
        <v>202000</v>
      </c>
      <c r="F2118" s="10">
        <v>41426</v>
      </c>
      <c r="G2118">
        <v>11</v>
      </c>
      <c r="H2118">
        <v>15</v>
      </c>
      <c r="I2118" t="s">
        <v>1199</v>
      </c>
    </row>
    <row r="2119" spans="1:12" x14ac:dyDescent="0.25">
      <c r="A2119" t="s">
        <v>323</v>
      </c>
      <c r="B2119" t="s">
        <v>3359</v>
      </c>
      <c r="C2119" t="s">
        <v>1222</v>
      </c>
      <c r="D2119" s="13">
        <v>60000</v>
      </c>
      <c r="I2119" t="s">
        <v>1198</v>
      </c>
    </row>
    <row r="2120" spans="1:12" x14ac:dyDescent="0.25">
      <c r="A2120" t="s">
        <v>323</v>
      </c>
      <c r="B2120" t="s">
        <v>3360</v>
      </c>
      <c r="C2120" t="s">
        <v>1225</v>
      </c>
      <c r="D2120" s="13">
        <v>60000</v>
      </c>
      <c r="I2120" t="s">
        <v>1198</v>
      </c>
    </row>
    <row r="2121" spans="1:12" x14ac:dyDescent="0.25">
      <c r="A2121" t="s">
        <v>323</v>
      </c>
      <c r="B2121" t="s">
        <v>3361</v>
      </c>
      <c r="C2121" t="s">
        <v>1222</v>
      </c>
      <c r="D2121" s="13">
        <v>36000</v>
      </c>
      <c r="I2121" t="s">
        <v>1198</v>
      </c>
    </row>
    <row r="2122" spans="1:12" x14ac:dyDescent="0.25">
      <c r="A2122" t="s">
        <v>323</v>
      </c>
      <c r="B2122" t="s">
        <v>3362</v>
      </c>
      <c r="C2122" t="s">
        <v>1225</v>
      </c>
      <c r="D2122" s="13">
        <v>36000</v>
      </c>
      <c r="I2122" t="s">
        <v>1198</v>
      </c>
    </row>
    <row r="2123" spans="1:12" x14ac:dyDescent="0.25">
      <c r="A2123" t="s">
        <v>323</v>
      </c>
      <c r="B2123" t="s">
        <v>3363</v>
      </c>
      <c r="C2123" t="s">
        <v>1222</v>
      </c>
      <c r="D2123" s="13">
        <v>24000</v>
      </c>
      <c r="I2123" t="s">
        <v>1198</v>
      </c>
    </row>
    <row r="2124" spans="1:12" x14ac:dyDescent="0.25">
      <c r="A2124" t="s">
        <v>323</v>
      </c>
      <c r="B2124" t="s">
        <v>3364</v>
      </c>
      <c r="C2124" t="s">
        <v>1225</v>
      </c>
      <c r="D2124" s="13">
        <v>24000</v>
      </c>
      <c r="I2124" t="s">
        <v>1198</v>
      </c>
    </row>
    <row r="2125" spans="1:12" x14ac:dyDescent="0.25">
      <c r="A2125" t="s">
        <v>323</v>
      </c>
      <c r="B2125" t="s">
        <v>3365</v>
      </c>
      <c r="C2125" t="s">
        <v>1222</v>
      </c>
      <c r="D2125" s="13">
        <v>60000</v>
      </c>
      <c r="F2125" s="10">
        <v>42522</v>
      </c>
      <c r="G2125">
        <v>8</v>
      </c>
      <c r="H2125">
        <v>15</v>
      </c>
      <c r="I2125" t="s">
        <v>1199</v>
      </c>
    </row>
    <row r="2126" spans="1:12" x14ac:dyDescent="0.25">
      <c r="A2126" t="s">
        <v>323</v>
      </c>
      <c r="B2126" t="s">
        <v>3366</v>
      </c>
      <c r="C2126" t="s">
        <v>1225</v>
      </c>
      <c r="D2126" s="13">
        <v>60000</v>
      </c>
      <c r="F2126" s="10">
        <v>42522</v>
      </c>
      <c r="G2126">
        <v>8</v>
      </c>
      <c r="H2126">
        <v>15</v>
      </c>
      <c r="I2126" t="s">
        <v>1199</v>
      </c>
    </row>
    <row r="2127" spans="1:12" x14ac:dyDescent="0.25">
      <c r="A2127" t="s">
        <v>323</v>
      </c>
      <c r="B2127" t="s">
        <v>3367</v>
      </c>
      <c r="C2127" t="s">
        <v>1238</v>
      </c>
      <c r="D2127" s="13">
        <v>24000</v>
      </c>
      <c r="F2127" s="10">
        <v>37653</v>
      </c>
      <c r="G2127">
        <v>21</v>
      </c>
      <c r="H2127">
        <v>15</v>
      </c>
      <c r="I2127" t="s">
        <v>1198</v>
      </c>
    </row>
    <row r="2128" spans="1:12" x14ac:dyDescent="0.25">
      <c r="A2128" t="s">
        <v>323</v>
      </c>
      <c r="B2128" t="s">
        <v>3368</v>
      </c>
      <c r="C2128" t="s">
        <v>1225</v>
      </c>
      <c r="D2128" s="13">
        <v>240000</v>
      </c>
      <c r="F2128" s="10">
        <v>43217</v>
      </c>
      <c r="G2128">
        <v>6</v>
      </c>
      <c r="H2128">
        <v>15</v>
      </c>
      <c r="I2128" t="s">
        <v>1199</v>
      </c>
    </row>
    <row r="2129" spans="1:9" x14ac:dyDescent="0.25">
      <c r="A2129" t="s">
        <v>323</v>
      </c>
      <c r="B2129" t="s">
        <v>3369</v>
      </c>
      <c r="C2129" t="s">
        <v>1222</v>
      </c>
      <c r="D2129" s="13">
        <v>240000</v>
      </c>
      <c r="F2129" s="10">
        <v>43217</v>
      </c>
      <c r="G2129">
        <v>6</v>
      </c>
      <c r="H2129">
        <v>15</v>
      </c>
      <c r="I2129" t="s">
        <v>1199</v>
      </c>
    </row>
    <row r="2130" spans="1:9" x14ac:dyDescent="0.25">
      <c r="A2130" t="s">
        <v>323</v>
      </c>
      <c r="B2130" t="s">
        <v>3370</v>
      </c>
      <c r="C2130" t="s">
        <v>1238</v>
      </c>
      <c r="I2130" t="s">
        <v>1198</v>
      </c>
    </row>
    <row r="2131" spans="1:9" x14ac:dyDescent="0.25">
      <c r="A2131" t="s">
        <v>323</v>
      </c>
      <c r="B2131" t="s">
        <v>3371</v>
      </c>
      <c r="C2131" t="s">
        <v>1238</v>
      </c>
      <c r="I2131" t="s">
        <v>1198</v>
      </c>
    </row>
    <row r="2132" spans="1:9" x14ac:dyDescent="0.25">
      <c r="A2132" t="s">
        <v>323</v>
      </c>
      <c r="B2132" t="s">
        <v>3372</v>
      </c>
      <c r="C2132" t="s">
        <v>1238</v>
      </c>
      <c r="D2132" s="13">
        <v>72000</v>
      </c>
      <c r="F2132" s="10">
        <v>42005</v>
      </c>
      <c r="I2132" t="s">
        <v>1198</v>
      </c>
    </row>
    <row r="2133" spans="1:9" x14ac:dyDescent="0.25">
      <c r="A2133" t="s">
        <v>323</v>
      </c>
      <c r="B2133" t="s">
        <v>3373</v>
      </c>
      <c r="C2133" t="s">
        <v>1238</v>
      </c>
      <c r="I2133" t="s">
        <v>1198</v>
      </c>
    </row>
    <row r="2134" spans="1:9" x14ac:dyDescent="0.25">
      <c r="A2134" t="s">
        <v>323</v>
      </c>
      <c r="B2134" t="s">
        <v>3374</v>
      </c>
      <c r="C2134" t="s">
        <v>1238</v>
      </c>
      <c r="I2134" t="s">
        <v>1198</v>
      </c>
    </row>
    <row r="2135" spans="1:9" x14ac:dyDescent="0.25">
      <c r="A2135" t="s">
        <v>323</v>
      </c>
      <c r="B2135" t="s">
        <v>3375</v>
      </c>
      <c r="C2135" t="s">
        <v>1225</v>
      </c>
      <c r="I2135" t="s">
        <v>1198</v>
      </c>
    </row>
    <row r="2136" spans="1:9" x14ac:dyDescent="0.25">
      <c r="A2136" t="s">
        <v>323</v>
      </c>
      <c r="B2136" t="s">
        <v>3376</v>
      </c>
      <c r="C2136" t="s">
        <v>1222</v>
      </c>
      <c r="I2136" t="s">
        <v>1198</v>
      </c>
    </row>
    <row r="2137" spans="1:9" x14ac:dyDescent="0.25">
      <c r="A2137" t="s">
        <v>323</v>
      </c>
      <c r="B2137" t="s">
        <v>3377</v>
      </c>
      <c r="C2137" t="s">
        <v>1238</v>
      </c>
      <c r="D2137" s="13">
        <v>36000</v>
      </c>
      <c r="F2137" s="10">
        <v>45385</v>
      </c>
      <c r="G2137">
        <v>0</v>
      </c>
      <c r="H2137">
        <v>15</v>
      </c>
      <c r="I2137" t="s">
        <v>1199</v>
      </c>
    </row>
    <row r="2138" spans="1:9" x14ac:dyDescent="0.25">
      <c r="A2138" t="s">
        <v>323</v>
      </c>
      <c r="B2138" t="s">
        <v>3378</v>
      </c>
      <c r="C2138" t="s">
        <v>1225</v>
      </c>
      <c r="D2138" s="13">
        <v>240000</v>
      </c>
      <c r="F2138" s="10">
        <v>43217</v>
      </c>
      <c r="I2138" t="s">
        <v>1198</v>
      </c>
    </row>
    <row r="2139" spans="1:9" x14ac:dyDescent="0.25">
      <c r="A2139" t="s">
        <v>323</v>
      </c>
      <c r="B2139" t="s">
        <v>3379</v>
      </c>
      <c r="C2139" t="s">
        <v>1222</v>
      </c>
      <c r="D2139" s="13">
        <v>36000</v>
      </c>
      <c r="F2139" s="10">
        <v>45707</v>
      </c>
      <c r="I2139" t="s">
        <v>1198</v>
      </c>
    </row>
    <row r="2140" spans="1:9" x14ac:dyDescent="0.25">
      <c r="A2140" t="s">
        <v>323</v>
      </c>
      <c r="B2140" t="s">
        <v>3380</v>
      </c>
      <c r="C2140" t="s">
        <v>1225</v>
      </c>
      <c r="D2140" s="13">
        <v>36000</v>
      </c>
      <c r="F2140" s="10">
        <v>45707</v>
      </c>
      <c r="I2140" t="s">
        <v>1198</v>
      </c>
    </row>
    <row r="2141" spans="1:9" x14ac:dyDescent="0.25">
      <c r="A2141" t="s">
        <v>323</v>
      </c>
      <c r="B2141" t="s">
        <v>3381</v>
      </c>
      <c r="C2141" t="s">
        <v>1225</v>
      </c>
      <c r="I2141" t="s">
        <v>1198</v>
      </c>
    </row>
    <row r="2142" spans="1:9" x14ac:dyDescent="0.25">
      <c r="A2142" t="s">
        <v>323</v>
      </c>
      <c r="B2142" t="s">
        <v>3382</v>
      </c>
      <c r="C2142" t="s">
        <v>1222</v>
      </c>
      <c r="I2142" t="s">
        <v>1198</v>
      </c>
    </row>
    <row r="2143" spans="1:9" x14ac:dyDescent="0.25">
      <c r="A2143" t="s">
        <v>323</v>
      </c>
      <c r="B2143" t="s">
        <v>3383</v>
      </c>
      <c r="C2143" t="s">
        <v>1238</v>
      </c>
      <c r="F2143" s="10">
        <v>44927</v>
      </c>
      <c r="I2143" t="s">
        <v>1198</v>
      </c>
    </row>
    <row r="2144" spans="1:9" x14ac:dyDescent="0.25">
      <c r="A2144" t="s">
        <v>937</v>
      </c>
      <c r="B2144" t="s">
        <v>3384</v>
      </c>
      <c r="C2144" t="s">
        <v>1225</v>
      </c>
      <c r="I2144" t="s">
        <v>1198</v>
      </c>
    </row>
    <row r="2145" spans="1:12" x14ac:dyDescent="0.25">
      <c r="A2145" t="s">
        <v>937</v>
      </c>
      <c r="B2145" t="s">
        <v>3385</v>
      </c>
      <c r="C2145" t="s">
        <v>1222</v>
      </c>
      <c r="D2145" s="13">
        <v>30000</v>
      </c>
      <c r="I2145" t="s">
        <v>1198</v>
      </c>
    </row>
    <row r="2146" spans="1:12" x14ac:dyDescent="0.25">
      <c r="A2146" t="s">
        <v>937</v>
      </c>
      <c r="B2146" t="s">
        <v>3386</v>
      </c>
      <c r="C2146" t="s">
        <v>1222</v>
      </c>
      <c r="D2146" s="13">
        <v>60000</v>
      </c>
      <c r="F2146" s="10">
        <v>39845</v>
      </c>
      <c r="G2146">
        <v>15</v>
      </c>
      <c r="H2146">
        <v>15</v>
      </c>
      <c r="I2146" t="s">
        <v>1198</v>
      </c>
    </row>
    <row r="2147" spans="1:12" x14ac:dyDescent="0.25">
      <c r="A2147" t="s">
        <v>937</v>
      </c>
      <c r="B2147" t="s">
        <v>3387</v>
      </c>
      <c r="C2147" t="s">
        <v>1225</v>
      </c>
      <c r="F2147" s="10">
        <v>39873</v>
      </c>
      <c r="G2147">
        <v>15</v>
      </c>
      <c r="H2147">
        <v>15</v>
      </c>
      <c r="I2147" t="s">
        <v>1198</v>
      </c>
    </row>
    <row r="2148" spans="1:12" x14ac:dyDescent="0.25">
      <c r="A2148" t="s">
        <v>937</v>
      </c>
      <c r="B2148" t="s">
        <v>3388</v>
      </c>
      <c r="C2148" t="s">
        <v>1225</v>
      </c>
      <c r="I2148" t="s">
        <v>1198</v>
      </c>
    </row>
    <row r="2149" spans="1:12" x14ac:dyDescent="0.25">
      <c r="A2149" t="s">
        <v>937</v>
      </c>
      <c r="B2149" t="s">
        <v>3389</v>
      </c>
      <c r="C2149" t="s">
        <v>1222</v>
      </c>
      <c r="D2149" s="13">
        <v>60000</v>
      </c>
      <c r="I2149" t="s">
        <v>1198</v>
      </c>
    </row>
    <row r="2150" spans="1:12" x14ac:dyDescent="0.25">
      <c r="A2150" t="s">
        <v>937</v>
      </c>
      <c r="B2150" t="s">
        <v>3390</v>
      </c>
      <c r="C2150" t="s">
        <v>1218</v>
      </c>
      <c r="E2150">
        <v>85</v>
      </c>
      <c r="F2150" s="10">
        <v>41627</v>
      </c>
      <c r="G2150">
        <v>10</v>
      </c>
      <c r="H2150">
        <v>25</v>
      </c>
      <c r="I2150" t="s">
        <v>1199</v>
      </c>
      <c r="J2150" t="s">
        <v>1219</v>
      </c>
      <c r="K2150" t="s">
        <v>3391</v>
      </c>
      <c r="L2150">
        <v>99.5</v>
      </c>
    </row>
    <row r="2151" spans="1:12" x14ac:dyDescent="0.25">
      <c r="A2151" t="s">
        <v>937</v>
      </c>
      <c r="B2151" t="s">
        <v>3392</v>
      </c>
      <c r="C2151" t="s">
        <v>1225</v>
      </c>
      <c r="D2151" s="13">
        <v>36000</v>
      </c>
      <c r="F2151" s="10">
        <v>44981</v>
      </c>
      <c r="G2151">
        <v>1</v>
      </c>
      <c r="H2151">
        <v>15</v>
      </c>
      <c r="I2151" t="s">
        <v>1199</v>
      </c>
    </row>
    <row r="2152" spans="1:12" x14ac:dyDescent="0.25">
      <c r="A2152" t="s">
        <v>937</v>
      </c>
      <c r="B2152" t="s">
        <v>3393</v>
      </c>
      <c r="C2152" t="s">
        <v>1222</v>
      </c>
      <c r="D2152" s="13">
        <v>36000</v>
      </c>
      <c r="F2152" s="10">
        <v>43193</v>
      </c>
      <c r="G2152">
        <v>6</v>
      </c>
      <c r="H2152">
        <v>15</v>
      </c>
      <c r="I2152" t="s">
        <v>1199</v>
      </c>
    </row>
    <row r="2153" spans="1:12" x14ac:dyDescent="0.25">
      <c r="A2153" t="s">
        <v>937</v>
      </c>
      <c r="B2153" t="s">
        <v>3394</v>
      </c>
      <c r="C2153" t="s">
        <v>1225</v>
      </c>
      <c r="F2153" s="10">
        <v>39873</v>
      </c>
      <c r="I2153" t="s">
        <v>1198</v>
      </c>
    </row>
    <row r="2154" spans="1:12" x14ac:dyDescent="0.25">
      <c r="A2154" t="s">
        <v>937</v>
      </c>
      <c r="B2154" t="s">
        <v>3395</v>
      </c>
      <c r="C2154" t="s">
        <v>1225</v>
      </c>
      <c r="D2154" s="13">
        <v>36000</v>
      </c>
      <c r="F2154" s="10">
        <v>44981</v>
      </c>
      <c r="I2154" t="s">
        <v>1198</v>
      </c>
    </row>
    <row r="2155" spans="1:12" x14ac:dyDescent="0.25">
      <c r="A2155" t="s">
        <v>937</v>
      </c>
      <c r="B2155" t="s">
        <v>3396</v>
      </c>
      <c r="C2155" t="s">
        <v>1222</v>
      </c>
      <c r="I2155" t="s">
        <v>1198</v>
      </c>
    </row>
    <row r="2156" spans="1:12" x14ac:dyDescent="0.25">
      <c r="A2156" t="s">
        <v>641</v>
      </c>
      <c r="B2156" t="s">
        <v>3397</v>
      </c>
      <c r="C2156" t="s">
        <v>1225</v>
      </c>
      <c r="D2156" s="13">
        <v>180000</v>
      </c>
      <c r="F2156" s="10">
        <v>37622</v>
      </c>
      <c r="G2156">
        <v>21</v>
      </c>
      <c r="H2156">
        <v>15</v>
      </c>
      <c r="I2156" t="s">
        <v>1198</v>
      </c>
    </row>
    <row r="2157" spans="1:12" x14ac:dyDescent="0.25">
      <c r="A2157" t="s">
        <v>641</v>
      </c>
      <c r="B2157" t="s">
        <v>3398</v>
      </c>
      <c r="C2157" t="s">
        <v>1222</v>
      </c>
      <c r="D2157" s="13">
        <v>180000</v>
      </c>
      <c r="F2157" s="10">
        <v>35796</v>
      </c>
      <c r="G2157">
        <v>26</v>
      </c>
      <c r="H2157">
        <v>15</v>
      </c>
      <c r="I2157" t="s">
        <v>1198</v>
      </c>
    </row>
    <row r="2158" spans="1:12" x14ac:dyDescent="0.25">
      <c r="A2158" t="s">
        <v>641</v>
      </c>
      <c r="B2158" t="s">
        <v>3399</v>
      </c>
      <c r="C2158" t="s">
        <v>1225</v>
      </c>
      <c r="D2158" s="13">
        <v>180000</v>
      </c>
      <c r="I2158" t="s">
        <v>1198</v>
      </c>
    </row>
    <row r="2159" spans="1:12" x14ac:dyDescent="0.25">
      <c r="A2159" t="s">
        <v>641</v>
      </c>
      <c r="B2159" t="s">
        <v>3400</v>
      </c>
      <c r="C2159" t="s">
        <v>1218</v>
      </c>
      <c r="E2159">
        <v>240</v>
      </c>
      <c r="F2159" s="10">
        <v>37622</v>
      </c>
      <c r="G2159">
        <v>21</v>
      </c>
      <c r="H2159">
        <v>25</v>
      </c>
      <c r="I2159" t="s">
        <v>1199</v>
      </c>
      <c r="J2159" t="s">
        <v>1219</v>
      </c>
      <c r="K2159" t="s">
        <v>1234</v>
      </c>
      <c r="L2159">
        <v>440</v>
      </c>
    </row>
    <row r="2160" spans="1:12" x14ac:dyDescent="0.25">
      <c r="A2160" t="s">
        <v>641</v>
      </c>
      <c r="B2160" t="s">
        <v>3401</v>
      </c>
      <c r="C2160" t="s">
        <v>1222</v>
      </c>
      <c r="D2160" s="13">
        <v>156000</v>
      </c>
      <c r="F2160" s="10">
        <v>43061</v>
      </c>
      <c r="G2160">
        <v>6</v>
      </c>
      <c r="H2160">
        <v>15</v>
      </c>
      <c r="I2160" t="s">
        <v>1199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967E6-AE08-4E09-9420-C21D3545FB5A}">
  <dimension ref="A1:F201"/>
  <sheetViews>
    <sheetView workbookViewId="0"/>
  </sheetViews>
  <sheetFormatPr defaultRowHeight="15" x14ac:dyDescent="0.25"/>
  <cols>
    <col min="1" max="1" width="11.5703125" bestFit="1" customWidth="1"/>
    <col min="2" max="2" width="18.140625" bestFit="1" customWidth="1"/>
    <col min="4" max="4" width="31.42578125" bestFit="1" customWidth="1"/>
  </cols>
  <sheetData>
    <row r="1" spans="1:6" x14ac:dyDescent="0.25">
      <c r="A1" t="s">
        <v>0</v>
      </c>
      <c r="B1" t="s">
        <v>3693</v>
      </c>
      <c r="C1" t="s">
        <v>3692</v>
      </c>
      <c r="D1" t="s">
        <v>3691</v>
      </c>
      <c r="E1" t="s">
        <v>3690</v>
      </c>
    </row>
    <row r="2" spans="1:6" x14ac:dyDescent="0.25">
      <c r="A2" t="s">
        <v>647</v>
      </c>
      <c r="B2">
        <v>100</v>
      </c>
      <c r="C2">
        <v>27</v>
      </c>
      <c r="D2">
        <v>47</v>
      </c>
      <c r="E2" t="str">
        <f t="shared" ref="E2:E33" si="0">IF(B2&gt;D2, "Generator", "Racks")</f>
        <v>Generator</v>
      </c>
      <c r="F2">
        <f>COUNTIF(E2:E201, "Generator")</f>
        <v>162</v>
      </c>
    </row>
    <row r="3" spans="1:6" x14ac:dyDescent="0.25">
      <c r="A3" t="s">
        <v>339</v>
      </c>
      <c r="B3">
        <v>75</v>
      </c>
      <c r="C3">
        <v>30</v>
      </c>
      <c r="D3">
        <v>52.2</v>
      </c>
      <c r="E3" t="str">
        <f t="shared" si="0"/>
        <v>Generator</v>
      </c>
      <c r="F3">
        <f>COUNTIF(E2:E201, "Racks")</f>
        <v>38</v>
      </c>
    </row>
    <row r="4" spans="1:6" x14ac:dyDescent="0.25">
      <c r="A4" t="s">
        <v>122</v>
      </c>
      <c r="B4">
        <v>60</v>
      </c>
      <c r="C4">
        <v>27</v>
      </c>
      <c r="D4">
        <v>47</v>
      </c>
      <c r="E4" t="str">
        <f t="shared" si="0"/>
        <v>Generator</v>
      </c>
    </row>
    <row r="5" spans="1:6" x14ac:dyDescent="0.25">
      <c r="A5" t="s">
        <v>334</v>
      </c>
      <c r="B5">
        <v>125</v>
      </c>
      <c r="C5">
        <v>13</v>
      </c>
      <c r="D5">
        <v>22.6</v>
      </c>
      <c r="E5" t="str">
        <f t="shared" si="0"/>
        <v>Generator</v>
      </c>
    </row>
    <row r="6" spans="1:6" x14ac:dyDescent="0.25">
      <c r="A6" t="s">
        <v>654</v>
      </c>
      <c r="B6">
        <v>350</v>
      </c>
      <c r="C6">
        <v>55</v>
      </c>
      <c r="D6">
        <v>95.7</v>
      </c>
      <c r="E6" t="str">
        <f t="shared" si="0"/>
        <v>Generator</v>
      </c>
    </row>
    <row r="7" spans="1:6" x14ac:dyDescent="0.25">
      <c r="A7" t="s">
        <v>513</v>
      </c>
      <c r="B7">
        <v>115</v>
      </c>
      <c r="C7">
        <v>38</v>
      </c>
      <c r="D7">
        <v>66.099999999999994</v>
      </c>
      <c r="E7" t="str">
        <f t="shared" si="0"/>
        <v>Generator</v>
      </c>
    </row>
    <row r="8" spans="1:6" x14ac:dyDescent="0.25">
      <c r="A8" t="s">
        <v>1200</v>
      </c>
      <c r="C8">
        <v>4</v>
      </c>
      <c r="D8">
        <v>7</v>
      </c>
      <c r="E8" t="str">
        <f t="shared" si="0"/>
        <v>Racks</v>
      </c>
    </row>
    <row r="9" spans="1:6" x14ac:dyDescent="0.25">
      <c r="A9" t="s">
        <v>1201</v>
      </c>
      <c r="E9" t="str">
        <f t="shared" si="0"/>
        <v>Racks</v>
      </c>
    </row>
    <row r="10" spans="1:6" x14ac:dyDescent="0.25">
      <c r="A10" t="s">
        <v>83</v>
      </c>
      <c r="B10">
        <v>80</v>
      </c>
      <c r="C10">
        <v>32</v>
      </c>
      <c r="D10">
        <v>55.7</v>
      </c>
      <c r="E10" t="str">
        <f t="shared" si="0"/>
        <v>Generator</v>
      </c>
    </row>
    <row r="11" spans="1:6" x14ac:dyDescent="0.25">
      <c r="A11" t="s">
        <v>907</v>
      </c>
      <c r="B11">
        <v>155</v>
      </c>
      <c r="C11">
        <v>46</v>
      </c>
      <c r="D11">
        <v>80</v>
      </c>
      <c r="E11" t="str">
        <f t="shared" si="0"/>
        <v>Generator</v>
      </c>
    </row>
    <row r="12" spans="1:6" x14ac:dyDescent="0.25">
      <c r="A12" t="s">
        <v>1297</v>
      </c>
      <c r="B12">
        <v>60</v>
      </c>
      <c r="C12">
        <v>8</v>
      </c>
      <c r="D12">
        <v>13.9</v>
      </c>
      <c r="E12" t="str">
        <f t="shared" si="0"/>
        <v>Generator</v>
      </c>
    </row>
    <row r="13" spans="1:6" x14ac:dyDescent="0.25">
      <c r="A13" t="s">
        <v>833</v>
      </c>
      <c r="B13">
        <v>300</v>
      </c>
      <c r="C13">
        <v>125</v>
      </c>
      <c r="D13">
        <v>217.5</v>
      </c>
      <c r="E13" t="str">
        <f t="shared" si="0"/>
        <v>Generator</v>
      </c>
    </row>
    <row r="14" spans="1:6" x14ac:dyDescent="0.25">
      <c r="A14" t="s">
        <v>521</v>
      </c>
      <c r="B14">
        <v>600</v>
      </c>
      <c r="C14">
        <v>232</v>
      </c>
      <c r="D14">
        <v>403.7</v>
      </c>
      <c r="E14" t="str">
        <f t="shared" si="0"/>
        <v>Generator</v>
      </c>
    </row>
    <row r="15" spans="1:6" x14ac:dyDescent="0.25">
      <c r="A15" t="s">
        <v>677</v>
      </c>
      <c r="B15">
        <v>150</v>
      </c>
      <c r="C15">
        <v>70</v>
      </c>
      <c r="D15">
        <v>121.8</v>
      </c>
      <c r="E15" t="str">
        <f t="shared" si="0"/>
        <v>Generator</v>
      </c>
    </row>
    <row r="16" spans="1:6" x14ac:dyDescent="0.25">
      <c r="A16" t="s">
        <v>530</v>
      </c>
      <c r="B16">
        <v>90</v>
      </c>
      <c r="C16">
        <v>28</v>
      </c>
      <c r="D16">
        <v>48.7</v>
      </c>
      <c r="E16" t="str">
        <f t="shared" si="0"/>
        <v>Generator</v>
      </c>
    </row>
    <row r="17" spans="1:5" x14ac:dyDescent="0.25">
      <c r="A17" t="s">
        <v>535</v>
      </c>
      <c r="B17">
        <v>150</v>
      </c>
      <c r="C17">
        <v>90</v>
      </c>
      <c r="D17">
        <v>156.6</v>
      </c>
      <c r="E17" t="str">
        <f t="shared" si="0"/>
        <v>Racks</v>
      </c>
    </row>
    <row r="18" spans="1:5" x14ac:dyDescent="0.25">
      <c r="A18" t="s">
        <v>546</v>
      </c>
      <c r="B18">
        <v>80</v>
      </c>
      <c r="C18">
        <v>16</v>
      </c>
      <c r="D18">
        <v>27.8</v>
      </c>
      <c r="E18" t="str">
        <f t="shared" si="0"/>
        <v>Generator</v>
      </c>
    </row>
    <row r="19" spans="1:5" x14ac:dyDescent="0.25">
      <c r="A19" t="s">
        <v>138</v>
      </c>
      <c r="B19">
        <v>100</v>
      </c>
      <c r="C19">
        <v>35</v>
      </c>
      <c r="D19">
        <v>60.9</v>
      </c>
      <c r="E19" t="str">
        <f t="shared" si="0"/>
        <v>Generator</v>
      </c>
    </row>
    <row r="20" spans="1:5" x14ac:dyDescent="0.25">
      <c r="A20" t="s">
        <v>133</v>
      </c>
      <c r="C20">
        <v>2</v>
      </c>
      <c r="D20">
        <v>3.5</v>
      </c>
      <c r="E20" t="str">
        <f t="shared" si="0"/>
        <v>Racks</v>
      </c>
    </row>
    <row r="21" spans="1:5" x14ac:dyDescent="0.25">
      <c r="A21" t="s">
        <v>682</v>
      </c>
      <c r="B21">
        <v>100</v>
      </c>
      <c r="C21">
        <v>64</v>
      </c>
      <c r="D21">
        <v>111.4</v>
      </c>
      <c r="E21" t="str">
        <f t="shared" si="0"/>
        <v>Racks</v>
      </c>
    </row>
    <row r="22" spans="1:5" x14ac:dyDescent="0.25">
      <c r="A22" t="s">
        <v>841</v>
      </c>
      <c r="B22">
        <v>470</v>
      </c>
      <c r="C22">
        <v>150</v>
      </c>
      <c r="D22">
        <v>261</v>
      </c>
      <c r="E22" t="str">
        <f t="shared" si="0"/>
        <v>Generator</v>
      </c>
    </row>
    <row r="23" spans="1:5" x14ac:dyDescent="0.25">
      <c r="A23" t="s">
        <v>892</v>
      </c>
      <c r="B23">
        <v>510</v>
      </c>
      <c r="C23">
        <v>226</v>
      </c>
      <c r="D23">
        <v>393.2</v>
      </c>
      <c r="E23" t="str">
        <f t="shared" si="0"/>
        <v>Generator</v>
      </c>
    </row>
    <row r="24" spans="1:5" x14ac:dyDescent="0.25">
      <c r="A24" t="s">
        <v>846</v>
      </c>
      <c r="B24">
        <v>410</v>
      </c>
      <c r="C24">
        <v>109</v>
      </c>
      <c r="D24">
        <v>189.7</v>
      </c>
      <c r="E24" t="str">
        <f t="shared" si="0"/>
        <v>Generator</v>
      </c>
    </row>
    <row r="25" spans="1:5" x14ac:dyDescent="0.25">
      <c r="A25" t="s">
        <v>850</v>
      </c>
      <c r="B25">
        <v>350</v>
      </c>
      <c r="C25">
        <v>106</v>
      </c>
      <c r="D25">
        <v>184.4</v>
      </c>
      <c r="E25" t="str">
        <f t="shared" si="0"/>
        <v>Generator</v>
      </c>
    </row>
    <row r="26" spans="1:5" x14ac:dyDescent="0.25">
      <c r="A26" t="s">
        <v>854</v>
      </c>
      <c r="B26">
        <v>300</v>
      </c>
      <c r="C26">
        <v>38</v>
      </c>
      <c r="D26">
        <v>66.099999999999994</v>
      </c>
      <c r="E26" t="str">
        <f t="shared" si="0"/>
        <v>Generator</v>
      </c>
    </row>
    <row r="27" spans="1:5" x14ac:dyDescent="0.25">
      <c r="A27" t="s">
        <v>92</v>
      </c>
      <c r="B27">
        <v>100</v>
      </c>
      <c r="C27">
        <v>20</v>
      </c>
      <c r="D27">
        <v>34.799999999999997</v>
      </c>
      <c r="E27" t="str">
        <f t="shared" si="0"/>
        <v>Generator</v>
      </c>
    </row>
    <row r="28" spans="1:5" x14ac:dyDescent="0.25">
      <c r="A28" t="s">
        <v>542</v>
      </c>
      <c r="B28">
        <v>50</v>
      </c>
      <c r="C28">
        <v>14</v>
      </c>
      <c r="D28">
        <v>24.4</v>
      </c>
      <c r="E28" t="str">
        <f t="shared" si="0"/>
        <v>Generator</v>
      </c>
    </row>
    <row r="29" spans="1:5" x14ac:dyDescent="0.25">
      <c r="A29" t="s">
        <v>551</v>
      </c>
      <c r="B29">
        <v>125</v>
      </c>
      <c r="C29">
        <v>41</v>
      </c>
      <c r="D29">
        <v>71.3</v>
      </c>
      <c r="E29" t="str">
        <f t="shared" si="0"/>
        <v>Generator</v>
      </c>
    </row>
    <row r="30" spans="1:5" x14ac:dyDescent="0.25">
      <c r="A30" t="s">
        <v>1510</v>
      </c>
      <c r="B30">
        <v>685</v>
      </c>
      <c r="C30">
        <v>93</v>
      </c>
      <c r="D30">
        <v>161.80000000000001</v>
      </c>
      <c r="E30" t="str">
        <f t="shared" si="0"/>
        <v>Generator</v>
      </c>
    </row>
    <row r="31" spans="1:5" x14ac:dyDescent="0.25">
      <c r="A31" t="s">
        <v>145</v>
      </c>
      <c r="B31">
        <v>125</v>
      </c>
      <c r="C31">
        <v>37</v>
      </c>
      <c r="D31">
        <v>64.400000000000006</v>
      </c>
      <c r="E31" t="str">
        <f t="shared" si="0"/>
        <v>Generator</v>
      </c>
    </row>
    <row r="32" spans="1:5" x14ac:dyDescent="0.25">
      <c r="A32" t="s">
        <v>692</v>
      </c>
      <c r="C32">
        <v>5</v>
      </c>
      <c r="D32">
        <v>8.6999999999999993</v>
      </c>
      <c r="E32" t="str">
        <f t="shared" si="0"/>
        <v>Racks</v>
      </c>
    </row>
    <row r="33" spans="1:5" x14ac:dyDescent="0.25">
      <c r="A33" t="s">
        <v>367</v>
      </c>
      <c r="B33">
        <v>100</v>
      </c>
      <c r="C33">
        <v>24</v>
      </c>
      <c r="D33">
        <v>41.8</v>
      </c>
      <c r="E33" t="str">
        <f t="shared" si="0"/>
        <v>Generator</v>
      </c>
    </row>
    <row r="34" spans="1:5" x14ac:dyDescent="0.25">
      <c r="A34" t="s">
        <v>660</v>
      </c>
      <c r="B34">
        <v>350</v>
      </c>
      <c r="C34">
        <v>38</v>
      </c>
      <c r="D34">
        <v>66.099999999999994</v>
      </c>
      <c r="E34" t="str">
        <f t="shared" ref="E34:E65" si="1">IF(B34&gt;D34, "Generator", "Racks")</f>
        <v>Generator</v>
      </c>
    </row>
    <row r="35" spans="1:5" x14ac:dyDescent="0.25">
      <c r="A35" t="s">
        <v>698</v>
      </c>
      <c r="B35">
        <v>150</v>
      </c>
      <c r="C35">
        <v>100</v>
      </c>
      <c r="D35">
        <v>174</v>
      </c>
      <c r="E35" t="str">
        <f t="shared" si="1"/>
        <v>Racks</v>
      </c>
    </row>
    <row r="36" spans="1:5" x14ac:dyDescent="0.25">
      <c r="A36" t="s">
        <v>348</v>
      </c>
      <c r="B36">
        <v>137</v>
      </c>
      <c r="C36">
        <v>32</v>
      </c>
      <c r="D36">
        <v>55.7</v>
      </c>
      <c r="E36" t="str">
        <f t="shared" si="1"/>
        <v>Generator</v>
      </c>
    </row>
    <row r="37" spans="1:5" x14ac:dyDescent="0.25">
      <c r="A37" t="s">
        <v>859</v>
      </c>
      <c r="B37">
        <v>300</v>
      </c>
      <c r="C37">
        <v>21</v>
      </c>
      <c r="D37">
        <v>36.5</v>
      </c>
      <c r="E37" t="str">
        <f t="shared" si="1"/>
        <v>Generator</v>
      </c>
    </row>
    <row r="38" spans="1:5" x14ac:dyDescent="0.25">
      <c r="A38" t="s">
        <v>160</v>
      </c>
      <c r="B38">
        <v>200</v>
      </c>
      <c r="C38">
        <v>40</v>
      </c>
      <c r="D38">
        <v>69.599999999999994</v>
      </c>
      <c r="E38" t="str">
        <f t="shared" si="1"/>
        <v>Generator</v>
      </c>
    </row>
    <row r="39" spans="1:5" x14ac:dyDescent="0.25">
      <c r="A39" t="s">
        <v>917</v>
      </c>
      <c r="B39">
        <v>40</v>
      </c>
      <c r="C39">
        <v>23</v>
      </c>
      <c r="D39">
        <v>40</v>
      </c>
      <c r="E39" t="str">
        <f t="shared" si="1"/>
        <v>Racks</v>
      </c>
    </row>
    <row r="40" spans="1:5" x14ac:dyDescent="0.25">
      <c r="A40" t="s">
        <v>170</v>
      </c>
      <c r="B40">
        <v>250</v>
      </c>
      <c r="C40">
        <v>124</v>
      </c>
      <c r="D40">
        <v>215.8</v>
      </c>
      <c r="E40" t="str">
        <f t="shared" si="1"/>
        <v>Generator</v>
      </c>
    </row>
    <row r="41" spans="1:5" x14ac:dyDescent="0.25">
      <c r="A41" t="s">
        <v>97</v>
      </c>
      <c r="B41">
        <v>60</v>
      </c>
      <c r="C41">
        <v>44</v>
      </c>
      <c r="D41">
        <v>76.599999999999994</v>
      </c>
      <c r="E41" t="str">
        <f t="shared" si="1"/>
        <v>Racks</v>
      </c>
    </row>
    <row r="42" spans="1:5" x14ac:dyDescent="0.25">
      <c r="A42" t="s">
        <v>1642</v>
      </c>
      <c r="B42">
        <v>90</v>
      </c>
      <c r="C42">
        <v>2</v>
      </c>
      <c r="D42">
        <v>3.5</v>
      </c>
      <c r="E42" t="str">
        <f t="shared" si="1"/>
        <v>Generator</v>
      </c>
    </row>
    <row r="43" spans="1:5" x14ac:dyDescent="0.25">
      <c r="A43" t="s">
        <v>353</v>
      </c>
      <c r="B43">
        <v>160</v>
      </c>
      <c r="C43">
        <v>24</v>
      </c>
      <c r="D43">
        <v>41.8</v>
      </c>
      <c r="E43" t="str">
        <f t="shared" si="1"/>
        <v>Generator</v>
      </c>
    </row>
    <row r="44" spans="1:5" x14ac:dyDescent="0.25">
      <c r="A44" t="s">
        <v>703</v>
      </c>
      <c r="B44">
        <v>150</v>
      </c>
      <c r="C44">
        <v>24</v>
      </c>
      <c r="D44">
        <v>41.8</v>
      </c>
      <c r="E44" t="str">
        <f t="shared" si="1"/>
        <v>Generator</v>
      </c>
    </row>
    <row r="45" spans="1:5" x14ac:dyDescent="0.25">
      <c r="A45" t="s">
        <v>166</v>
      </c>
      <c r="B45">
        <v>150</v>
      </c>
      <c r="C45">
        <v>25</v>
      </c>
      <c r="D45">
        <v>43.5</v>
      </c>
      <c r="E45" t="str">
        <f t="shared" si="1"/>
        <v>Generator</v>
      </c>
    </row>
    <row r="46" spans="1:5" x14ac:dyDescent="0.25">
      <c r="A46" t="s">
        <v>561</v>
      </c>
      <c r="B46">
        <v>80</v>
      </c>
      <c r="C46">
        <v>26</v>
      </c>
      <c r="D46">
        <v>45.2</v>
      </c>
      <c r="E46" t="str">
        <f t="shared" si="1"/>
        <v>Generator</v>
      </c>
    </row>
    <row r="47" spans="1:5" x14ac:dyDescent="0.25">
      <c r="A47" t="s">
        <v>175</v>
      </c>
      <c r="B47">
        <v>450</v>
      </c>
      <c r="C47">
        <v>128</v>
      </c>
      <c r="D47">
        <v>222.7</v>
      </c>
      <c r="E47" t="str">
        <f t="shared" si="1"/>
        <v>Generator</v>
      </c>
    </row>
    <row r="48" spans="1:5" x14ac:dyDescent="0.25">
      <c r="A48" t="s">
        <v>557</v>
      </c>
      <c r="B48">
        <v>210</v>
      </c>
      <c r="C48">
        <v>85</v>
      </c>
      <c r="D48">
        <v>147.9</v>
      </c>
      <c r="E48" t="str">
        <f t="shared" si="1"/>
        <v>Generator</v>
      </c>
    </row>
    <row r="49" spans="1:5" x14ac:dyDescent="0.25">
      <c r="A49" t="s">
        <v>151</v>
      </c>
      <c r="B49">
        <v>750</v>
      </c>
      <c r="C49">
        <v>81</v>
      </c>
      <c r="D49">
        <v>140.9</v>
      </c>
      <c r="E49" t="str">
        <f t="shared" si="1"/>
        <v>Generator</v>
      </c>
    </row>
    <row r="50" spans="1:5" x14ac:dyDescent="0.25">
      <c r="A50" t="s">
        <v>155</v>
      </c>
      <c r="B50">
        <v>100</v>
      </c>
      <c r="C50">
        <v>23</v>
      </c>
      <c r="D50">
        <v>40</v>
      </c>
      <c r="E50" t="str">
        <f t="shared" si="1"/>
        <v>Generator</v>
      </c>
    </row>
    <row r="51" spans="1:5" x14ac:dyDescent="0.25">
      <c r="A51" t="s">
        <v>344</v>
      </c>
      <c r="B51">
        <v>100</v>
      </c>
      <c r="C51">
        <v>19</v>
      </c>
      <c r="D51">
        <v>33.1</v>
      </c>
      <c r="E51" t="str">
        <f t="shared" si="1"/>
        <v>Generator</v>
      </c>
    </row>
    <row r="52" spans="1:5" x14ac:dyDescent="0.25">
      <c r="A52" t="s">
        <v>863</v>
      </c>
      <c r="B52">
        <v>350</v>
      </c>
      <c r="C52">
        <v>49</v>
      </c>
      <c r="D52">
        <v>85.3</v>
      </c>
      <c r="E52" t="str">
        <f t="shared" si="1"/>
        <v>Generator</v>
      </c>
    </row>
    <row r="53" spans="1:5" x14ac:dyDescent="0.25">
      <c r="A53" t="s">
        <v>362</v>
      </c>
      <c r="B53">
        <v>145</v>
      </c>
      <c r="C53">
        <v>20</v>
      </c>
      <c r="D53">
        <v>34.799999999999997</v>
      </c>
      <c r="E53" t="str">
        <f t="shared" si="1"/>
        <v>Generator</v>
      </c>
    </row>
    <row r="54" spans="1:5" x14ac:dyDescent="0.25">
      <c r="A54" t="s">
        <v>128</v>
      </c>
      <c r="B54">
        <v>450</v>
      </c>
      <c r="C54">
        <v>11</v>
      </c>
      <c r="D54">
        <v>19.100000000000001</v>
      </c>
      <c r="E54" t="str">
        <f t="shared" si="1"/>
        <v>Generator</v>
      </c>
    </row>
    <row r="55" spans="1:5" x14ac:dyDescent="0.25">
      <c r="A55" t="s">
        <v>181</v>
      </c>
      <c r="B55">
        <v>200</v>
      </c>
      <c r="C55">
        <v>77</v>
      </c>
      <c r="D55">
        <v>134</v>
      </c>
      <c r="E55" t="str">
        <f t="shared" si="1"/>
        <v>Generator</v>
      </c>
    </row>
    <row r="56" spans="1:5" x14ac:dyDescent="0.25">
      <c r="A56" t="s">
        <v>39</v>
      </c>
      <c r="B56">
        <v>100</v>
      </c>
      <c r="C56">
        <v>36</v>
      </c>
      <c r="D56">
        <v>62.6</v>
      </c>
      <c r="E56" t="str">
        <f t="shared" si="1"/>
        <v>Generator</v>
      </c>
    </row>
    <row r="57" spans="1:5" x14ac:dyDescent="0.25">
      <c r="A57" t="s">
        <v>708</v>
      </c>
      <c r="B57">
        <v>75</v>
      </c>
      <c r="C57">
        <v>26</v>
      </c>
      <c r="D57">
        <v>45.2</v>
      </c>
      <c r="E57" t="str">
        <f t="shared" si="1"/>
        <v>Generator</v>
      </c>
    </row>
    <row r="58" spans="1:5" x14ac:dyDescent="0.25">
      <c r="A58" t="s">
        <v>186</v>
      </c>
      <c r="B58">
        <v>150</v>
      </c>
      <c r="C58">
        <v>50</v>
      </c>
      <c r="D58">
        <v>87</v>
      </c>
      <c r="E58" t="str">
        <f t="shared" si="1"/>
        <v>Generator</v>
      </c>
    </row>
    <row r="59" spans="1:5" x14ac:dyDescent="0.25">
      <c r="A59" t="s">
        <v>922</v>
      </c>
      <c r="C59">
        <v>20</v>
      </c>
      <c r="D59">
        <v>34.799999999999997</v>
      </c>
      <c r="E59" t="str">
        <f t="shared" si="1"/>
        <v>Racks</v>
      </c>
    </row>
    <row r="60" spans="1:5" x14ac:dyDescent="0.25">
      <c r="A60" t="s">
        <v>44</v>
      </c>
      <c r="B60">
        <v>6</v>
      </c>
      <c r="C60">
        <v>6</v>
      </c>
      <c r="D60">
        <v>10.4</v>
      </c>
      <c r="E60" t="str">
        <f t="shared" si="1"/>
        <v>Racks</v>
      </c>
    </row>
    <row r="61" spans="1:5" x14ac:dyDescent="0.25">
      <c r="A61" t="s">
        <v>191</v>
      </c>
      <c r="B61">
        <v>250</v>
      </c>
      <c r="C61">
        <v>18</v>
      </c>
      <c r="D61">
        <v>31.3</v>
      </c>
      <c r="E61" t="str">
        <f t="shared" si="1"/>
        <v>Generator</v>
      </c>
    </row>
    <row r="62" spans="1:5" x14ac:dyDescent="0.25">
      <c r="A62" t="s">
        <v>927</v>
      </c>
      <c r="B62">
        <v>150</v>
      </c>
      <c r="C62">
        <v>28</v>
      </c>
      <c r="D62">
        <v>48.7</v>
      </c>
      <c r="E62" t="str">
        <f t="shared" si="1"/>
        <v>Generator</v>
      </c>
    </row>
    <row r="63" spans="1:5" x14ac:dyDescent="0.25">
      <c r="A63" t="s">
        <v>373</v>
      </c>
      <c r="B63">
        <v>205</v>
      </c>
      <c r="C63">
        <v>21</v>
      </c>
      <c r="D63">
        <v>36.5</v>
      </c>
      <c r="E63" t="str">
        <f t="shared" si="1"/>
        <v>Generator</v>
      </c>
    </row>
    <row r="64" spans="1:5" x14ac:dyDescent="0.25">
      <c r="A64" t="s">
        <v>201</v>
      </c>
      <c r="B64">
        <v>100</v>
      </c>
      <c r="C64">
        <v>30</v>
      </c>
      <c r="D64">
        <v>52.2</v>
      </c>
      <c r="E64" t="str">
        <f t="shared" si="1"/>
        <v>Generator</v>
      </c>
    </row>
    <row r="65" spans="1:5" x14ac:dyDescent="0.25">
      <c r="A65" t="s">
        <v>932</v>
      </c>
      <c r="B65">
        <v>150</v>
      </c>
      <c r="C65">
        <v>74</v>
      </c>
      <c r="D65">
        <v>128.80000000000001</v>
      </c>
      <c r="E65" t="str">
        <f t="shared" si="1"/>
        <v>Generator</v>
      </c>
    </row>
    <row r="66" spans="1:5" x14ac:dyDescent="0.25">
      <c r="A66" t="s">
        <v>196</v>
      </c>
      <c r="B66">
        <v>60</v>
      </c>
      <c r="C66">
        <v>35</v>
      </c>
      <c r="D66">
        <v>60.9</v>
      </c>
      <c r="E66" t="str">
        <f t="shared" ref="E66:E97" si="2">IF(B66&gt;D66, "Generator", "Racks")</f>
        <v>Racks</v>
      </c>
    </row>
    <row r="67" spans="1:5" x14ac:dyDescent="0.25">
      <c r="A67" t="s">
        <v>378</v>
      </c>
      <c r="B67">
        <v>60</v>
      </c>
      <c r="C67">
        <v>26</v>
      </c>
      <c r="D67">
        <v>45.2</v>
      </c>
      <c r="E67" t="str">
        <f t="shared" si="2"/>
        <v>Generator</v>
      </c>
    </row>
    <row r="68" spans="1:5" x14ac:dyDescent="0.25">
      <c r="A68" t="s">
        <v>383</v>
      </c>
      <c r="C68">
        <v>4</v>
      </c>
      <c r="D68">
        <v>7</v>
      </c>
      <c r="E68" t="str">
        <f t="shared" si="2"/>
        <v>Racks</v>
      </c>
    </row>
    <row r="69" spans="1:5" x14ac:dyDescent="0.25">
      <c r="A69" t="s">
        <v>712</v>
      </c>
      <c r="B69">
        <v>380</v>
      </c>
      <c r="C69">
        <v>159</v>
      </c>
      <c r="D69">
        <v>276.7</v>
      </c>
      <c r="E69" t="str">
        <f t="shared" si="2"/>
        <v>Generator</v>
      </c>
    </row>
    <row r="70" spans="1:5" x14ac:dyDescent="0.25">
      <c r="A70" t="s">
        <v>717</v>
      </c>
      <c r="B70">
        <v>135</v>
      </c>
      <c r="C70">
        <v>52</v>
      </c>
      <c r="D70">
        <v>90.5</v>
      </c>
      <c r="E70" t="str">
        <f t="shared" si="2"/>
        <v>Generator</v>
      </c>
    </row>
    <row r="71" spans="1:5" x14ac:dyDescent="0.25">
      <c r="A71" t="s">
        <v>759</v>
      </c>
      <c r="B71">
        <v>150</v>
      </c>
      <c r="C71">
        <v>16</v>
      </c>
      <c r="D71">
        <v>27.8</v>
      </c>
      <c r="E71" t="str">
        <f t="shared" si="2"/>
        <v>Generator</v>
      </c>
    </row>
    <row r="72" spans="1:5" x14ac:dyDescent="0.25">
      <c r="A72" t="s">
        <v>721</v>
      </c>
      <c r="B72">
        <v>125</v>
      </c>
      <c r="C72">
        <v>33</v>
      </c>
      <c r="D72">
        <v>57.4</v>
      </c>
      <c r="E72" t="str">
        <f t="shared" si="2"/>
        <v>Generator</v>
      </c>
    </row>
    <row r="73" spans="1:5" x14ac:dyDescent="0.25">
      <c r="A73" t="s">
        <v>387</v>
      </c>
      <c r="B73">
        <v>150</v>
      </c>
      <c r="C73">
        <v>23</v>
      </c>
      <c r="D73">
        <v>40</v>
      </c>
      <c r="E73" t="str">
        <f t="shared" si="2"/>
        <v>Generator</v>
      </c>
    </row>
    <row r="74" spans="1:5" x14ac:dyDescent="0.25">
      <c r="A74" t="s">
        <v>566</v>
      </c>
      <c r="B74">
        <v>50</v>
      </c>
      <c r="C74">
        <v>42</v>
      </c>
      <c r="D74">
        <v>73.099999999999994</v>
      </c>
      <c r="E74" t="str">
        <f t="shared" si="2"/>
        <v>Racks</v>
      </c>
    </row>
    <row r="75" spans="1:5" x14ac:dyDescent="0.25">
      <c r="A75" t="s">
        <v>212</v>
      </c>
      <c r="B75">
        <v>125</v>
      </c>
      <c r="C75">
        <v>25</v>
      </c>
      <c r="D75">
        <v>43.5</v>
      </c>
      <c r="E75" t="str">
        <f t="shared" si="2"/>
        <v>Generator</v>
      </c>
    </row>
    <row r="76" spans="1:5" x14ac:dyDescent="0.25">
      <c r="A76" t="s">
        <v>576</v>
      </c>
      <c r="B76">
        <v>150</v>
      </c>
      <c r="C76">
        <v>69</v>
      </c>
      <c r="D76">
        <v>120.1</v>
      </c>
      <c r="E76" t="str">
        <f t="shared" si="2"/>
        <v>Generator</v>
      </c>
    </row>
    <row r="77" spans="1:5" x14ac:dyDescent="0.25">
      <c r="A77" t="s">
        <v>397</v>
      </c>
      <c r="B77">
        <v>100</v>
      </c>
      <c r="C77">
        <v>15</v>
      </c>
      <c r="D77">
        <v>26.1</v>
      </c>
      <c r="E77" t="str">
        <f t="shared" si="2"/>
        <v>Generator</v>
      </c>
    </row>
    <row r="78" spans="1:5" x14ac:dyDescent="0.25">
      <c r="A78" t="s">
        <v>51</v>
      </c>
      <c r="B78">
        <v>80</v>
      </c>
      <c r="C78">
        <v>36</v>
      </c>
      <c r="D78">
        <v>62.6</v>
      </c>
      <c r="E78" t="str">
        <f t="shared" si="2"/>
        <v>Generator</v>
      </c>
    </row>
    <row r="79" spans="1:5" x14ac:dyDescent="0.25">
      <c r="A79" t="s">
        <v>392</v>
      </c>
      <c r="B79">
        <v>135</v>
      </c>
      <c r="C79">
        <v>40</v>
      </c>
      <c r="D79">
        <v>69.599999999999994</v>
      </c>
      <c r="E79" t="str">
        <f t="shared" si="2"/>
        <v>Generator</v>
      </c>
    </row>
    <row r="80" spans="1:5" x14ac:dyDescent="0.25">
      <c r="A80" t="s">
        <v>687</v>
      </c>
      <c r="B80">
        <v>100</v>
      </c>
      <c r="C80">
        <v>28</v>
      </c>
      <c r="D80">
        <v>48.7</v>
      </c>
      <c r="E80" t="str">
        <f t="shared" si="2"/>
        <v>Generator</v>
      </c>
    </row>
    <row r="81" spans="1:5" x14ac:dyDescent="0.25">
      <c r="A81" t="s">
        <v>207</v>
      </c>
      <c r="B81">
        <v>315</v>
      </c>
      <c r="C81">
        <v>92</v>
      </c>
      <c r="D81">
        <v>160.1</v>
      </c>
      <c r="E81" t="str">
        <f t="shared" si="2"/>
        <v>Generator</v>
      </c>
    </row>
    <row r="82" spans="1:5" x14ac:dyDescent="0.25">
      <c r="A82" t="s">
        <v>725</v>
      </c>
      <c r="B82">
        <v>190</v>
      </c>
      <c r="C82">
        <v>25</v>
      </c>
      <c r="D82">
        <v>43.5</v>
      </c>
      <c r="E82" t="str">
        <f t="shared" si="2"/>
        <v>Generator</v>
      </c>
    </row>
    <row r="83" spans="1:5" x14ac:dyDescent="0.25">
      <c r="A83" t="s">
        <v>57</v>
      </c>
      <c r="B83">
        <v>150</v>
      </c>
      <c r="C83">
        <v>64</v>
      </c>
      <c r="D83">
        <v>111.4</v>
      </c>
      <c r="E83" t="str">
        <f t="shared" si="2"/>
        <v>Generator</v>
      </c>
    </row>
    <row r="84" spans="1:5" x14ac:dyDescent="0.25">
      <c r="A84" t="s">
        <v>3402</v>
      </c>
      <c r="C84">
        <v>0</v>
      </c>
      <c r="E84" t="str">
        <f t="shared" si="2"/>
        <v>Racks</v>
      </c>
    </row>
    <row r="85" spans="1:5" x14ac:dyDescent="0.25">
      <c r="A85" t="s">
        <v>581</v>
      </c>
      <c r="B85">
        <v>100</v>
      </c>
      <c r="C85">
        <v>52</v>
      </c>
      <c r="D85">
        <v>90.5</v>
      </c>
      <c r="E85" t="str">
        <f t="shared" si="2"/>
        <v>Generator</v>
      </c>
    </row>
    <row r="86" spans="1:5" x14ac:dyDescent="0.25">
      <c r="A86" t="s">
        <v>406</v>
      </c>
      <c r="B86">
        <v>100</v>
      </c>
      <c r="C86">
        <v>84</v>
      </c>
      <c r="D86">
        <v>146.19999999999999</v>
      </c>
      <c r="E86" t="str">
        <f t="shared" si="2"/>
        <v>Racks</v>
      </c>
    </row>
    <row r="87" spans="1:5" x14ac:dyDescent="0.25">
      <c r="A87" t="s">
        <v>670</v>
      </c>
      <c r="B87">
        <v>150</v>
      </c>
      <c r="C87">
        <v>30</v>
      </c>
      <c r="D87">
        <v>52.2</v>
      </c>
      <c r="E87" t="str">
        <f t="shared" si="2"/>
        <v>Generator</v>
      </c>
    </row>
    <row r="88" spans="1:5" x14ac:dyDescent="0.25">
      <c r="A88" t="s">
        <v>730</v>
      </c>
      <c r="B88">
        <v>100</v>
      </c>
      <c r="C88">
        <v>24</v>
      </c>
      <c r="D88">
        <v>41.8</v>
      </c>
      <c r="E88" t="str">
        <f t="shared" si="2"/>
        <v>Generator</v>
      </c>
    </row>
    <row r="89" spans="1:5" x14ac:dyDescent="0.25">
      <c r="A89" t="s">
        <v>740</v>
      </c>
      <c r="B89">
        <v>660</v>
      </c>
      <c r="C89">
        <v>170</v>
      </c>
      <c r="D89">
        <v>295.8</v>
      </c>
      <c r="E89" t="str">
        <f t="shared" si="2"/>
        <v>Generator</v>
      </c>
    </row>
    <row r="90" spans="1:5" x14ac:dyDescent="0.25">
      <c r="A90" t="s">
        <v>745</v>
      </c>
      <c r="C90">
        <v>20</v>
      </c>
      <c r="D90">
        <v>34.799999999999997</v>
      </c>
      <c r="E90" t="str">
        <f t="shared" si="2"/>
        <v>Racks</v>
      </c>
    </row>
    <row r="91" spans="1:5" x14ac:dyDescent="0.25">
      <c r="A91" t="s">
        <v>769</v>
      </c>
      <c r="B91">
        <v>100</v>
      </c>
      <c r="C91">
        <v>27</v>
      </c>
      <c r="D91">
        <v>47</v>
      </c>
      <c r="E91" t="str">
        <f t="shared" si="2"/>
        <v>Generator</v>
      </c>
    </row>
    <row r="92" spans="1:5" x14ac:dyDescent="0.25">
      <c r="A92" t="s">
        <v>735</v>
      </c>
      <c r="C92">
        <v>14</v>
      </c>
      <c r="D92">
        <v>24.4</v>
      </c>
      <c r="E92" t="str">
        <f t="shared" si="2"/>
        <v>Racks</v>
      </c>
    </row>
    <row r="93" spans="1:5" x14ac:dyDescent="0.25">
      <c r="A93" t="s">
        <v>411</v>
      </c>
      <c r="C93">
        <v>6</v>
      </c>
      <c r="D93">
        <v>10.4</v>
      </c>
      <c r="E93" t="str">
        <f t="shared" si="2"/>
        <v>Racks</v>
      </c>
    </row>
    <row r="94" spans="1:5" x14ac:dyDescent="0.25">
      <c r="A94" t="s">
        <v>102</v>
      </c>
      <c r="B94">
        <v>60</v>
      </c>
      <c r="C94">
        <v>30</v>
      </c>
      <c r="D94">
        <v>52.2</v>
      </c>
      <c r="E94" t="str">
        <f t="shared" si="2"/>
        <v>Generator</v>
      </c>
    </row>
    <row r="95" spans="1:5" x14ac:dyDescent="0.25">
      <c r="A95" t="s">
        <v>62</v>
      </c>
      <c r="B95">
        <v>700</v>
      </c>
      <c r="C95">
        <v>81</v>
      </c>
      <c r="D95">
        <v>140.9</v>
      </c>
      <c r="E95" t="str">
        <f t="shared" si="2"/>
        <v>Generator</v>
      </c>
    </row>
    <row r="96" spans="1:5" x14ac:dyDescent="0.25">
      <c r="A96" t="s">
        <v>218</v>
      </c>
      <c r="B96">
        <v>150</v>
      </c>
      <c r="C96">
        <v>19</v>
      </c>
      <c r="D96">
        <v>33.1</v>
      </c>
      <c r="E96" t="str">
        <f t="shared" si="2"/>
        <v>Generator</v>
      </c>
    </row>
    <row r="97" spans="1:5" x14ac:dyDescent="0.25">
      <c r="A97" t="s">
        <v>586</v>
      </c>
      <c r="B97">
        <v>250</v>
      </c>
      <c r="C97">
        <v>133</v>
      </c>
      <c r="D97">
        <v>231.4</v>
      </c>
      <c r="E97" t="str">
        <f t="shared" si="2"/>
        <v>Generator</v>
      </c>
    </row>
    <row r="98" spans="1:5" x14ac:dyDescent="0.25">
      <c r="A98" t="s">
        <v>223</v>
      </c>
      <c r="B98">
        <v>100</v>
      </c>
      <c r="C98">
        <v>26</v>
      </c>
      <c r="D98">
        <v>45.2</v>
      </c>
      <c r="E98" t="str">
        <f t="shared" ref="E98:E129" si="3">IF(B98&gt;D98, "Generator", "Racks")</f>
        <v>Generator</v>
      </c>
    </row>
    <row r="99" spans="1:5" x14ac:dyDescent="0.25">
      <c r="A99" t="s">
        <v>1202</v>
      </c>
      <c r="C99">
        <v>3</v>
      </c>
      <c r="D99">
        <v>5.2</v>
      </c>
      <c r="E99" t="str">
        <f t="shared" si="3"/>
        <v>Racks</v>
      </c>
    </row>
    <row r="100" spans="1:5" x14ac:dyDescent="0.25">
      <c r="A100" t="s">
        <v>228</v>
      </c>
      <c r="B100">
        <v>125</v>
      </c>
      <c r="C100">
        <v>22</v>
      </c>
      <c r="D100">
        <v>38.299999999999997</v>
      </c>
      <c r="E100" t="str">
        <f t="shared" si="3"/>
        <v>Generator</v>
      </c>
    </row>
    <row r="101" spans="1:5" x14ac:dyDescent="0.25">
      <c r="A101" t="s">
        <v>754</v>
      </c>
      <c r="B101">
        <v>85</v>
      </c>
      <c r="C101">
        <v>23</v>
      </c>
      <c r="D101">
        <v>40</v>
      </c>
      <c r="E101" t="str">
        <f t="shared" si="3"/>
        <v>Generator</v>
      </c>
    </row>
    <row r="102" spans="1:5" x14ac:dyDescent="0.25">
      <c r="A102" t="s">
        <v>749</v>
      </c>
      <c r="B102">
        <v>125</v>
      </c>
      <c r="C102">
        <v>30</v>
      </c>
      <c r="D102">
        <v>52.2</v>
      </c>
      <c r="E102" t="str">
        <f t="shared" si="3"/>
        <v>Generator</v>
      </c>
    </row>
    <row r="103" spans="1:5" x14ac:dyDescent="0.25">
      <c r="A103" t="s">
        <v>2391</v>
      </c>
      <c r="B103">
        <v>65</v>
      </c>
      <c r="C103">
        <v>5</v>
      </c>
      <c r="D103">
        <v>8.6999999999999993</v>
      </c>
      <c r="E103" t="str">
        <f t="shared" si="3"/>
        <v>Generator</v>
      </c>
    </row>
    <row r="104" spans="1:5" x14ac:dyDescent="0.25">
      <c r="A104" t="s">
        <v>422</v>
      </c>
      <c r="B104">
        <v>600</v>
      </c>
      <c r="C104">
        <v>79</v>
      </c>
      <c r="D104">
        <v>137.5</v>
      </c>
      <c r="E104" t="str">
        <f t="shared" si="3"/>
        <v>Generator</v>
      </c>
    </row>
    <row r="105" spans="1:5" x14ac:dyDescent="0.25">
      <c r="A105" t="s">
        <v>1203</v>
      </c>
      <c r="C105">
        <v>5</v>
      </c>
      <c r="D105">
        <v>8.6999999999999993</v>
      </c>
      <c r="E105" t="str">
        <f t="shared" si="3"/>
        <v>Racks</v>
      </c>
    </row>
    <row r="106" spans="1:5" x14ac:dyDescent="0.25">
      <c r="A106" t="s">
        <v>943</v>
      </c>
      <c r="B106">
        <v>300</v>
      </c>
      <c r="C106">
        <v>144</v>
      </c>
      <c r="D106">
        <v>250.6</v>
      </c>
      <c r="E106" t="str">
        <f t="shared" si="3"/>
        <v>Generator</v>
      </c>
    </row>
    <row r="107" spans="1:5" x14ac:dyDescent="0.25">
      <c r="A107" t="s">
        <v>947</v>
      </c>
      <c r="B107">
        <v>60</v>
      </c>
      <c r="C107">
        <v>20</v>
      </c>
      <c r="D107">
        <v>34.799999999999997</v>
      </c>
      <c r="E107" t="str">
        <f t="shared" si="3"/>
        <v>Generator</v>
      </c>
    </row>
    <row r="108" spans="1:5" x14ac:dyDescent="0.25">
      <c r="A108" t="s">
        <v>237</v>
      </c>
      <c r="B108">
        <v>150</v>
      </c>
      <c r="C108">
        <v>42</v>
      </c>
      <c r="D108">
        <v>73.099999999999994</v>
      </c>
      <c r="E108" t="str">
        <f t="shared" si="3"/>
        <v>Generator</v>
      </c>
    </row>
    <row r="109" spans="1:5" x14ac:dyDescent="0.25">
      <c r="A109" t="s">
        <v>23</v>
      </c>
      <c r="B109">
        <v>125</v>
      </c>
      <c r="C109">
        <v>27</v>
      </c>
      <c r="D109">
        <v>47</v>
      </c>
      <c r="E109" t="str">
        <f t="shared" si="3"/>
        <v>Generator</v>
      </c>
    </row>
    <row r="110" spans="1:5" x14ac:dyDescent="0.25">
      <c r="A110" t="s">
        <v>29</v>
      </c>
      <c r="B110">
        <v>200</v>
      </c>
      <c r="C110">
        <v>52</v>
      </c>
      <c r="D110">
        <v>90.5</v>
      </c>
      <c r="E110" t="str">
        <f t="shared" si="3"/>
        <v>Generator</v>
      </c>
    </row>
    <row r="111" spans="1:5" x14ac:dyDescent="0.25">
      <c r="A111" t="s">
        <v>232</v>
      </c>
      <c r="B111">
        <v>125</v>
      </c>
      <c r="C111">
        <v>37</v>
      </c>
      <c r="D111">
        <v>64.400000000000006</v>
      </c>
      <c r="E111" t="str">
        <f t="shared" si="3"/>
        <v>Generator</v>
      </c>
    </row>
    <row r="112" spans="1:5" x14ac:dyDescent="0.25">
      <c r="A112" t="s">
        <v>430</v>
      </c>
      <c r="C112">
        <v>9</v>
      </c>
      <c r="D112">
        <v>15.7</v>
      </c>
      <c r="E112" t="str">
        <f t="shared" si="3"/>
        <v>Racks</v>
      </c>
    </row>
    <row r="113" spans="1:5" x14ac:dyDescent="0.25">
      <c r="A113" t="s">
        <v>591</v>
      </c>
      <c r="B113">
        <v>100</v>
      </c>
      <c r="C113">
        <v>35</v>
      </c>
      <c r="D113">
        <v>60.9</v>
      </c>
      <c r="E113" t="str">
        <f t="shared" si="3"/>
        <v>Generator</v>
      </c>
    </row>
    <row r="114" spans="1:5" x14ac:dyDescent="0.25">
      <c r="A114" t="s">
        <v>956</v>
      </c>
      <c r="B114">
        <v>250</v>
      </c>
      <c r="C114">
        <v>39</v>
      </c>
      <c r="D114">
        <v>67.900000000000006</v>
      </c>
      <c r="E114" t="str">
        <f t="shared" si="3"/>
        <v>Generator</v>
      </c>
    </row>
    <row r="115" spans="1:5" x14ac:dyDescent="0.25">
      <c r="A115" t="s">
        <v>951</v>
      </c>
      <c r="B115">
        <v>600</v>
      </c>
      <c r="C115">
        <v>75</v>
      </c>
      <c r="D115">
        <v>130.5</v>
      </c>
      <c r="E115" t="str">
        <f t="shared" si="3"/>
        <v>Generator</v>
      </c>
    </row>
    <row r="116" spans="1:5" x14ac:dyDescent="0.25">
      <c r="A116" t="s">
        <v>110</v>
      </c>
      <c r="B116">
        <v>400</v>
      </c>
      <c r="C116">
        <v>123</v>
      </c>
      <c r="D116">
        <v>214</v>
      </c>
      <c r="E116" t="str">
        <f t="shared" si="3"/>
        <v>Generator</v>
      </c>
    </row>
    <row r="117" spans="1:5" x14ac:dyDescent="0.25">
      <c r="A117" t="s">
        <v>115</v>
      </c>
      <c r="B117">
        <v>60</v>
      </c>
      <c r="C117">
        <v>20</v>
      </c>
      <c r="D117">
        <v>34.799999999999997</v>
      </c>
      <c r="E117" t="str">
        <f t="shared" si="3"/>
        <v>Generator</v>
      </c>
    </row>
    <row r="118" spans="1:5" x14ac:dyDescent="0.25">
      <c r="A118" t="s">
        <v>247</v>
      </c>
      <c r="B118">
        <v>60</v>
      </c>
      <c r="C118">
        <v>23</v>
      </c>
      <c r="D118">
        <v>40</v>
      </c>
      <c r="E118" t="str">
        <f t="shared" si="3"/>
        <v>Generator</v>
      </c>
    </row>
    <row r="119" spans="1:5" x14ac:dyDescent="0.25">
      <c r="A119" t="s">
        <v>764</v>
      </c>
      <c r="B119">
        <v>125</v>
      </c>
      <c r="C119">
        <v>28</v>
      </c>
      <c r="D119">
        <v>48.7</v>
      </c>
      <c r="E119" t="str">
        <f t="shared" si="3"/>
        <v>Generator</v>
      </c>
    </row>
    <row r="120" spans="1:5" x14ac:dyDescent="0.25">
      <c r="A120" t="s">
        <v>252</v>
      </c>
      <c r="B120">
        <v>250</v>
      </c>
      <c r="C120">
        <v>93</v>
      </c>
      <c r="D120">
        <v>161.80000000000001</v>
      </c>
      <c r="E120" t="str">
        <f t="shared" si="3"/>
        <v>Generator</v>
      </c>
    </row>
    <row r="121" spans="1:5" x14ac:dyDescent="0.25">
      <c r="A121" t="s">
        <v>525</v>
      </c>
      <c r="B121">
        <v>200</v>
      </c>
      <c r="C121">
        <v>76</v>
      </c>
      <c r="D121">
        <v>132.19999999999999</v>
      </c>
      <c r="E121" t="str">
        <f t="shared" si="3"/>
        <v>Generator</v>
      </c>
    </row>
    <row r="122" spans="1:5" x14ac:dyDescent="0.25">
      <c r="A122" t="s">
        <v>447</v>
      </c>
      <c r="C122">
        <v>7</v>
      </c>
      <c r="D122">
        <v>12.2</v>
      </c>
      <c r="E122" t="str">
        <f t="shared" si="3"/>
        <v>Racks</v>
      </c>
    </row>
    <row r="123" spans="1:5" x14ac:dyDescent="0.25">
      <c r="A123" t="s">
        <v>271</v>
      </c>
      <c r="B123">
        <v>150</v>
      </c>
      <c r="C123">
        <v>4</v>
      </c>
      <c r="D123">
        <v>7</v>
      </c>
      <c r="E123" t="str">
        <f t="shared" si="3"/>
        <v>Generator</v>
      </c>
    </row>
    <row r="124" spans="1:5" x14ac:dyDescent="0.25">
      <c r="A124" t="s">
        <v>276</v>
      </c>
      <c r="B124">
        <v>500</v>
      </c>
      <c r="C124">
        <v>89</v>
      </c>
      <c r="D124">
        <v>154.9</v>
      </c>
      <c r="E124" t="str">
        <f t="shared" si="3"/>
        <v>Generator</v>
      </c>
    </row>
    <row r="125" spans="1:5" x14ac:dyDescent="0.25">
      <c r="A125" t="s">
        <v>960</v>
      </c>
      <c r="B125">
        <v>300</v>
      </c>
      <c r="C125">
        <v>48</v>
      </c>
      <c r="D125">
        <v>83.5</v>
      </c>
      <c r="E125" t="str">
        <f t="shared" si="3"/>
        <v>Generator</v>
      </c>
    </row>
    <row r="126" spans="1:5" x14ac:dyDescent="0.25">
      <c r="A126" t="s">
        <v>242</v>
      </c>
      <c r="B126">
        <v>100</v>
      </c>
      <c r="C126">
        <v>31</v>
      </c>
      <c r="D126">
        <v>53.9</v>
      </c>
      <c r="E126" t="str">
        <f t="shared" si="3"/>
        <v>Generator</v>
      </c>
    </row>
    <row r="127" spans="1:5" x14ac:dyDescent="0.25">
      <c r="A127" t="s">
        <v>434</v>
      </c>
      <c r="B127">
        <v>95</v>
      </c>
      <c r="C127">
        <v>2</v>
      </c>
      <c r="D127">
        <v>3.5</v>
      </c>
      <c r="E127" t="str">
        <f t="shared" si="3"/>
        <v>Generator</v>
      </c>
    </row>
    <row r="128" spans="1:5" x14ac:dyDescent="0.25">
      <c r="A128" t="s">
        <v>438</v>
      </c>
      <c r="B128">
        <v>75</v>
      </c>
      <c r="C128">
        <v>30</v>
      </c>
      <c r="D128">
        <v>52.2</v>
      </c>
      <c r="E128" t="str">
        <f t="shared" si="3"/>
        <v>Generator</v>
      </c>
    </row>
    <row r="129" spans="1:5" x14ac:dyDescent="0.25">
      <c r="A129" t="s">
        <v>460</v>
      </c>
      <c r="B129">
        <v>150</v>
      </c>
      <c r="C129">
        <v>48</v>
      </c>
      <c r="D129">
        <v>83.5</v>
      </c>
      <c r="E129" t="str">
        <f t="shared" si="3"/>
        <v>Generator</v>
      </c>
    </row>
    <row r="130" spans="1:5" x14ac:dyDescent="0.25">
      <c r="A130" t="s">
        <v>598</v>
      </c>
      <c r="B130">
        <v>150</v>
      </c>
      <c r="C130">
        <v>42</v>
      </c>
      <c r="D130">
        <v>73.099999999999994</v>
      </c>
      <c r="E130" t="str">
        <f t="shared" ref="E130:E161" si="4">IF(B130&gt;D130, "Generator", "Racks")</f>
        <v>Generator</v>
      </c>
    </row>
    <row r="131" spans="1:5" x14ac:dyDescent="0.25">
      <c r="A131" t="s">
        <v>257</v>
      </c>
      <c r="B131">
        <v>125</v>
      </c>
      <c r="C131">
        <v>36</v>
      </c>
      <c r="D131">
        <v>62.6</v>
      </c>
      <c r="E131" t="str">
        <f t="shared" si="4"/>
        <v>Generator</v>
      </c>
    </row>
    <row r="132" spans="1:5" x14ac:dyDescent="0.25">
      <c r="A132" t="s">
        <v>262</v>
      </c>
      <c r="C132">
        <v>3</v>
      </c>
      <c r="D132">
        <v>5.2</v>
      </c>
      <c r="E132" t="str">
        <f t="shared" si="4"/>
        <v>Racks</v>
      </c>
    </row>
    <row r="133" spans="1:5" x14ac:dyDescent="0.25">
      <c r="A133" t="s">
        <v>450</v>
      </c>
      <c r="C133">
        <v>5</v>
      </c>
      <c r="D133">
        <v>8.6999999999999993</v>
      </c>
      <c r="E133" t="str">
        <f t="shared" si="4"/>
        <v>Racks</v>
      </c>
    </row>
    <row r="134" spans="1:5" x14ac:dyDescent="0.25">
      <c r="A134" t="s">
        <v>602</v>
      </c>
      <c r="B134">
        <v>250</v>
      </c>
      <c r="C134">
        <v>160</v>
      </c>
      <c r="D134">
        <v>278.39999999999998</v>
      </c>
      <c r="E134" t="str">
        <f t="shared" si="4"/>
        <v>Racks</v>
      </c>
    </row>
    <row r="135" spans="1:5" x14ac:dyDescent="0.25">
      <c r="A135" t="s">
        <v>442</v>
      </c>
      <c r="B135">
        <v>30</v>
      </c>
      <c r="C135">
        <v>15</v>
      </c>
      <c r="D135">
        <v>26.1</v>
      </c>
      <c r="E135" t="str">
        <f t="shared" si="4"/>
        <v>Generator</v>
      </c>
    </row>
    <row r="136" spans="1:5" x14ac:dyDescent="0.25">
      <c r="A136" t="s">
        <v>454</v>
      </c>
      <c r="B136">
        <v>130</v>
      </c>
      <c r="C136">
        <v>9</v>
      </c>
      <c r="D136">
        <v>15.7</v>
      </c>
      <c r="E136" t="str">
        <f t="shared" si="4"/>
        <v>Generator</v>
      </c>
    </row>
    <row r="137" spans="1:5" x14ac:dyDescent="0.25">
      <c r="A137" t="s">
        <v>607</v>
      </c>
      <c r="B137">
        <v>55</v>
      </c>
      <c r="C137">
        <v>20</v>
      </c>
      <c r="D137">
        <v>34.799999999999997</v>
      </c>
      <c r="E137" t="str">
        <f t="shared" si="4"/>
        <v>Generator</v>
      </c>
    </row>
    <row r="138" spans="1:5" x14ac:dyDescent="0.25">
      <c r="A138" t="s">
        <v>266</v>
      </c>
      <c r="B138">
        <v>40</v>
      </c>
      <c r="C138">
        <v>25</v>
      </c>
      <c r="D138">
        <v>43.5</v>
      </c>
      <c r="E138" t="str">
        <f t="shared" si="4"/>
        <v>Racks</v>
      </c>
    </row>
    <row r="139" spans="1:5" x14ac:dyDescent="0.25">
      <c r="A139" t="s">
        <v>965</v>
      </c>
      <c r="B139">
        <v>95</v>
      </c>
      <c r="C139">
        <v>21</v>
      </c>
      <c r="D139">
        <v>36.5</v>
      </c>
      <c r="E139" t="str">
        <f t="shared" si="4"/>
        <v>Generator</v>
      </c>
    </row>
    <row r="140" spans="1:5" x14ac:dyDescent="0.25">
      <c r="A140" t="s">
        <v>611</v>
      </c>
      <c r="B140">
        <v>150</v>
      </c>
      <c r="C140">
        <v>121</v>
      </c>
      <c r="D140">
        <v>210.5</v>
      </c>
      <c r="E140" t="str">
        <f t="shared" si="4"/>
        <v>Racks</v>
      </c>
    </row>
    <row r="141" spans="1:5" x14ac:dyDescent="0.25">
      <c r="A141" t="s">
        <v>464</v>
      </c>
      <c r="B141">
        <v>100</v>
      </c>
      <c r="C141">
        <v>24</v>
      </c>
      <c r="D141">
        <v>41.8</v>
      </c>
      <c r="E141" t="str">
        <f t="shared" si="4"/>
        <v>Generator</v>
      </c>
    </row>
    <row r="142" spans="1:5" x14ac:dyDescent="0.25">
      <c r="A142" t="s">
        <v>2829</v>
      </c>
      <c r="B142">
        <v>105</v>
      </c>
      <c r="C142">
        <v>1</v>
      </c>
      <c r="D142">
        <v>1.7</v>
      </c>
      <c r="E142" t="str">
        <f t="shared" si="4"/>
        <v>Generator</v>
      </c>
    </row>
    <row r="143" spans="1:5" x14ac:dyDescent="0.25">
      <c r="A143" t="s">
        <v>469</v>
      </c>
      <c r="B143">
        <v>80</v>
      </c>
      <c r="C143">
        <v>32</v>
      </c>
      <c r="D143">
        <v>55.7</v>
      </c>
      <c r="E143" t="str">
        <f t="shared" si="4"/>
        <v>Generator</v>
      </c>
    </row>
    <row r="144" spans="1:5" x14ac:dyDescent="0.25">
      <c r="A144" t="s">
        <v>795</v>
      </c>
      <c r="B144">
        <v>200</v>
      </c>
      <c r="C144">
        <v>93</v>
      </c>
      <c r="D144">
        <v>161.80000000000001</v>
      </c>
      <c r="E144" t="str">
        <f t="shared" si="4"/>
        <v>Generator</v>
      </c>
    </row>
    <row r="145" spans="1:5" x14ac:dyDescent="0.25">
      <c r="A145" t="s">
        <v>790</v>
      </c>
      <c r="B145">
        <v>175</v>
      </c>
      <c r="C145">
        <v>57</v>
      </c>
      <c r="D145">
        <v>99.2</v>
      </c>
      <c r="E145" t="str">
        <f t="shared" si="4"/>
        <v>Generator</v>
      </c>
    </row>
    <row r="146" spans="1:5" x14ac:dyDescent="0.25">
      <c r="A146" t="s">
        <v>665</v>
      </c>
      <c r="B146">
        <v>75</v>
      </c>
      <c r="C146">
        <v>15</v>
      </c>
      <c r="D146">
        <v>26.1</v>
      </c>
      <c r="E146" t="str">
        <f t="shared" si="4"/>
        <v>Generator</v>
      </c>
    </row>
    <row r="147" spans="1:5" x14ac:dyDescent="0.25">
      <c r="A147" t="s">
        <v>281</v>
      </c>
      <c r="B147">
        <v>60</v>
      </c>
      <c r="C147">
        <v>32</v>
      </c>
      <c r="D147">
        <v>55.7</v>
      </c>
      <c r="E147" t="str">
        <f t="shared" si="4"/>
        <v>Generator</v>
      </c>
    </row>
    <row r="148" spans="1:5" x14ac:dyDescent="0.25">
      <c r="A148" t="s">
        <v>774</v>
      </c>
      <c r="B148">
        <v>200</v>
      </c>
      <c r="C148">
        <v>145</v>
      </c>
      <c r="D148">
        <v>252.3</v>
      </c>
      <c r="E148" t="str">
        <f t="shared" si="4"/>
        <v>Racks</v>
      </c>
    </row>
    <row r="149" spans="1:5" x14ac:dyDescent="0.25">
      <c r="A149" t="s">
        <v>778</v>
      </c>
      <c r="B149">
        <v>125</v>
      </c>
      <c r="C149">
        <v>25</v>
      </c>
      <c r="D149">
        <v>43.5</v>
      </c>
      <c r="E149" t="str">
        <f t="shared" si="4"/>
        <v>Generator</v>
      </c>
    </row>
    <row r="150" spans="1:5" x14ac:dyDescent="0.25">
      <c r="A150" t="s">
        <v>782</v>
      </c>
      <c r="B150">
        <v>100</v>
      </c>
      <c r="C150">
        <v>21</v>
      </c>
      <c r="D150">
        <v>36.5</v>
      </c>
      <c r="E150" t="str">
        <f t="shared" si="4"/>
        <v>Generator</v>
      </c>
    </row>
    <row r="151" spans="1:5" x14ac:dyDescent="0.25">
      <c r="A151" t="s">
        <v>786</v>
      </c>
      <c r="B151">
        <v>75</v>
      </c>
      <c r="C151">
        <v>24</v>
      </c>
      <c r="D151">
        <v>41.8</v>
      </c>
      <c r="E151" t="str">
        <f t="shared" si="4"/>
        <v>Generator</v>
      </c>
    </row>
    <row r="152" spans="1:5" x14ac:dyDescent="0.25">
      <c r="A152" t="s">
        <v>477</v>
      </c>
      <c r="B152">
        <v>350</v>
      </c>
      <c r="C152">
        <v>60</v>
      </c>
      <c r="D152">
        <v>104.4</v>
      </c>
      <c r="E152" t="str">
        <f t="shared" si="4"/>
        <v>Generator</v>
      </c>
    </row>
    <row r="153" spans="1:5" x14ac:dyDescent="0.25">
      <c r="A153" t="s">
        <v>616</v>
      </c>
      <c r="B153">
        <v>100</v>
      </c>
      <c r="C153">
        <v>42</v>
      </c>
      <c r="D153">
        <v>73.099999999999994</v>
      </c>
      <c r="E153" t="str">
        <f t="shared" si="4"/>
        <v>Generator</v>
      </c>
    </row>
    <row r="154" spans="1:5" x14ac:dyDescent="0.25">
      <c r="A154" t="s">
        <v>621</v>
      </c>
      <c r="B154">
        <v>150</v>
      </c>
      <c r="C154">
        <v>50</v>
      </c>
      <c r="D154">
        <v>87</v>
      </c>
      <c r="E154" t="str">
        <f t="shared" si="4"/>
        <v>Generator</v>
      </c>
    </row>
    <row r="155" spans="1:5" x14ac:dyDescent="0.25">
      <c r="A155" t="s">
        <v>971</v>
      </c>
      <c r="B155">
        <v>150</v>
      </c>
      <c r="C155">
        <v>35</v>
      </c>
      <c r="D155">
        <v>60.9</v>
      </c>
      <c r="E155" t="str">
        <f t="shared" si="4"/>
        <v>Generator</v>
      </c>
    </row>
    <row r="156" spans="1:5" x14ac:dyDescent="0.25">
      <c r="A156" t="s">
        <v>482</v>
      </c>
      <c r="C156">
        <v>4</v>
      </c>
      <c r="D156">
        <v>7</v>
      </c>
      <c r="E156" t="str">
        <f t="shared" si="4"/>
        <v>Racks</v>
      </c>
    </row>
    <row r="157" spans="1:5" x14ac:dyDescent="0.25">
      <c r="A157" t="s">
        <v>294</v>
      </c>
      <c r="B157">
        <v>40</v>
      </c>
      <c r="C157">
        <v>9</v>
      </c>
      <c r="D157">
        <v>15.7</v>
      </c>
      <c r="E157" t="str">
        <f t="shared" si="4"/>
        <v>Generator</v>
      </c>
    </row>
    <row r="158" spans="1:5" x14ac:dyDescent="0.25">
      <c r="A158" t="s">
        <v>800</v>
      </c>
      <c r="B158">
        <v>102</v>
      </c>
      <c r="C158">
        <v>30</v>
      </c>
      <c r="D158">
        <v>52.2</v>
      </c>
      <c r="E158" t="str">
        <f t="shared" si="4"/>
        <v>Generator</v>
      </c>
    </row>
    <row r="159" spans="1:5" x14ac:dyDescent="0.25">
      <c r="A159" t="s">
        <v>805</v>
      </c>
      <c r="B159">
        <v>60</v>
      </c>
      <c r="C159">
        <v>15</v>
      </c>
      <c r="D159">
        <v>26.1</v>
      </c>
      <c r="E159" t="str">
        <f t="shared" si="4"/>
        <v>Generator</v>
      </c>
    </row>
    <row r="160" spans="1:5" x14ac:dyDescent="0.25">
      <c r="A160" t="s">
        <v>869</v>
      </c>
      <c r="B160">
        <v>75</v>
      </c>
      <c r="C160">
        <v>1</v>
      </c>
      <c r="D160">
        <v>1.7</v>
      </c>
      <c r="E160" t="str">
        <f t="shared" si="4"/>
        <v>Generator</v>
      </c>
    </row>
    <row r="161" spans="1:5" x14ac:dyDescent="0.25">
      <c r="A161" t="s">
        <v>873</v>
      </c>
      <c r="B161">
        <v>100</v>
      </c>
      <c r="C161">
        <v>37</v>
      </c>
      <c r="D161">
        <v>64.400000000000006</v>
      </c>
      <c r="E161" t="str">
        <f t="shared" si="4"/>
        <v>Generator</v>
      </c>
    </row>
    <row r="162" spans="1:5" x14ac:dyDescent="0.25">
      <c r="A162" t="s">
        <v>877</v>
      </c>
      <c r="B162">
        <v>350</v>
      </c>
      <c r="C162">
        <v>55</v>
      </c>
      <c r="D162">
        <v>95.7</v>
      </c>
      <c r="E162" t="str">
        <f t="shared" ref="E162:E193" si="5">IF(B162&gt;D162, "Generator", "Racks")</f>
        <v>Generator</v>
      </c>
    </row>
    <row r="163" spans="1:5" x14ac:dyDescent="0.25">
      <c r="A163" t="s">
        <v>286</v>
      </c>
      <c r="C163">
        <v>4</v>
      </c>
      <c r="D163">
        <v>7</v>
      </c>
      <c r="E163" t="str">
        <f t="shared" si="5"/>
        <v>Racks</v>
      </c>
    </row>
    <row r="164" spans="1:5" x14ac:dyDescent="0.25">
      <c r="A164" t="s">
        <v>290</v>
      </c>
      <c r="B164">
        <v>150</v>
      </c>
      <c r="C164">
        <v>95</v>
      </c>
      <c r="D164">
        <v>165.3</v>
      </c>
      <c r="E164" t="str">
        <f t="shared" si="5"/>
        <v>Racks</v>
      </c>
    </row>
    <row r="165" spans="1:5" x14ac:dyDescent="0.25">
      <c r="A165" t="s">
        <v>810</v>
      </c>
      <c r="B165">
        <v>125</v>
      </c>
      <c r="C165">
        <v>20</v>
      </c>
      <c r="D165">
        <v>34.799999999999997</v>
      </c>
      <c r="E165" t="str">
        <f t="shared" si="5"/>
        <v>Generator</v>
      </c>
    </row>
    <row r="166" spans="1:5" x14ac:dyDescent="0.25">
      <c r="A166" t="s">
        <v>815</v>
      </c>
      <c r="B166">
        <v>60</v>
      </c>
      <c r="C166">
        <v>18</v>
      </c>
      <c r="D166">
        <v>31.3</v>
      </c>
      <c r="E166" t="str">
        <f t="shared" si="5"/>
        <v>Generator</v>
      </c>
    </row>
    <row r="167" spans="1:5" x14ac:dyDescent="0.25">
      <c r="A167" t="s">
        <v>974</v>
      </c>
      <c r="B167">
        <v>275</v>
      </c>
      <c r="C167">
        <v>36</v>
      </c>
      <c r="D167">
        <v>62.6</v>
      </c>
      <c r="E167" t="str">
        <f t="shared" si="5"/>
        <v>Generator</v>
      </c>
    </row>
    <row r="168" spans="1:5" x14ac:dyDescent="0.25">
      <c r="A168" t="s">
        <v>820</v>
      </c>
      <c r="B168">
        <v>90</v>
      </c>
      <c r="C168">
        <v>18</v>
      </c>
      <c r="D168">
        <v>31.3</v>
      </c>
      <c r="E168" t="str">
        <f t="shared" si="5"/>
        <v>Generator</v>
      </c>
    </row>
    <row r="169" spans="1:5" x14ac:dyDescent="0.25">
      <c r="A169" t="s">
        <v>3106</v>
      </c>
      <c r="B169">
        <v>100</v>
      </c>
      <c r="C169">
        <v>27</v>
      </c>
      <c r="D169">
        <v>47</v>
      </c>
      <c r="E169" t="str">
        <f t="shared" si="5"/>
        <v>Generator</v>
      </c>
    </row>
    <row r="170" spans="1:5" x14ac:dyDescent="0.25">
      <c r="A170" t="s">
        <v>571</v>
      </c>
      <c r="B170">
        <v>100</v>
      </c>
      <c r="C170">
        <v>73</v>
      </c>
      <c r="D170">
        <v>127</v>
      </c>
      <c r="E170" t="str">
        <f t="shared" si="5"/>
        <v>Racks</v>
      </c>
    </row>
    <row r="171" spans="1:5" x14ac:dyDescent="0.25">
      <c r="A171" t="s">
        <v>987</v>
      </c>
      <c r="B171">
        <v>350</v>
      </c>
      <c r="C171">
        <v>64</v>
      </c>
      <c r="D171">
        <v>111.4</v>
      </c>
      <c r="E171" t="str">
        <f t="shared" si="5"/>
        <v>Generator</v>
      </c>
    </row>
    <row r="172" spans="1:5" x14ac:dyDescent="0.25">
      <c r="A172" t="s">
        <v>992</v>
      </c>
      <c r="B172">
        <v>600</v>
      </c>
      <c r="C172">
        <v>159</v>
      </c>
      <c r="D172">
        <v>276.7</v>
      </c>
      <c r="E172" t="str">
        <f t="shared" si="5"/>
        <v>Generator</v>
      </c>
    </row>
    <row r="173" spans="1:5" x14ac:dyDescent="0.25">
      <c r="A173" t="s">
        <v>3138</v>
      </c>
      <c r="C173">
        <v>3</v>
      </c>
      <c r="D173">
        <v>5.2</v>
      </c>
      <c r="E173" t="str">
        <f t="shared" si="5"/>
        <v>Racks</v>
      </c>
    </row>
    <row r="174" spans="1:5" x14ac:dyDescent="0.25">
      <c r="A174" t="s">
        <v>631</v>
      </c>
      <c r="B174">
        <v>60</v>
      </c>
      <c r="C174">
        <v>22</v>
      </c>
      <c r="D174">
        <v>38.299999999999997</v>
      </c>
      <c r="E174" t="str">
        <f t="shared" si="5"/>
        <v>Generator</v>
      </c>
    </row>
    <row r="175" spans="1:5" x14ac:dyDescent="0.25">
      <c r="A175" t="s">
        <v>626</v>
      </c>
      <c r="B175">
        <v>60</v>
      </c>
      <c r="C175">
        <v>44</v>
      </c>
      <c r="D175">
        <v>76.599999999999994</v>
      </c>
      <c r="E175" t="str">
        <f t="shared" si="5"/>
        <v>Racks</v>
      </c>
    </row>
    <row r="176" spans="1:5" x14ac:dyDescent="0.25">
      <c r="A176" t="s">
        <v>66</v>
      </c>
      <c r="B176">
        <v>200</v>
      </c>
      <c r="C176">
        <v>33</v>
      </c>
      <c r="D176">
        <v>57.4</v>
      </c>
      <c r="E176" t="str">
        <f t="shared" si="5"/>
        <v>Generator</v>
      </c>
    </row>
    <row r="177" spans="1:5" x14ac:dyDescent="0.25">
      <c r="A177" t="s">
        <v>882</v>
      </c>
      <c r="B177">
        <v>60</v>
      </c>
      <c r="C177">
        <v>28</v>
      </c>
      <c r="D177">
        <v>48.7</v>
      </c>
      <c r="E177" t="str">
        <f t="shared" si="5"/>
        <v>Generator</v>
      </c>
    </row>
    <row r="178" spans="1:5" x14ac:dyDescent="0.25">
      <c r="A178" t="s">
        <v>299</v>
      </c>
      <c r="B178">
        <v>100</v>
      </c>
      <c r="C178">
        <v>33</v>
      </c>
      <c r="D178">
        <v>57.4</v>
      </c>
      <c r="E178" t="str">
        <f t="shared" si="5"/>
        <v>Generator</v>
      </c>
    </row>
    <row r="179" spans="1:5" x14ac:dyDescent="0.25">
      <c r="A179" t="s">
        <v>996</v>
      </c>
      <c r="B179">
        <v>230</v>
      </c>
      <c r="C179">
        <v>29</v>
      </c>
      <c r="D179">
        <v>50.5</v>
      </c>
      <c r="E179" t="str">
        <f t="shared" si="5"/>
        <v>Generator</v>
      </c>
    </row>
    <row r="180" spans="1:5" x14ac:dyDescent="0.25">
      <c r="A180" t="s">
        <v>983</v>
      </c>
      <c r="B180">
        <v>285</v>
      </c>
      <c r="C180">
        <v>54</v>
      </c>
      <c r="D180">
        <v>94</v>
      </c>
      <c r="E180" t="str">
        <f t="shared" si="5"/>
        <v>Generator</v>
      </c>
    </row>
    <row r="181" spans="1:5" x14ac:dyDescent="0.25">
      <c r="A181" t="s">
        <v>304</v>
      </c>
      <c r="B181">
        <v>60</v>
      </c>
      <c r="C181">
        <v>12</v>
      </c>
      <c r="D181">
        <v>20.9</v>
      </c>
      <c r="E181" t="str">
        <f t="shared" si="5"/>
        <v>Generator</v>
      </c>
    </row>
    <row r="182" spans="1:5" x14ac:dyDescent="0.25">
      <c r="A182" t="s">
        <v>887</v>
      </c>
      <c r="B182">
        <v>350</v>
      </c>
      <c r="C182">
        <v>33</v>
      </c>
      <c r="D182">
        <v>57.4</v>
      </c>
      <c r="E182" t="str">
        <f t="shared" si="5"/>
        <v>Generator</v>
      </c>
    </row>
    <row r="183" spans="1:5" x14ac:dyDescent="0.25">
      <c r="A183" t="s">
        <v>310</v>
      </c>
      <c r="B183">
        <v>150</v>
      </c>
      <c r="C183">
        <v>53</v>
      </c>
      <c r="D183">
        <v>92.2</v>
      </c>
      <c r="E183" t="str">
        <f t="shared" si="5"/>
        <v>Generator</v>
      </c>
    </row>
    <row r="184" spans="1:5" x14ac:dyDescent="0.25">
      <c r="A184" t="s">
        <v>314</v>
      </c>
      <c r="B184">
        <v>90</v>
      </c>
      <c r="C184">
        <v>15</v>
      </c>
      <c r="D184">
        <v>26.1</v>
      </c>
      <c r="E184" t="str">
        <f t="shared" si="5"/>
        <v>Generator</v>
      </c>
    </row>
    <row r="185" spans="1:5" x14ac:dyDescent="0.25">
      <c r="A185" t="s">
        <v>494</v>
      </c>
      <c r="B185">
        <v>135</v>
      </c>
      <c r="C185">
        <v>23</v>
      </c>
      <c r="D185">
        <v>40</v>
      </c>
      <c r="E185" t="str">
        <f t="shared" si="5"/>
        <v>Generator</v>
      </c>
    </row>
    <row r="186" spans="1:5" x14ac:dyDescent="0.25">
      <c r="A186" t="s">
        <v>488</v>
      </c>
      <c r="B186">
        <v>105</v>
      </c>
      <c r="C186">
        <v>25</v>
      </c>
      <c r="D186">
        <v>43.5</v>
      </c>
      <c r="E186" t="str">
        <f t="shared" si="5"/>
        <v>Generator</v>
      </c>
    </row>
    <row r="187" spans="1:5" x14ac:dyDescent="0.25">
      <c r="A187" t="s">
        <v>498</v>
      </c>
      <c r="B187">
        <v>55</v>
      </c>
      <c r="C187">
        <v>10</v>
      </c>
      <c r="D187">
        <v>17.399999999999999</v>
      </c>
      <c r="E187" t="str">
        <f t="shared" si="5"/>
        <v>Generator</v>
      </c>
    </row>
    <row r="188" spans="1:5" x14ac:dyDescent="0.25">
      <c r="A188" t="s">
        <v>318</v>
      </c>
      <c r="B188">
        <v>50</v>
      </c>
      <c r="C188">
        <v>21</v>
      </c>
      <c r="D188">
        <v>36.5</v>
      </c>
      <c r="E188" t="str">
        <f t="shared" si="5"/>
        <v>Generator</v>
      </c>
    </row>
    <row r="189" spans="1:5" x14ac:dyDescent="0.25">
      <c r="A189" t="s">
        <v>979</v>
      </c>
      <c r="C189">
        <v>10</v>
      </c>
      <c r="D189">
        <v>17.399999999999999</v>
      </c>
      <c r="E189" t="str">
        <f t="shared" si="5"/>
        <v>Racks</v>
      </c>
    </row>
    <row r="190" spans="1:5" x14ac:dyDescent="0.25">
      <c r="A190" t="s">
        <v>3403</v>
      </c>
      <c r="E190" t="str">
        <f t="shared" si="5"/>
        <v>Racks</v>
      </c>
    </row>
    <row r="191" spans="1:5" x14ac:dyDescent="0.25">
      <c r="A191" t="s">
        <v>3291</v>
      </c>
      <c r="B191">
        <v>115</v>
      </c>
      <c r="C191">
        <v>99</v>
      </c>
      <c r="D191">
        <v>172.3</v>
      </c>
      <c r="E191" t="str">
        <f t="shared" si="5"/>
        <v>Racks</v>
      </c>
    </row>
    <row r="192" spans="1:5" x14ac:dyDescent="0.25">
      <c r="A192" t="s">
        <v>3300</v>
      </c>
      <c r="B192">
        <v>150</v>
      </c>
      <c r="C192">
        <v>13</v>
      </c>
      <c r="D192">
        <v>22.6</v>
      </c>
      <c r="E192" t="str">
        <f t="shared" si="5"/>
        <v>Generator</v>
      </c>
    </row>
    <row r="193" spans="1:5" x14ac:dyDescent="0.25">
      <c r="A193" t="s">
        <v>71</v>
      </c>
      <c r="B193">
        <v>60</v>
      </c>
      <c r="C193">
        <v>2</v>
      </c>
      <c r="D193">
        <v>3.5</v>
      </c>
      <c r="E193" t="str">
        <f t="shared" si="5"/>
        <v>Generator</v>
      </c>
    </row>
    <row r="194" spans="1:5" x14ac:dyDescent="0.25">
      <c r="A194" t="s">
        <v>636</v>
      </c>
      <c r="B194">
        <v>155</v>
      </c>
      <c r="C194">
        <v>44</v>
      </c>
      <c r="D194">
        <v>76.599999999999994</v>
      </c>
      <c r="E194" t="str">
        <f t="shared" ref="E194:E201" si="6">IF(B194&gt;D194, "Generator", "Racks")</f>
        <v>Generator</v>
      </c>
    </row>
    <row r="195" spans="1:5" x14ac:dyDescent="0.25">
      <c r="A195" t="s">
        <v>503</v>
      </c>
      <c r="B195">
        <v>100</v>
      </c>
      <c r="C195">
        <v>33</v>
      </c>
      <c r="D195">
        <v>57.4</v>
      </c>
      <c r="E195" t="str">
        <f t="shared" si="6"/>
        <v>Generator</v>
      </c>
    </row>
    <row r="196" spans="1:5" x14ac:dyDescent="0.25">
      <c r="A196" t="s">
        <v>75</v>
      </c>
      <c r="B196">
        <v>80</v>
      </c>
      <c r="C196">
        <v>19</v>
      </c>
      <c r="D196">
        <v>33.1</v>
      </c>
      <c r="E196" t="str">
        <f t="shared" si="6"/>
        <v>Generator</v>
      </c>
    </row>
    <row r="197" spans="1:5" x14ac:dyDescent="0.25">
      <c r="A197" t="s">
        <v>900</v>
      </c>
      <c r="B197">
        <v>400</v>
      </c>
      <c r="C197">
        <v>38</v>
      </c>
      <c r="D197">
        <v>66.099999999999994</v>
      </c>
      <c r="E197" t="str">
        <f t="shared" si="6"/>
        <v>Generator</v>
      </c>
    </row>
    <row r="198" spans="1:5" x14ac:dyDescent="0.25">
      <c r="A198" t="s">
        <v>508</v>
      </c>
      <c r="B198">
        <v>55</v>
      </c>
      <c r="C198">
        <v>28</v>
      </c>
      <c r="D198">
        <v>48.7</v>
      </c>
      <c r="E198" t="str">
        <f t="shared" si="6"/>
        <v>Generator</v>
      </c>
    </row>
    <row r="199" spans="1:5" x14ac:dyDescent="0.25">
      <c r="A199" t="s">
        <v>323</v>
      </c>
      <c r="B199">
        <v>350</v>
      </c>
      <c r="C199">
        <v>119</v>
      </c>
      <c r="D199">
        <v>207.1</v>
      </c>
      <c r="E199" t="str">
        <f t="shared" si="6"/>
        <v>Generator</v>
      </c>
    </row>
    <row r="200" spans="1:5" x14ac:dyDescent="0.25">
      <c r="A200" t="s">
        <v>937</v>
      </c>
      <c r="B200">
        <v>85</v>
      </c>
      <c r="C200">
        <v>9</v>
      </c>
      <c r="D200">
        <v>15.7</v>
      </c>
      <c r="E200" t="str">
        <f t="shared" si="6"/>
        <v>Generator</v>
      </c>
    </row>
    <row r="201" spans="1:5" x14ac:dyDescent="0.25">
      <c r="A201" t="s">
        <v>641</v>
      </c>
      <c r="B201">
        <v>240</v>
      </c>
      <c r="C201">
        <v>54</v>
      </c>
      <c r="D201">
        <v>94</v>
      </c>
      <c r="E201" t="str">
        <f t="shared" si="6"/>
        <v>Generator</v>
      </c>
    </row>
  </sheetData>
  <autoFilter ref="A1:E201" xr:uid="{410EB576-6844-4F25-BECD-F69B680520C2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4E1A7-3B8B-4D46-B726-34C3E0811773}">
  <dimension ref="B2:S47"/>
  <sheetViews>
    <sheetView tabSelected="1" zoomScale="70" zoomScaleNormal="70" workbookViewId="0">
      <selection activeCell="N3" sqref="N3"/>
    </sheetView>
  </sheetViews>
  <sheetFormatPr defaultColWidth="8.7109375" defaultRowHeight="15" x14ac:dyDescent="0.25"/>
  <cols>
    <col min="1" max="1" width="8.7109375" style="51"/>
    <col min="2" max="2" width="5" style="51" customWidth="1"/>
    <col min="3" max="3" width="22.42578125" style="51" customWidth="1"/>
    <col min="4" max="4" width="18.7109375" style="51" customWidth="1"/>
    <col min="5" max="5" width="7" style="51" customWidth="1"/>
    <col min="6" max="6" width="14" style="51" customWidth="1"/>
    <col min="7" max="7" width="38.28515625" style="51" customWidth="1"/>
    <col min="8" max="8" width="10" style="51" customWidth="1"/>
    <col min="9" max="9" width="11" style="51" customWidth="1"/>
    <col min="10" max="10" width="13" style="51" customWidth="1"/>
    <col min="11" max="12" width="20" style="51" customWidth="1"/>
    <col min="13" max="13" width="14" style="51" customWidth="1"/>
    <col min="14" max="14" width="42.140625" style="51" customWidth="1"/>
    <col min="15" max="16384" width="8.7109375" style="51"/>
  </cols>
  <sheetData>
    <row r="2" spans="2:19" x14ac:dyDescent="0.25">
      <c r="B2" s="51" t="s">
        <v>3694</v>
      </c>
      <c r="C2" s="51" t="s">
        <v>0</v>
      </c>
      <c r="D2" s="51" t="s">
        <v>9</v>
      </c>
      <c r="E2" s="51" t="s">
        <v>10</v>
      </c>
      <c r="F2" s="51" t="s">
        <v>3695</v>
      </c>
      <c r="G2" s="51" t="s">
        <v>3696</v>
      </c>
      <c r="H2" s="51" t="s">
        <v>3697</v>
      </c>
      <c r="I2" s="51" t="s">
        <v>3698</v>
      </c>
      <c r="J2" s="51" t="s">
        <v>3699</v>
      </c>
      <c r="K2" s="51" t="s">
        <v>3700</v>
      </c>
      <c r="L2" s="51" t="s">
        <v>3701</v>
      </c>
      <c r="M2" s="51" t="s">
        <v>3702</v>
      </c>
      <c r="N2" s="51" t="s">
        <v>4396</v>
      </c>
      <c r="O2" s="51" t="s">
        <v>4395</v>
      </c>
      <c r="P2" s="51" t="s">
        <v>3948</v>
      </c>
      <c r="Q2" t="s">
        <v>3950</v>
      </c>
      <c r="R2" t="s">
        <v>3951</v>
      </c>
    </row>
    <row r="3" spans="2:19" x14ac:dyDescent="0.25">
      <c r="B3" s="52">
        <v>1</v>
      </c>
      <c r="C3" s="53" t="s">
        <v>647</v>
      </c>
      <c r="D3" s="53" t="s">
        <v>650</v>
      </c>
      <c r="E3" s="53" t="s">
        <v>651</v>
      </c>
      <c r="F3" s="53" t="s">
        <v>3703</v>
      </c>
      <c r="G3" s="53" t="s">
        <v>649</v>
      </c>
      <c r="H3" s="54">
        <v>35.134700000000002</v>
      </c>
      <c r="I3" s="54">
        <v>-79.4268</v>
      </c>
      <c r="J3" s="55">
        <f>INDEX(WS_Sites_Parcel_Sizes_FINAL!$I:$I, MATCH('Site detail lookup'!$C3, WS_Sites_Parcel_Sizes_FINAL!$A:$A, 0))</f>
        <v>1.3423</v>
      </c>
      <c r="K3" s="56">
        <f>INDEX('Top 200 COs'!X:X, MATCH('Site detail lookup'!$C3, 'Top 200 COs'!$C:$C, 0))</f>
        <v>27</v>
      </c>
      <c r="L3" s="56">
        <f>INDEX(WS_Top200_Existing_Power!B:B, MATCH('Site detail lookup'!C3, WS_Top200_Existing_Power!A:A, 0))</f>
        <v>100</v>
      </c>
      <c r="M3" s="56">
        <f>INDEX('Top 200 COs'!W:W, MATCH('Site detail lookup'!$C3, 'Top 200 COs'!$C:$C, 0))</f>
        <v>3604</v>
      </c>
      <c r="O3" s="51">
        <f>INDEX(WS_Top200_Transm_Dist_2!G:G, MATCH('Site detail lookup'!$C3, WS_Top200_Transm_Dist_2!$B:$B, 0))/5280</f>
        <v>0.94715909090909089</v>
      </c>
      <c r="P3" s="51">
        <f>INDEX(WS_Top200_Transm_Dist_2!O:O, MATCH('Site detail lookup'!$C3, WS_Top200_Transm_Dist_2!$B:$B, 0))</f>
        <v>-999999</v>
      </c>
      <c r="Q3" s="51" t="str">
        <f>INDEX(WS_Top200_Transm_Dist_2!I:I, MATCH('Site detail lookup'!$C3, WS_Top200_Transm_Dist_2!$B:$B, 0))</f>
        <v>TAP147638</v>
      </c>
      <c r="R3" s="51" t="str">
        <f>INDEX(WS_Top200_Transm_Dist_2!J:J, MATCH('Site detail lookup'!$C3, WS_Top200_Transm_Dist_2!$B:$B, 0))</f>
        <v>TAP147639</v>
      </c>
      <c r="S3" t="s">
        <v>4397</v>
      </c>
    </row>
    <row r="4" spans="2:19" x14ac:dyDescent="0.25">
      <c r="B4" s="52">
        <v>2</v>
      </c>
      <c r="C4" s="53" t="s">
        <v>654</v>
      </c>
      <c r="D4" s="53" t="s">
        <v>657</v>
      </c>
      <c r="E4" s="53" t="s">
        <v>651</v>
      </c>
      <c r="F4" s="53" t="s">
        <v>3704</v>
      </c>
      <c r="G4" s="53" t="s">
        <v>656</v>
      </c>
      <c r="H4" s="54">
        <v>35.353999999999999</v>
      </c>
      <c r="I4" s="54">
        <v>-80.199100000000001</v>
      </c>
      <c r="J4" s="55">
        <f>INDEX(WS_Sites_Parcel_Sizes_FINAL!$I:$I, MATCH('Site detail lookup'!$C4, WS_Sites_Parcel_Sizes_FINAL!$A:$A, 0))</f>
        <v>0.84230000000000005</v>
      </c>
      <c r="K4" s="56">
        <f>INDEX('Top 200 COs'!X:X, MATCH('Site detail lookup'!$C4, 'Top 200 COs'!$C:$C, 0))</f>
        <v>55</v>
      </c>
      <c r="L4" s="56">
        <f>INDEX(WS_Top200_Existing_Power!B:B, MATCH('Site detail lookup'!C4, WS_Top200_Existing_Power!A:A, 0))</f>
        <v>350</v>
      </c>
      <c r="M4" s="56">
        <f>INDEX('Top 200 COs'!W:W, MATCH('Site detail lookup'!$C4, 'Top 200 COs'!$C:$C, 0))</f>
        <v>8000</v>
      </c>
      <c r="O4" s="51">
        <f>INDEX(WS_Top200_Transm_Dist_2!G:G, MATCH('Site detail lookup'!$C4, WS_Top200_Transm_Dist_2!$B:$B, 0))/5280</f>
        <v>0.28276515151515152</v>
      </c>
      <c r="P4" s="51">
        <f>INDEX(WS_Top200_Transm_Dist_2!O:O, MATCH('Site detail lookup'!$C4, WS_Top200_Transm_Dist_2!$B:$B, 0))</f>
        <v>100</v>
      </c>
      <c r="Q4" s="51" t="str">
        <f>INDEX(WS_Top200_Transm_Dist_2!I:I, MATCH('Site detail lookup'!$C4, WS_Top200_Transm_Dist_2!$B:$B, 0))</f>
        <v>UNKNOWN114426</v>
      </c>
      <c r="R4" s="51" t="str">
        <f>INDEX(WS_Top200_Transm_Dist_2!J:J, MATCH('Site detail lookup'!$C4, WS_Top200_Transm_Dist_2!$B:$B, 0))</f>
        <v>TAP150528</v>
      </c>
    </row>
    <row r="5" spans="2:19" x14ac:dyDescent="0.25">
      <c r="B5" s="52">
        <v>3</v>
      </c>
      <c r="C5" s="53" t="s">
        <v>660</v>
      </c>
      <c r="D5" s="53" t="s">
        <v>663</v>
      </c>
      <c r="E5" s="53" t="s">
        <v>651</v>
      </c>
      <c r="F5" s="53" t="s">
        <v>3705</v>
      </c>
      <c r="G5" s="53" t="s">
        <v>662</v>
      </c>
      <c r="H5" s="54">
        <v>35.556899999999999</v>
      </c>
      <c r="I5" s="54">
        <v>-80.5959</v>
      </c>
      <c r="J5" s="55">
        <f>INDEX(WS_Sites_Parcel_Sizes_FINAL!$I:$I, MATCH('Site detail lookup'!$C5, WS_Sites_Parcel_Sizes_FINAL!$A:$A, 0))</f>
        <v>0.42380000000000001</v>
      </c>
      <c r="K5" s="56">
        <f>INDEX('Top 200 COs'!X:X, MATCH('Site detail lookup'!$C5, 'Top 200 COs'!$C:$C, 0))</f>
        <v>38</v>
      </c>
      <c r="L5" s="56">
        <f>INDEX(WS_Top200_Existing_Power!B:B, MATCH('Site detail lookup'!C5, WS_Top200_Existing_Power!A:A, 0))</f>
        <v>350</v>
      </c>
      <c r="M5" s="56">
        <f>INDEX('Top 200 COs'!W:W, MATCH('Site detail lookup'!$C5, 'Top 200 COs'!$C:$C, 0))</f>
        <v>12000</v>
      </c>
      <c r="O5" s="51">
        <f>INDEX(WS_Top200_Transm_Dist_2!G:G, MATCH('Site detail lookup'!$C5, WS_Top200_Transm_Dist_2!$B:$B, 0))/5280</f>
        <v>0.13977272727272727</v>
      </c>
      <c r="P5" s="51">
        <f>INDEX(WS_Top200_Transm_Dist_2!O:O, MATCH('Site detail lookup'!$C5, WS_Top200_Transm_Dist_2!$B:$B, 0))</f>
        <v>100</v>
      </c>
      <c r="Q5" s="51" t="str">
        <f>INDEX(WS_Top200_Transm_Dist_2!I:I, MATCH('Site detail lookup'!$C5, WS_Top200_Transm_Dist_2!$B:$B, 0))</f>
        <v>UNKNOWN114688</v>
      </c>
      <c r="R5" s="51" t="str">
        <f>INDEX(WS_Top200_Transm_Dist_2!J:J, MATCH('Site detail lookup'!$C5, WS_Top200_Transm_Dist_2!$B:$B, 0))</f>
        <v>UNKNOWN114689</v>
      </c>
    </row>
    <row r="6" spans="2:19" x14ac:dyDescent="0.25">
      <c r="B6" s="52">
        <v>4</v>
      </c>
      <c r="C6" s="57" t="s">
        <v>687</v>
      </c>
      <c r="D6" s="53" t="s">
        <v>3706</v>
      </c>
      <c r="E6" s="53" t="s">
        <v>675</v>
      </c>
      <c r="F6" s="53" t="s">
        <v>3707</v>
      </c>
      <c r="G6" s="53" t="s">
        <v>689</v>
      </c>
      <c r="H6" s="54">
        <v>40.0595</v>
      </c>
      <c r="I6" s="54">
        <v>-81.220399999999998</v>
      </c>
      <c r="J6" s="55">
        <f>INDEX(WS_Sites_Parcel_Sizes_FINAL!$I:$I, MATCH('Site detail lookup'!$C6, WS_Sites_Parcel_Sizes_FINAL!$A:$A, 0))</f>
        <v>0.96840000000000004</v>
      </c>
      <c r="K6" s="56">
        <f>INDEX('Top 200 COs'!X:X, MATCH('Site detail lookup'!$C6, 'Top 200 COs'!$C:$C, 0))</f>
        <v>28</v>
      </c>
      <c r="L6" s="56">
        <f>INDEX(WS_Top200_Existing_Power!B:B, MATCH('Site detail lookup'!C6, WS_Top200_Existing_Power!A:A, 0))</f>
        <v>100</v>
      </c>
      <c r="M6" s="56">
        <f>INDEX('Top 200 COs'!W:W, MATCH('Site detail lookup'!$C6, 'Top 200 COs'!$C:$C, 0))</f>
        <v>3022</v>
      </c>
      <c r="O6" s="51">
        <f>INDEX(WS_Top200_Transm_Dist_2!G:G, MATCH('Site detail lookup'!$C6, WS_Top200_Transm_Dist_2!$B:$B, 0))/5280</f>
        <v>5.5757575757575761</v>
      </c>
      <c r="P6" s="51">
        <f>INDEX(WS_Top200_Transm_Dist_2!O:O, MATCH('Site detail lookup'!$C6, WS_Top200_Transm_Dist_2!$B:$B, 0))</f>
        <v>138</v>
      </c>
      <c r="Q6" s="51" t="str">
        <f>INDEX(WS_Top200_Transm_Dist_2!I:I, MATCH('Site detail lookup'!$C6, WS_Top200_Transm_Dist_2!$B:$B, 0))</f>
        <v>SPEIDEL</v>
      </c>
      <c r="R6" s="51" t="str">
        <f>INDEX(WS_Top200_Transm_Dist_2!J:J, MATCH('Site detail lookup'!$C6, WS_Top200_Transm_Dist_2!$B:$B, 0))</f>
        <v>BARNESVILLE</v>
      </c>
    </row>
    <row r="7" spans="2:19" x14ac:dyDescent="0.25">
      <c r="B7" s="52">
        <v>5</v>
      </c>
      <c r="C7" s="53" t="s">
        <v>833</v>
      </c>
      <c r="D7" s="53" t="s">
        <v>3708</v>
      </c>
      <c r="E7" s="53" t="s">
        <v>675</v>
      </c>
      <c r="F7" s="53" t="s">
        <v>3708</v>
      </c>
      <c r="G7" s="53" t="s">
        <v>835</v>
      </c>
      <c r="H7" s="54">
        <v>41.865499999999997</v>
      </c>
      <c r="I7" s="54">
        <v>-80.7834</v>
      </c>
      <c r="J7" s="55">
        <f>INDEX(WS_Sites_Parcel_Sizes_FINAL!$I:$I, MATCH('Site detail lookup'!$C7, WS_Sites_Parcel_Sizes_FINAL!$A:$A, 0))</f>
        <v>0.33760000000000001</v>
      </c>
      <c r="K7" s="56">
        <f>INDEX('Top 200 COs'!X:X, MATCH('Site detail lookup'!$C7, 'Top 200 COs'!$C:$C, 0))</f>
        <v>125</v>
      </c>
      <c r="L7" s="56">
        <f>INDEX(WS_Top200_Existing_Power!B:B, MATCH('Site detail lookup'!C7, WS_Top200_Existing_Power!A:A, 0))</f>
        <v>300</v>
      </c>
      <c r="M7" s="56">
        <f>INDEX('Top 200 COs'!W:W, MATCH('Site detail lookup'!$C7, 'Top 200 COs'!$C:$C, 0))</f>
        <v>30000</v>
      </c>
      <c r="O7" s="51">
        <f>INDEX(WS_Top200_Transm_Dist_2!G:G, MATCH('Site detail lookup'!$C7, WS_Top200_Transm_Dist_2!$B:$B, 0))/5280</f>
        <v>1.0676136363636364</v>
      </c>
      <c r="P7" s="51">
        <f>INDEX(WS_Top200_Transm_Dist_2!O:O, MATCH('Site detail lookup'!$C7, WS_Top200_Transm_Dist_2!$B:$B, 0))</f>
        <v>345</v>
      </c>
      <c r="Q7" s="51" t="str">
        <f>INDEX(WS_Top200_Transm_Dist_2!I:I, MATCH('Site detail lookup'!$C7, WS_Top200_Transm_Dist_2!$B:$B, 0))</f>
        <v>TAP136893</v>
      </c>
      <c r="R7" s="51" t="str">
        <f>INDEX(WS_Top200_Transm_Dist_2!J:J, MATCH('Site detail lookup'!$C7, WS_Top200_Transm_Dist_2!$B:$B, 0))</f>
        <v>PERRY</v>
      </c>
    </row>
    <row r="8" spans="2:19" x14ac:dyDescent="0.25">
      <c r="B8" s="52">
        <v>6</v>
      </c>
      <c r="C8" s="53" t="s">
        <v>682</v>
      </c>
      <c r="D8" s="53" t="s">
        <v>3709</v>
      </c>
      <c r="E8" s="53" t="s">
        <v>675</v>
      </c>
      <c r="F8" s="53" t="s">
        <v>3710</v>
      </c>
      <c r="G8" s="53" t="s">
        <v>684</v>
      </c>
      <c r="H8" s="54">
        <v>41.3857</v>
      </c>
      <c r="I8" s="54">
        <v>-81.340599999999995</v>
      </c>
      <c r="J8" s="56">
        <f>INDEX(WS_Sites_Parcel_Sizes_FINAL!$I:$I, MATCH('Site detail lookup'!$C8, WS_Sites_Parcel_Sizes_FINAL!$A:$A, 0))</f>
        <v>0.35349999999999998</v>
      </c>
      <c r="K8" s="56">
        <f>INDEX('Top 200 COs'!X:X, MATCH('Site detail lookup'!$C8, 'Top 200 COs'!$C:$C, 0))</f>
        <v>64</v>
      </c>
      <c r="L8" s="56">
        <f>INDEX(WS_Top200_Existing_Power!B:B, MATCH('Site detail lookup'!C8, WS_Top200_Existing_Power!A:A, 0))</f>
        <v>100</v>
      </c>
      <c r="M8" s="56">
        <f>INDEX('Top 200 COs'!W:W, MATCH('Site detail lookup'!$C8, 'Top 200 COs'!$C:$C, 0))</f>
        <v>14355</v>
      </c>
      <c r="N8" s="51" t="s">
        <v>3711</v>
      </c>
      <c r="O8" s="51">
        <f>INDEX(WS_Top200_Transm_Dist_2!G:G, MATCH('Site detail lookup'!$C8, WS_Top200_Transm_Dist_2!$B:$B, 0))/5280</f>
        <v>2.4009469696969696</v>
      </c>
      <c r="P8" s="51">
        <f>INDEX(WS_Top200_Transm_Dist_2!O:O, MATCH('Site detail lookup'!$C8, WS_Top200_Transm_Dist_2!$B:$B, 0))</f>
        <v>345</v>
      </c>
      <c r="Q8" s="51" t="str">
        <f>INDEX(WS_Top200_Transm_Dist_2!I:I, MATCH('Site detail lookup'!$C8, WS_Top200_Transm_Dist_2!$B:$B, 0))</f>
        <v>UNKNOWN137113</v>
      </c>
      <c r="R8" s="51" t="str">
        <f>INDEX(WS_Top200_Transm_Dist_2!J:J, MATCH('Site detail lookup'!$C8, WS_Top200_Transm_Dist_2!$B:$B, 0))</f>
        <v>LEROY CENTER</v>
      </c>
    </row>
    <row r="9" spans="2:19" x14ac:dyDescent="0.25">
      <c r="B9" s="52">
        <v>7</v>
      </c>
      <c r="C9" s="53" t="s">
        <v>698</v>
      </c>
      <c r="D9" s="53" t="s">
        <v>701</v>
      </c>
      <c r="E9" s="53" t="s">
        <v>675</v>
      </c>
      <c r="F9" s="53" t="s">
        <v>3710</v>
      </c>
      <c r="G9" s="53" t="s">
        <v>700</v>
      </c>
      <c r="H9" s="54">
        <v>41.581299999999999</v>
      </c>
      <c r="I9" s="54">
        <v>-81.202100000000002</v>
      </c>
      <c r="J9" s="55">
        <f>INDEX(WS_Sites_Parcel_Sizes_FINAL!$I:$I, MATCH('Site detail lookup'!$C9, WS_Sites_Parcel_Sizes_FINAL!$A:$A, 0))</f>
        <v>0.1915</v>
      </c>
      <c r="K9" s="56">
        <f>INDEX('Top 200 COs'!X:X, MATCH('Site detail lookup'!$C9, 'Top 200 COs'!$C:$C, 0))</f>
        <v>100</v>
      </c>
      <c r="L9" s="56">
        <f>INDEX(WS_Top200_Existing_Power!B:B, MATCH('Site detail lookup'!C9, WS_Top200_Existing_Power!A:A, 0))</f>
        <v>150</v>
      </c>
      <c r="M9" s="56">
        <f>INDEX('Top 200 COs'!W:W, MATCH('Site detail lookup'!$C9, 'Top 200 COs'!$C:$C, 0))</f>
        <v>12446</v>
      </c>
      <c r="O9" s="51">
        <f>INDEX(WS_Top200_Transm_Dist_2!G:G, MATCH('Site detail lookup'!$C9, WS_Top200_Transm_Dist_2!$B:$B, 0))/5280</f>
        <v>0.67102272727272727</v>
      </c>
      <c r="P9" s="51">
        <f>INDEX(WS_Top200_Transm_Dist_2!O:O, MATCH('Site detail lookup'!$C9, WS_Top200_Transm_Dist_2!$B:$B, 0))</f>
        <v>138</v>
      </c>
      <c r="Q9" s="51" t="str">
        <f>INDEX(WS_Top200_Transm_Dist_2!I:I, MATCH('Site detail lookup'!$C9, WS_Top200_Transm_Dist_2!$B:$B, 0))</f>
        <v>UNKNOWN112912</v>
      </c>
      <c r="R9" s="51" t="str">
        <f>INDEX(WS_Top200_Transm_Dist_2!J:J, MATCH('Site detail lookup'!$C9, WS_Top200_Transm_Dist_2!$B:$B, 0))</f>
        <v>TAP148482</v>
      </c>
    </row>
    <row r="10" spans="2:19" x14ac:dyDescent="0.25">
      <c r="B10" s="52">
        <v>8</v>
      </c>
      <c r="C10" s="53" t="s">
        <v>712</v>
      </c>
      <c r="D10" s="53" t="s">
        <v>715</v>
      </c>
      <c r="E10" s="53" t="s">
        <v>675</v>
      </c>
      <c r="F10" s="53" t="s">
        <v>3712</v>
      </c>
      <c r="G10" s="53" t="s">
        <v>714</v>
      </c>
      <c r="H10" s="54">
        <v>41.365699999999997</v>
      </c>
      <c r="I10" s="54">
        <v>-82.11</v>
      </c>
      <c r="J10" s="55">
        <f>INDEX(WS_Sites_Parcel_Sizes_FINAL!$I:$I, MATCH('Site detail lookup'!$C10, WS_Sites_Parcel_Sizes_FINAL!$A:$A, 0))</f>
        <v>0.50119999999999998</v>
      </c>
      <c r="K10" s="56">
        <f>INDEX('Top 200 COs'!X:X, MATCH('Site detail lookup'!$C10, 'Top 200 COs'!$C:$C, 0))</f>
        <v>159</v>
      </c>
      <c r="L10" s="56">
        <f>INDEX(WS_Top200_Existing_Power!B:B, MATCH('Site detail lookup'!C10, WS_Top200_Existing_Power!A:A, 0))</f>
        <v>380</v>
      </c>
      <c r="M10" s="56">
        <f>INDEX('Top 200 COs'!W:W, MATCH('Site detail lookup'!$C10, 'Top 200 COs'!$C:$C, 0))</f>
        <v>73218</v>
      </c>
      <c r="O10" s="51">
        <f>INDEX(WS_Top200_Transm_Dist_2!G:G, MATCH('Site detail lookup'!$C10, WS_Top200_Transm_Dist_2!$B:$B, 0))/5280</f>
        <v>0.93787878787878787</v>
      </c>
      <c r="P10" s="51">
        <f>INDEX(WS_Top200_Transm_Dist_2!O:O, MATCH('Site detail lookup'!$C10, WS_Top200_Transm_Dist_2!$B:$B, 0))</f>
        <v>138</v>
      </c>
      <c r="Q10" s="51" t="str">
        <f>INDEX(WS_Top200_Transm_Dist_2!I:I, MATCH('Site detail lookup'!$C10, WS_Top200_Transm_Dist_2!$B:$B, 0))</f>
        <v>UNKNOWN113152</v>
      </c>
      <c r="R10" s="51" t="str">
        <f>INDEX(WS_Top200_Transm_Dist_2!J:J, MATCH('Site detail lookup'!$C10, WS_Top200_Transm_Dist_2!$B:$B, 0))</f>
        <v>UNKNOWN113217</v>
      </c>
    </row>
    <row r="11" spans="2:19" x14ac:dyDescent="0.25">
      <c r="B11" s="52">
        <v>9</v>
      </c>
      <c r="C11" s="53" t="s">
        <v>725</v>
      </c>
      <c r="D11" s="53" t="s">
        <v>728</v>
      </c>
      <c r="E11" s="53" t="s">
        <v>675</v>
      </c>
      <c r="F11" s="53" t="s">
        <v>3708</v>
      </c>
      <c r="G11" s="53" t="s">
        <v>727</v>
      </c>
      <c r="H11" s="54">
        <v>41.805300000000003</v>
      </c>
      <c r="I11" s="54">
        <v>-80.945700000000002</v>
      </c>
      <c r="J11" s="55">
        <f>INDEX(WS_Sites_Parcel_Sizes_FINAL!$I:$I, MATCH('Site detail lookup'!$C11, WS_Sites_Parcel_Sizes_FINAL!$A:$A, 0))</f>
        <v>0.83389999999999997</v>
      </c>
      <c r="K11" s="56">
        <f>INDEX('Top 200 COs'!X:X, MATCH('Site detail lookup'!$C11, 'Top 200 COs'!$C:$C, 0))</f>
        <v>25</v>
      </c>
      <c r="L11" s="56">
        <f>INDEX(WS_Top200_Existing_Power!B:B, MATCH('Site detail lookup'!C11, WS_Top200_Existing_Power!A:A, 0))</f>
        <v>190</v>
      </c>
      <c r="M11" s="56">
        <f>INDEX('Top 200 COs'!W:W, MATCH('Site detail lookup'!$C11, 'Top 200 COs'!$C:$C, 0))</f>
        <v>12477</v>
      </c>
      <c r="O11" s="51">
        <f>INDEX(WS_Top200_Transm_Dist_2!G:G, MATCH('Site detail lookup'!$C11, WS_Top200_Transm_Dist_2!$B:$B, 0))/5280</f>
        <v>2.5704545454545453</v>
      </c>
      <c r="P11" s="51">
        <f>INDEX(WS_Top200_Transm_Dist_2!O:O, MATCH('Site detail lookup'!$C11, WS_Top200_Transm_Dist_2!$B:$B, 0))</f>
        <v>345</v>
      </c>
      <c r="Q11" s="51" t="str">
        <f>INDEX(WS_Top200_Transm_Dist_2!I:I, MATCH('Site detail lookup'!$C11, WS_Top200_Transm_Dist_2!$B:$B, 0))</f>
        <v>TAP136893</v>
      </c>
      <c r="R11" s="51" t="str">
        <f>INDEX(WS_Top200_Transm_Dist_2!J:J, MATCH('Site detail lookup'!$C11, WS_Top200_Transm_Dist_2!$B:$B, 0))</f>
        <v>PERRY</v>
      </c>
    </row>
    <row r="12" spans="2:19" x14ac:dyDescent="0.25">
      <c r="B12" s="52">
        <v>10</v>
      </c>
      <c r="C12" s="53" t="s">
        <v>764</v>
      </c>
      <c r="D12" s="53" t="s">
        <v>3713</v>
      </c>
      <c r="E12" s="53" t="s">
        <v>675</v>
      </c>
      <c r="F12" s="53" t="s">
        <v>3714</v>
      </c>
      <c r="G12" s="53" t="s">
        <v>766</v>
      </c>
      <c r="H12" s="54">
        <v>41.8003</v>
      </c>
      <c r="I12" s="54">
        <v>-81.049000000000007</v>
      </c>
      <c r="J12" s="55">
        <f>INDEX(WS_Sites_Parcel_Sizes_FINAL!$I:$I, MATCH('Site detail lookup'!$C12, WS_Sites_Parcel_Sizes_FINAL!$A:$A, 0))</f>
        <v>0.65239999999999998</v>
      </c>
      <c r="K12" s="56">
        <f>INDEX('Top 200 COs'!X:X, MATCH('Site detail lookup'!$C12, 'Top 200 COs'!$C:$C, 0))</f>
        <v>28</v>
      </c>
      <c r="L12" s="56">
        <f>INDEX(WS_Top200_Existing_Power!B:B, MATCH('Site detail lookup'!C12, WS_Top200_Existing_Power!A:A, 0))</f>
        <v>125</v>
      </c>
      <c r="M12" s="56">
        <f>INDEX('Top 200 COs'!W:W, MATCH('Site detail lookup'!$C12, 'Top 200 COs'!$C:$C, 0))</f>
        <v>3222</v>
      </c>
      <c r="O12" s="51">
        <f>INDEX(WS_Top200_Transm_Dist_2!G:G, MATCH('Site detail lookup'!$C12, WS_Top200_Transm_Dist_2!$B:$B, 0))/5280</f>
        <v>0.68579545454545454</v>
      </c>
      <c r="P12" s="51">
        <f>INDEX(WS_Top200_Transm_Dist_2!O:O, MATCH('Site detail lookup'!$C12, WS_Top200_Transm_Dist_2!$B:$B, 0))</f>
        <v>345</v>
      </c>
      <c r="Q12" s="51" t="str">
        <f>INDEX(WS_Top200_Transm_Dist_2!I:I, MATCH('Site detail lookup'!$C12, WS_Top200_Transm_Dist_2!$B:$B, 0))</f>
        <v>TAP136893</v>
      </c>
      <c r="R12" s="51" t="str">
        <f>INDEX(WS_Top200_Transm_Dist_2!J:J, MATCH('Site detail lookup'!$C12, WS_Top200_Transm_Dist_2!$B:$B, 0))</f>
        <v>PERRY</v>
      </c>
    </row>
    <row r="13" spans="2:19" x14ac:dyDescent="0.25">
      <c r="B13" s="52">
        <v>11</v>
      </c>
      <c r="C13" s="53" t="s">
        <v>795</v>
      </c>
      <c r="D13" s="53" t="s">
        <v>798</v>
      </c>
      <c r="E13" s="53" t="s">
        <v>675</v>
      </c>
      <c r="F13" s="53" t="s">
        <v>3715</v>
      </c>
      <c r="G13" s="53" t="s">
        <v>797</v>
      </c>
      <c r="H13" s="54">
        <v>41.314700000000002</v>
      </c>
      <c r="I13" s="54">
        <v>-81.537000000000006</v>
      </c>
      <c r="J13" s="58">
        <f>INDEX(WS_Sites_Parcel_Sizes_FINAL!$I:$I, MATCH('Site detail lookup'!$C13, WS_Sites_Parcel_Sizes_FINAL!$A:$A, 0))</f>
        <v>0.16850000000000001</v>
      </c>
      <c r="K13" s="56">
        <f>INDEX('Top 200 COs'!X:X, MATCH('Site detail lookup'!$C13, 'Top 200 COs'!$C:$C, 0))</f>
        <v>93</v>
      </c>
      <c r="L13" s="56">
        <f>INDEX(WS_Top200_Existing_Power!B:B, MATCH('Site detail lookup'!C13, WS_Top200_Existing_Power!A:A, 0))</f>
        <v>200</v>
      </c>
      <c r="M13" s="56">
        <f>INDEX('Top 200 COs'!W:W, MATCH('Site detail lookup'!$C13, 'Top 200 COs'!$C:$C, 0))</f>
        <v>66721</v>
      </c>
      <c r="O13" s="51">
        <f>INDEX(WS_Top200_Transm_Dist_2!G:G, MATCH('Site detail lookup'!$C13, WS_Top200_Transm_Dist_2!$B:$B, 0))/5280</f>
        <v>0.55246212121212124</v>
      </c>
      <c r="P13" s="51">
        <f>INDEX(WS_Top200_Transm_Dist_2!O:O, MATCH('Site detail lookup'!$C13, WS_Top200_Transm_Dist_2!$B:$B, 0))</f>
        <v>345</v>
      </c>
      <c r="Q13" s="51" t="str">
        <f>INDEX(WS_Top200_Transm_Dist_2!I:I, MATCH('Site detail lookup'!$C13, WS_Top200_Transm_Dist_2!$B:$B, 0))</f>
        <v>UNKNOWN137113</v>
      </c>
      <c r="R13" s="51" t="str">
        <f>INDEX(WS_Top200_Transm_Dist_2!J:J, MATCH('Site detail lookup'!$C13, WS_Top200_Transm_Dist_2!$B:$B, 0))</f>
        <v>HANNA</v>
      </c>
    </row>
    <row r="14" spans="2:19" x14ac:dyDescent="0.25">
      <c r="B14" s="52">
        <v>12</v>
      </c>
      <c r="C14" s="53" t="s">
        <v>3106</v>
      </c>
      <c r="D14" s="53" t="s">
        <v>826</v>
      </c>
      <c r="E14" s="53" t="s">
        <v>675</v>
      </c>
      <c r="F14" s="53" t="s">
        <v>3715</v>
      </c>
      <c r="G14" s="53" t="s">
        <v>825</v>
      </c>
      <c r="H14" s="54">
        <v>41.2393</v>
      </c>
      <c r="I14" s="54">
        <v>-81.655799999999999</v>
      </c>
      <c r="J14" s="56">
        <f>INDEX(WS_Sites_Parcel_Sizes_FINAL!$I:$I, MATCH('Site detail lookup'!$C14, WS_Sites_Parcel_Sizes_FINAL!$A:$A, 0))</f>
        <v>0.1615</v>
      </c>
      <c r="K14" s="56">
        <f>INDEX('Top 200 COs'!X:X, MATCH('Site detail lookup'!$C14, 'Top 200 COs'!$C:$C, 0))</f>
        <v>27</v>
      </c>
      <c r="L14" s="56">
        <f>INDEX(WS_Top200_Existing_Power!B:B, MATCH('Site detail lookup'!C14, WS_Top200_Existing_Power!A:A, 0))</f>
        <v>100</v>
      </c>
      <c r="M14" s="56">
        <f>INDEX('Top 200 COs'!W:W, MATCH('Site detail lookup'!$C14, 'Top 200 COs'!$C:$C, 0))</f>
        <v>20000</v>
      </c>
      <c r="N14" s="51" t="s">
        <v>3716</v>
      </c>
      <c r="O14" s="51">
        <f>INDEX(WS_Top200_Transm_Dist_2!G:G, MATCH('Site detail lookup'!$C14, WS_Top200_Transm_Dist_2!$B:$B, 0))/5280</f>
        <v>1.3772727272727272</v>
      </c>
      <c r="P14" s="51">
        <f>INDEX(WS_Top200_Transm_Dist_2!O:O, MATCH('Site detail lookup'!$C14, WS_Top200_Transm_Dist_2!$B:$B, 0))</f>
        <v>138</v>
      </c>
      <c r="Q14" s="51" t="str">
        <f>INDEX(WS_Top200_Transm_Dist_2!I:I, MATCH('Site detail lookup'!$C14, WS_Top200_Transm_Dist_2!$B:$B, 0))</f>
        <v>TAP137138</v>
      </c>
      <c r="R14" s="51" t="str">
        <f>INDEX(WS_Top200_Transm_Dist_2!J:J, MATCH('Site detail lookup'!$C14, WS_Top200_Transm_Dist_2!$B:$B, 0))</f>
        <v>WEST AKRON</v>
      </c>
    </row>
    <row r="15" spans="2:19" x14ac:dyDescent="0.25">
      <c r="B15" s="52">
        <v>13</v>
      </c>
      <c r="C15" s="53" t="s">
        <v>3291</v>
      </c>
      <c r="D15" s="53" t="s">
        <v>829</v>
      </c>
      <c r="E15" s="53" t="s">
        <v>675</v>
      </c>
      <c r="F15" s="53" t="s">
        <v>3715</v>
      </c>
      <c r="G15" s="53" t="s">
        <v>3717</v>
      </c>
      <c r="H15" s="54">
        <v>41.311100000000003</v>
      </c>
      <c r="I15" s="54">
        <v>-81.442300000000003</v>
      </c>
      <c r="J15" s="55">
        <f>INDEX(WS_Sites_Parcel_Sizes_FINAL!$I:$I, MATCH('Site detail lookup'!$C15, WS_Sites_Parcel_Sizes_FINAL!$A:$A, 0))</f>
        <v>0.4985</v>
      </c>
      <c r="K15" s="56">
        <f>INDEX('Top 200 COs'!X:X, MATCH('Site detail lookup'!$C15, 'Top 200 COs'!$C:$C, 0))</f>
        <v>99</v>
      </c>
      <c r="L15" s="56">
        <f>INDEX(WS_Top200_Existing_Power!B:B, MATCH('Site detail lookup'!C15, WS_Top200_Existing_Power!A:A, 0))</f>
        <v>115</v>
      </c>
      <c r="M15" s="56">
        <f>INDEX('Top 200 COs'!W:W, MATCH('Site detail lookup'!$C15, 'Top 200 COs'!$C:$C, 0))</f>
        <v>20000</v>
      </c>
      <c r="N15" s="51" t="s">
        <v>3718</v>
      </c>
      <c r="O15" s="51">
        <f>INDEX(WS_Top200_Transm_Dist_2!G:G, MATCH('Site detail lookup'!$C15, WS_Top200_Transm_Dist_2!$B:$B, 0))/5280</f>
        <v>0.25530303030303031</v>
      </c>
      <c r="P15" s="51">
        <f>INDEX(WS_Top200_Transm_Dist_2!O:O, MATCH('Site detail lookup'!$C15, WS_Top200_Transm_Dist_2!$B:$B, 0))</f>
        <v>-999999</v>
      </c>
      <c r="Q15" s="51" t="str">
        <f>INDEX(WS_Top200_Transm_Dist_2!I:I, MATCH('Site detail lookup'!$C15, WS_Top200_Transm_Dist_2!$B:$B, 0))</f>
        <v>CASE</v>
      </c>
      <c r="R15" s="51" t="str">
        <f>INDEX(WS_Top200_Transm_Dist_2!J:J, MATCH('Site detail lookup'!$C15, WS_Top200_Transm_Dist_2!$B:$B, 0))</f>
        <v>TWINSBURG</v>
      </c>
    </row>
    <row r="16" spans="2:19" x14ac:dyDescent="0.25">
      <c r="B16" s="52">
        <v>14</v>
      </c>
      <c r="C16" s="53" t="s">
        <v>3403</v>
      </c>
      <c r="D16" s="53" t="s">
        <v>829</v>
      </c>
      <c r="E16" s="53" t="s">
        <v>675</v>
      </c>
      <c r="F16" s="53" t="s">
        <v>3715</v>
      </c>
      <c r="G16" s="53" t="s">
        <v>828</v>
      </c>
      <c r="H16" s="54">
        <v>41.311199999999999</v>
      </c>
      <c r="I16" s="54">
        <v>-81.442300000000003</v>
      </c>
      <c r="J16" s="55">
        <f>INDEX(WS_Sites_Parcel_Sizes_FINAL!$I:$I, MATCH('Site detail lookup'!$C16, WS_Sites_Parcel_Sizes_FINAL!$A:$A, 0))</f>
        <v>0.4985</v>
      </c>
      <c r="K16" s="56">
        <f>INDEX('Top 200 COs'!X:X, MATCH('Site detail lookup'!$C16, 'Top 200 COs'!$C:$C, 0))</f>
        <v>0</v>
      </c>
      <c r="L16" s="56">
        <f>INDEX(WS_Top200_Existing_Power!B:B, MATCH('Site detail lookup'!C16, WS_Top200_Existing_Power!A:A, 0))</f>
        <v>0</v>
      </c>
      <c r="M16" s="56">
        <f>INDEX('Top 200 COs'!W:W, MATCH('Site detail lookup'!$C16, 'Top 200 COs'!$C:$C, 0))</f>
        <v>20000</v>
      </c>
      <c r="N16" s="51" t="s">
        <v>3718</v>
      </c>
      <c r="O16" s="51">
        <f>INDEX(WS_Top200_Transm_Dist_2!G:G, MATCH('Site detail lookup'!$C16, WS_Top200_Transm_Dist_2!$B:$B, 0))/5280</f>
        <v>0.26287878787878788</v>
      </c>
      <c r="P16" s="51">
        <f>INDEX(WS_Top200_Transm_Dist_2!O:O, MATCH('Site detail lookup'!$C16, WS_Top200_Transm_Dist_2!$B:$B, 0))</f>
        <v>-999999</v>
      </c>
      <c r="Q16" s="51" t="str">
        <f>INDEX(WS_Top200_Transm_Dist_2!I:I, MATCH('Site detail lookup'!$C16, WS_Top200_Transm_Dist_2!$B:$B, 0))</f>
        <v>CASE</v>
      </c>
      <c r="R16" s="51" t="str">
        <f>INDEX(WS_Top200_Transm_Dist_2!J:J, MATCH('Site detail lookup'!$C16, WS_Top200_Transm_Dist_2!$B:$B, 0))</f>
        <v>TWINSBURG</v>
      </c>
    </row>
    <row r="17" spans="2:18" x14ac:dyDescent="0.25">
      <c r="B17" s="52">
        <v>15</v>
      </c>
      <c r="C17" s="53" t="s">
        <v>786</v>
      </c>
      <c r="D17" s="53" t="s">
        <v>772</v>
      </c>
      <c r="E17" s="53" t="s">
        <v>675</v>
      </c>
      <c r="F17" s="53" t="s">
        <v>3719</v>
      </c>
      <c r="G17" s="53" t="s">
        <v>3720</v>
      </c>
      <c r="H17" s="54">
        <v>40.013599999999997</v>
      </c>
      <c r="I17" s="54">
        <v>-82.404600000000002</v>
      </c>
      <c r="J17" s="56">
        <f>INDEX(WS_Sites_Parcel_Sizes_FINAL!$I:$I, MATCH('Site detail lookup'!$C17, WS_Sites_Parcel_Sizes_FINAL!$A:$A, 0))</f>
        <v>0.38600000000000001</v>
      </c>
      <c r="K17" s="56">
        <f>INDEX('Top 200 COs'!X:X, MATCH('Site detail lookup'!$C17, 'Top 200 COs'!$C:$C, 0))</f>
        <v>24</v>
      </c>
      <c r="L17" s="56">
        <f>INDEX(WS_Top200_Existing_Power!B:B, MATCH('Site detail lookup'!C17, WS_Top200_Existing_Power!A:A, 0))</f>
        <v>75</v>
      </c>
      <c r="M17" s="56">
        <f>INDEX('Top 200 COs'!W:W, MATCH('Site detail lookup'!$C17, 'Top 200 COs'!$C:$C, 0))</f>
        <v>3890</v>
      </c>
      <c r="N17" s="51" t="s">
        <v>3721</v>
      </c>
      <c r="O17" s="51">
        <f>INDEX(WS_Top200_Transm_Dist_2!G:G, MATCH('Site detail lookup'!$C17, WS_Top200_Transm_Dist_2!$B:$B, 0))/5280</f>
        <v>1.0511363636363635</v>
      </c>
      <c r="P17" s="51">
        <f>INDEX(WS_Top200_Transm_Dist_2!O:O, MATCH('Site detail lookup'!$C17, WS_Top200_Transm_Dist_2!$B:$B, 0))</f>
        <v>69</v>
      </c>
      <c r="Q17" s="51" t="str">
        <f>INDEX(WS_Top200_Transm_Dist_2!I:I, MATCH('Site detail lookup'!$C17, WS_Top200_Transm_Dist_2!$B:$B, 0))</f>
        <v>TAP158957</v>
      </c>
      <c r="R17" s="51" t="str">
        <f>INDEX(WS_Top200_Transm_Dist_2!J:J, MATCH('Site detail lookup'!$C17, WS_Top200_Transm_Dist_2!$B:$B, 0))</f>
        <v>UNKNOWN163359</v>
      </c>
    </row>
    <row r="18" spans="2:18" x14ac:dyDescent="0.25">
      <c r="B18" s="52">
        <v>16</v>
      </c>
      <c r="C18" s="53" t="s">
        <v>774</v>
      </c>
      <c r="D18" s="53" t="s">
        <v>772</v>
      </c>
      <c r="E18" s="53" t="s">
        <v>675</v>
      </c>
      <c r="F18" s="53" t="s">
        <v>3719</v>
      </c>
      <c r="G18" s="53" t="s">
        <v>776</v>
      </c>
      <c r="H18" s="54">
        <v>40.059399999999997</v>
      </c>
      <c r="I18" s="54">
        <v>-82.404899999999998</v>
      </c>
      <c r="J18" s="55">
        <f>INDEX(WS_Sites_Parcel_Sizes_FINAL!$I:$I, MATCH('Site detail lookup'!$C18, WS_Sites_Parcel_Sizes_FINAL!$A:$A, 0))</f>
        <v>0.27579999999999999</v>
      </c>
      <c r="K18" s="56">
        <f>INDEX('Top 200 COs'!X:X, MATCH('Site detail lookup'!$C18, 'Top 200 COs'!$C:$C, 0))</f>
        <v>145</v>
      </c>
      <c r="L18" s="56">
        <f>INDEX(WS_Top200_Existing_Power!B:B, MATCH('Site detail lookup'!C18, WS_Top200_Existing_Power!A:A, 0))</f>
        <v>200</v>
      </c>
      <c r="M18" s="56">
        <f>INDEX('Top 200 COs'!W:W, MATCH('Site detail lookup'!$C18, 'Top 200 COs'!$C:$C, 0))</f>
        <v>35563</v>
      </c>
      <c r="O18" s="51">
        <f>INDEX(WS_Top200_Transm_Dist_2!G:G, MATCH('Site detail lookup'!$C18, WS_Top200_Transm_Dist_2!$B:$B, 0))/5280</f>
        <v>0.37575757575757573</v>
      </c>
      <c r="P18" s="51">
        <f>INDEX(WS_Top200_Transm_Dist_2!O:O, MATCH('Site detail lookup'!$C18, WS_Top200_Transm_Dist_2!$B:$B, 0))</f>
        <v>69</v>
      </c>
      <c r="Q18" s="51" t="str">
        <f>INDEX(WS_Top200_Transm_Dist_2!I:I, MATCH('Site detail lookup'!$C18, WS_Top200_Transm_Dist_2!$B:$B, 0))</f>
        <v>UNKNOWN112976</v>
      </c>
      <c r="R18" s="51" t="str">
        <f>INDEX(WS_Top200_Transm_Dist_2!J:J, MATCH('Site detail lookup'!$C18, WS_Top200_Transm_Dist_2!$B:$B, 0))</f>
        <v>UNKNOWN112977</v>
      </c>
    </row>
    <row r="19" spans="2:18" x14ac:dyDescent="0.25">
      <c r="B19" s="52">
        <v>17</v>
      </c>
      <c r="C19" s="53" t="s">
        <v>525</v>
      </c>
      <c r="D19" s="53" t="s">
        <v>3722</v>
      </c>
      <c r="E19" s="53" t="s">
        <v>517</v>
      </c>
      <c r="F19" s="53" t="s">
        <v>3723</v>
      </c>
      <c r="G19" s="53" t="s">
        <v>3724</v>
      </c>
      <c r="H19" s="54">
        <v>38.409599999999998</v>
      </c>
      <c r="I19" s="59">
        <f>I24-82.713</f>
        <v>-166.24119999999999</v>
      </c>
      <c r="J19" s="66" t="s">
        <v>3743</v>
      </c>
      <c r="K19" s="56">
        <f>INDEX('Top 200 COs'!X:X, MATCH('Site detail lookup'!$C19, 'Top 200 COs'!$C:$C, 0))</f>
        <v>76</v>
      </c>
      <c r="L19" s="56">
        <f>INDEX(WS_Top200_Existing_Power!B:B, MATCH('Site detail lookup'!C19, WS_Top200_Existing_Power!A:A, 0))</f>
        <v>200</v>
      </c>
      <c r="M19" s="56">
        <f>INDEX('Top 200 COs'!W:W, MATCH('Site detail lookup'!$C19, 'Top 200 COs'!$C:$C, 0))</f>
        <v>12209</v>
      </c>
      <c r="N19" s="60">
        <v>-82.712900000000005</v>
      </c>
      <c r="O19" s="51">
        <f>INDEX(WS_Top200_Transm_Dist_2!G:G, MATCH('Site detail lookup'!$C19, WS_Top200_Transm_Dist_2!$B:$B, 0))/5280</f>
        <v>0.5625</v>
      </c>
      <c r="P19" s="51">
        <f>INDEX(WS_Top200_Transm_Dist_2!O:O, MATCH('Site detail lookup'!$C19, WS_Top200_Transm_Dist_2!$B:$B, 0))</f>
        <v>69</v>
      </c>
      <c r="Q19" s="51" t="str">
        <f>INDEX(WS_Top200_Transm_Dist_2!I:I, MATCH('Site detail lookup'!$C19, WS_Top200_Transm_Dist_2!$B:$B, 0))</f>
        <v>BELLEFONTE</v>
      </c>
      <c r="R19" s="51" t="str">
        <f>INDEX(WS_Top200_Transm_Dist_2!J:J, MATCH('Site detail lookup'!$C19, WS_Top200_Transm_Dist_2!$B:$B, 0))</f>
        <v>PRINCESS</v>
      </c>
    </row>
    <row r="20" spans="2:18" x14ac:dyDescent="0.25">
      <c r="B20" s="52">
        <v>18</v>
      </c>
      <c r="C20" s="53" t="s">
        <v>133</v>
      </c>
      <c r="D20" s="53" t="s">
        <v>136</v>
      </c>
      <c r="E20" s="53" t="s">
        <v>120</v>
      </c>
      <c r="F20" s="53" t="s">
        <v>3725</v>
      </c>
      <c r="G20" s="53" t="s">
        <v>135</v>
      </c>
      <c r="H20" s="54">
        <v>34.863999999999997</v>
      </c>
      <c r="I20" s="54">
        <v>-83.984800000000007</v>
      </c>
      <c r="J20" s="56">
        <f>INDEX(WS_Sites_Parcel_Sizes_FINAL!$I:$I, MATCH('Site detail lookup'!$C20, WS_Sites_Parcel_Sizes_FINAL!$A:$A, 0))</f>
        <v>4.2884000000000002</v>
      </c>
      <c r="K20" s="56">
        <f>INDEX('Top 200 COs'!X:X, MATCH('Site detail lookup'!$C20, 'Top 200 COs'!$C:$C, 0))</f>
        <v>2</v>
      </c>
      <c r="L20" s="56">
        <f>INDEX(WS_Top200_Existing_Power!B:B, MATCH('Site detail lookup'!C20, WS_Top200_Existing_Power!A:A, 0))</f>
        <v>0</v>
      </c>
      <c r="M20" s="56">
        <f>INDEX('Top 200 COs'!W:W, MATCH('Site detail lookup'!$C20, 'Top 200 COs'!$C:$C, 0))</f>
        <v>5000</v>
      </c>
      <c r="N20" s="51" t="s">
        <v>3726</v>
      </c>
      <c r="O20" s="51">
        <f>INDEX(WS_Top200_Transm_Dist_2!G:G, MATCH('Site detail lookup'!$C20, WS_Top200_Transm_Dist_2!$B:$B, 0))/5280</f>
        <v>1.1931818181818181</v>
      </c>
      <c r="P20" s="51">
        <f>INDEX(WS_Top200_Transm_Dist_2!O:O, MATCH('Site detail lookup'!$C20, WS_Top200_Transm_Dist_2!$B:$B, 0))</f>
        <v>161</v>
      </c>
      <c r="Q20" s="51" t="str">
        <f>INDEX(WS_Top200_Transm_Dist_2!I:I, MATCH('Site detail lookup'!$C20, WS_Top200_Transm_Dist_2!$B:$B, 0))</f>
        <v>YOUNGCANE</v>
      </c>
      <c r="R20" s="51" t="str">
        <f>INDEX(WS_Top200_Transm_Dist_2!J:J, MATCH('Site detail lookup'!$C20, WS_Top200_Transm_Dist_2!$B:$B, 0))</f>
        <v>BLAIRSVILLE</v>
      </c>
    </row>
    <row r="21" spans="2:18" x14ac:dyDescent="0.25">
      <c r="B21" s="52">
        <v>19</v>
      </c>
      <c r="C21" s="53" t="s">
        <v>151</v>
      </c>
      <c r="D21" s="53" t="s">
        <v>150</v>
      </c>
      <c r="E21" s="53" t="s">
        <v>120</v>
      </c>
      <c r="F21" s="53" t="s">
        <v>3727</v>
      </c>
      <c r="G21" s="53" t="s">
        <v>153</v>
      </c>
      <c r="H21" s="54">
        <v>34.2361</v>
      </c>
      <c r="I21" s="54">
        <v>-84.490700000000004</v>
      </c>
      <c r="J21" s="56">
        <f>INDEX(WS_Sites_Parcel_Sizes_FINAL!$I:$I, MATCH('Site detail lookup'!$C21, WS_Sites_Parcel_Sizes_FINAL!$A:$A, 0))</f>
        <v>0.17430000000000001</v>
      </c>
      <c r="K21" s="56">
        <f>INDEX('Top 200 COs'!X:X, MATCH('Site detail lookup'!$C21, 'Top 200 COs'!$C:$C, 0))</f>
        <v>81</v>
      </c>
      <c r="L21" s="56">
        <f>INDEX(WS_Top200_Existing_Power!B:B, MATCH('Site detail lookup'!C21, WS_Top200_Existing_Power!A:A, 0))</f>
        <v>750</v>
      </c>
      <c r="M21" s="56">
        <f>INDEX('Top 200 COs'!W:W, MATCH('Site detail lookup'!$C21, 'Top 200 COs'!$C:$C, 0))</f>
        <v>7075</v>
      </c>
      <c r="N21" s="51" t="s">
        <v>3728</v>
      </c>
      <c r="O21" s="51">
        <f>INDEX(WS_Top200_Transm_Dist_2!G:G, MATCH('Site detail lookup'!$C21, WS_Top200_Transm_Dist_2!$B:$B, 0))/5280</f>
        <v>0.31893939393939397</v>
      </c>
      <c r="P21" s="51">
        <f>INDEX(WS_Top200_Transm_Dist_2!O:O, MATCH('Site detail lookup'!$C21, WS_Top200_Transm_Dist_2!$B:$B, 0))</f>
        <v>115</v>
      </c>
      <c r="Q21" s="51" t="str">
        <f>INDEX(WS_Top200_Transm_Dist_2!I:I, MATCH('Site detail lookup'!$C21, WS_Top200_Transm_Dist_2!$B:$B, 0))</f>
        <v>UNKNOWN111132</v>
      </c>
      <c r="R21" s="51" t="str">
        <f>INDEX(WS_Top200_Transm_Dist_2!J:J, MATCH('Site detail lookup'!$C21, WS_Top200_Transm_Dist_2!$B:$B, 0))</f>
        <v>UNKNOWN172553</v>
      </c>
    </row>
    <row r="22" spans="2:18" x14ac:dyDescent="0.25">
      <c r="B22" s="52">
        <v>20</v>
      </c>
      <c r="C22" s="53" t="s">
        <v>160</v>
      </c>
      <c r="D22" s="53" t="s">
        <v>163</v>
      </c>
      <c r="E22" s="53" t="s">
        <v>120</v>
      </c>
      <c r="F22" s="53" t="s">
        <v>3729</v>
      </c>
      <c r="G22" s="53" t="s">
        <v>162</v>
      </c>
      <c r="H22" s="54">
        <v>34.768300000000004</v>
      </c>
      <c r="I22" s="54">
        <v>-84.768199999999993</v>
      </c>
      <c r="J22" s="66" t="s">
        <v>3743</v>
      </c>
      <c r="K22" s="56">
        <f>INDEX('Top 200 COs'!X:X, MATCH('Site detail lookup'!$C22, 'Top 200 COs'!$C:$C, 0))</f>
        <v>40</v>
      </c>
      <c r="L22" s="56">
        <f>INDEX(WS_Top200_Existing_Power!B:B, MATCH('Site detail lookup'!C22, WS_Top200_Existing_Power!A:A, 0))</f>
        <v>200</v>
      </c>
      <c r="M22" s="56">
        <f>INDEX('Top 200 COs'!W:W, MATCH('Site detail lookup'!$C22, 'Top 200 COs'!$C:$C, 0))</f>
        <v>6372</v>
      </c>
      <c r="N22" s="51" t="s">
        <v>3730</v>
      </c>
      <c r="O22" s="51">
        <f>INDEX(WS_Top200_Transm_Dist_2!G:G, MATCH('Site detail lookup'!$C22, WS_Top200_Transm_Dist_2!$B:$B, 0))/5280</f>
        <v>0.78409090909090906</v>
      </c>
      <c r="P22" s="51">
        <f>INDEX(WS_Top200_Transm_Dist_2!O:O, MATCH('Site detail lookup'!$C22, WS_Top200_Transm_Dist_2!$B:$B, 0))</f>
        <v>115</v>
      </c>
      <c r="Q22" s="51" t="str">
        <f>INDEX(WS_Top200_Transm_Dist_2!I:I, MATCH('Site detail lookup'!$C22, WS_Top200_Transm_Dist_2!$B:$B, 0))</f>
        <v>UNKNOWN109911</v>
      </c>
      <c r="R22" s="51" t="str">
        <f>INDEX(WS_Top200_Transm_Dist_2!J:J, MATCH('Site detail lookup'!$C22, WS_Top200_Transm_Dist_2!$B:$B, 0))</f>
        <v>TAP176873</v>
      </c>
    </row>
    <row r="23" spans="2:18" x14ac:dyDescent="0.25">
      <c r="B23" s="52">
        <v>21</v>
      </c>
      <c r="C23" s="53" t="s">
        <v>170</v>
      </c>
      <c r="D23" s="53" t="s">
        <v>173</v>
      </c>
      <c r="E23" s="53" t="s">
        <v>120</v>
      </c>
      <c r="F23" s="53" t="s">
        <v>3731</v>
      </c>
      <c r="G23" s="53" t="s">
        <v>172</v>
      </c>
      <c r="H23" s="54">
        <v>34.597000000000001</v>
      </c>
      <c r="I23" s="54">
        <v>-83.766099999999994</v>
      </c>
      <c r="J23" s="66" t="s">
        <v>3743</v>
      </c>
      <c r="K23" s="56">
        <f>INDEX('Top 200 COs'!X:X, MATCH('Site detail lookup'!$C23, 'Top 200 COs'!$C:$C, 0))</f>
        <v>124</v>
      </c>
      <c r="L23" s="56">
        <f>INDEX(WS_Top200_Existing_Power!B:B, MATCH('Site detail lookup'!C23, WS_Top200_Existing_Power!A:A, 0))</f>
        <v>250</v>
      </c>
      <c r="M23" s="56">
        <f>INDEX('Top 200 COs'!W:W, MATCH('Site detail lookup'!$C23, 'Top 200 COs'!$C:$C, 0))</f>
        <v>3688</v>
      </c>
      <c r="O23" s="51">
        <f>INDEX(WS_Top200_Transm_Dist_2!G:G, MATCH('Site detail lookup'!$C23, WS_Top200_Transm_Dist_2!$B:$B, 0))/5280</f>
        <v>0.44848484848484849</v>
      </c>
      <c r="P23" s="51">
        <f>INDEX(WS_Top200_Transm_Dist_2!O:O, MATCH('Site detail lookup'!$C23, WS_Top200_Transm_Dist_2!$B:$B, 0))</f>
        <v>-999999</v>
      </c>
      <c r="Q23" s="51" t="str">
        <f>INDEX(WS_Top200_Transm_Dist_2!I:I, MATCH('Site detail lookup'!$C23, WS_Top200_Transm_Dist_2!$B:$B, 0))</f>
        <v>UNKNOWN110446</v>
      </c>
      <c r="R23" s="51" t="str">
        <f>INDEX(WS_Top200_Transm_Dist_2!J:J, MATCH('Site detail lookup'!$C23, WS_Top200_Transm_Dist_2!$B:$B, 0))</f>
        <v>UNKNOWN110447</v>
      </c>
    </row>
    <row r="24" spans="2:18" x14ac:dyDescent="0.25">
      <c r="B24" s="52">
        <v>22</v>
      </c>
      <c r="C24" s="53" t="s">
        <v>181</v>
      </c>
      <c r="D24" s="53" t="s">
        <v>184</v>
      </c>
      <c r="E24" s="53" t="s">
        <v>120</v>
      </c>
      <c r="F24" s="53" t="s">
        <v>3732</v>
      </c>
      <c r="G24" s="53" t="s">
        <v>183</v>
      </c>
      <c r="H24" s="54">
        <v>34.514499999999998</v>
      </c>
      <c r="I24" s="54">
        <v>-83.528199999999998</v>
      </c>
      <c r="J24" s="56">
        <f>INDEX(WS_Sites_Parcel_Sizes_FINAL!$I:$I, MATCH('Site detail lookup'!$C24, WS_Sites_Parcel_Sizes_FINAL!$A:$A, 0))</f>
        <v>1.1876</v>
      </c>
      <c r="K24" s="56">
        <f>INDEX('Top 200 COs'!X:X, MATCH('Site detail lookup'!$C24, 'Top 200 COs'!$C:$C, 0))</f>
        <v>77</v>
      </c>
      <c r="L24" s="56">
        <f>INDEX(WS_Top200_Existing_Power!B:B, MATCH('Site detail lookup'!C24, WS_Top200_Existing_Power!A:A, 0))</f>
        <v>200</v>
      </c>
      <c r="M24" s="56">
        <f>INDEX('Top 200 COs'!W:W, MATCH('Site detail lookup'!$C24, 'Top 200 COs'!$C:$C, 0))</f>
        <v>9500</v>
      </c>
      <c r="N24" s="51" t="s">
        <v>3733</v>
      </c>
      <c r="O24" s="51">
        <f>INDEX(WS_Top200_Transm_Dist_2!G:G, MATCH('Site detail lookup'!$C24, WS_Top200_Transm_Dist_2!$B:$B, 0))/5280</f>
        <v>0.89375000000000004</v>
      </c>
      <c r="P24" s="51">
        <f>INDEX(WS_Top200_Transm_Dist_2!O:O, MATCH('Site detail lookup'!$C24, WS_Top200_Transm_Dist_2!$B:$B, 0))</f>
        <v>115</v>
      </c>
      <c r="Q24" s="51" t="str">
        <f>INDEX(WS_Top200_Transm_Dist_2!I:I, MATCH('Site detail lookup'!$C24, WS_Top200_Transm_Dist_2!$B:$B, 0))</f>
        <v>UNKNOWN110332</v>
      </c>
      <c r="R24" s="51" t="str">
        <f>INDEX(WS_Top200_Transm_Dist_2!J:J, MATCH('Site detail lookup'!$C24, WS_Top200_Transm_Dist_2!$B:$B, 0))</f>
        <v>TAP153139</v>
      </c>
    </row>
    <row r="25" spans="2:18" x14ac:dyDescent="0.25">
      <c r="B25" s="52">
        <v>23</v>
      </c>
      <c r="C25" s="53" t="s">
        <v>128</v>
      </c>
      <c r="D25" s="53" t="s">
        <v>184</v>
      </c>
      <c r="E25" s="53" t="s">
        <v>120</v>
      </c>
      <c r="F25" s="53" t="s">
        <v>3732</v>
      </c>
      <c r="G25" s="53" t="s">
        <v>3734</v>
      </c>
      <c r="H25" s="54">
        <v>34.497199999999999</v>
      </c>
      <c r="I25" s="54">
        <v>-83.55</v>
      </c>
      <c r="J25" s="56">
        <f>INDEX(WS_Sites_Parcel_Sizes_FINAL!$I:$I, MATCH('Site detail lookup'!$C25, WS_Sites_Parcel_Sizes_FINAL!$A:$A, 0))</f>
        <v>26.402699999999999</v>
      </c>
      <c r="K25" s="56">
        <f>INDEX('Top 200 COs'!X:X, MATCH('Site detail lookup'!$C25, 'Top 200 COs'!$C:$C, 0))</f>
        <v>11</v>
      </c>
      <c r="L25" s="56">
        <f>INDEX(WS_Top200_Existing_Power!B:B, MATCH('Site detail lookup'!C25, WS_Top200_Existing_Power!A:A, 0))</f>
        <v>450</v>
      </c>
      <c r="M25" s="56">
        <f>INDEX('Top 200 COs'!W:W, MATCH('Site detail lookup'!$C25, 'Top 200 COs'!$C:$C, 0))</f>
        <v>55823</v>
      </c>
      <c r="N25" s="51" t="s">
        <v>3735</v>
      </c>
      <c r="O25" s="51">
        <f>INDEX(WS_Top200_Transm_Dist_2!G:G, MATCH('Site detail lookup'!$C25, WS_Top200_Transm_Dist_2!$B:$B, 0))/5280</f>
        <v>0.10492424242424242</v>
      </c>
      <c r="P25" s="51">
        <f>INDEX(WS_Top200_Transm_Dist_2!O:O, MATCH('Site detail lookup'!$C25, WS_Top200_Transm_Dist_2!$B:$B, 0))</f>
        <v>115</v>
      </c>
      <c r="Q25" s="51" t="str">
        <f>INDEX(WS_Top200_Transm_Dist_2!I:I, MATCH('Site detail lookup'!$C25, WS_Top200_Transm_Dist_2!$B:$B, 0))</f>
        <v>UNKNOWN110332</v>
      </c>
      <c r="R25" s="51" t="str">
        <f>INDEX(WS_Top200_Transm_Dist_2!J:J, MATCH('Site detail lookup'!$C25, WS_Top200_Transm_Dist_2!$B:$B, 0))</f>
        <v>TAP153139</v>
      </c>
    </row>
    <row r="26" spans="2:18" x14ac:dyDescent="0.25">
      <c r="B26" s="52">
        <v>24</v>
      </c>
      <c r="C26" s="53" t="s">
        <v>186</v>
      </c>
      <c r="D26" s="53" t="s">
        <v>189</v>
      </c>
      <c r="E26" s="53" t="s">
        <v>120</v>
      </c>
      <c r="F26" s="53" t="s">
        <v>3736</v>
      </c>
      <c r="G26" s="53" t="s">
        <v>188</v>
      </c>
      <c r="H26" s="54">
        <v>34.535400000000003</v>
      </c>
      <c r="I26" s="54">
        <v>-83.982500000000002</v>
      </c>
      <c r="J26" s="56">
        <f>INDEX(WS_Sites_Parcel_Sizes_FINAL!$I:$I, MATCH('Site detail lookup'!$C26, WS_Sites_Parcel_Sizes_FINAL!$A:$A, 0))</f>
        <v>1.4646999999999999</v>
      </c>
      <c r="K26" s="56">
        <f>INDEX('Top 200 COs'!X:X, MATCH('Site detail lookup'!$C26, 'Top 200 COs'!$C:$C, 0))</f>
        <v>50</v>
      </c>
      <c r="L26" s="56">
        <f>INDEX(WS_Top200_Existing_Power!B:B, MATCH('Site detail lookup'!C26, WS_Top200_Existing_Power!A:A, 0))</f>
        <v>150</v>
      </c>
      <c r="M26" s="56">
        <f>INDEX('Top 200 COs'!W:W, MATCH('Site detail lookup'!$C26, 'Top 200 COs'!$C:$C, 0))</f>
        <v>5000</v>
      </c>
      <c r="N26" s="51" t="s">
        <v>3737</v>
      </c>
      <c r="O26" s="51">
        <f>INDEX(WS_Top200_Transm_Dist_2!G:G, MATCH('Site detail lookup'!$C26, WS_Top200_Transm_Dist_2!$B:$B, 0))/5280</f>
        <v>0.46420454545454548</v>
      </c>
      <c r="P26" s="51">
        <f>INDEX(WS_Top200_Transm_Dist_2!O:O, MATCH('Site detail lookup'!$C26, WS_Top200_Transm_Dist_2!$B:$B, 0))</f>
        <v>-999999</v>
      </c>
      <c r="Q26" s="51" t="str">
        <f>INDEX(WS_Top200_Transm_Dist_2!I:I, MATCH('Site detail lookup'!$C26, WS_Top200_Transm_Dist_2!$B:$B, 0))</f>
        <v>UNKNOWN110442</v>
      </c>
      <c r="R26" s="51" t="str">
        <f>INDEX(WS_Top200_Transm_Dist_2!J:J, MATCH('Site detail lookup'!$C26, WS_Top200_Transm_Dist_2!$B:$B, 0))</f>
        <v>TAP155238</v>
      </c>
    </row>
    <row r="27" spans="2:18" x14ac:dyDescent="0.25">
      <c r="B27" s="52">
        <v>25</v>
      </c>
      <c r="C27" s="53" t="s">
        <v>191</v>
      </c>
      <c r="D27" s="53" t="s">
        <v>194</v>
      </c>
      <c r="E27" s="53" t="s">
        <v>120</v>
      </c>
      <c r="F27" s="53" t="s">
        <v>3738</v>
      </c>
      <c r="G27" s="53" t="s">
        <v>193</v>
      </c>
      <c r="H27" s="54">
        <v>34.6751</v>
      </c>
      <c r="I27" s="54">
        <v>-84.966399999999993</v>
      </c>
      <c r="J27" s="56">
        <f>INDEX(WS_Sites_Parcel_Sizes_FINAL!$I:$I, MATCH('Site detail lookup'!$C27, WS_Sites_Parcel_Sizes_FINAL!$A:$A, 0))</f>
        <v>2.3879999999999999</v>
      </c>
      <c r="K27" s="56">
        <f>INDEX('Top 200 COs'!X:X, MATCH('Site detail lookup'!$C27, 'Top 200 COs'!$C:$C, 0))</f>
        <v>18</v>
      </c>
      <c r="L27" s="56">
        <f>INDEX(WS_Top200_Existing_Power!B:B, MATCH('Site detail lookup'!C27, WS_Top200_Existing_Power!A:A, 0))</f>
        <v>250</v>
      </c>
      <c r="M27" s="56">
        <f>INDEX('Top 200 COs'!W:W, MATCH('Site detail lookup'!$C27, 'Top 200 COs'!$C:$C, 0))</f>
        <v>7717</v>
      </c>
      <c r="N27" s="51" t="s">
        <v>3739</v>
      </c>
      <c r="O27" s="51">
        <f>INDEX(WS_Top200_Transm_Dist_2!G:G, MATCH('Site detail lookup'!$C27, WS_Top200_Transm_Dist_2!$B:$B, 0))/5280</f>
        <v>0.1321969696969697</v>
      </c>
      <c r="P27" s="51">
        <f>INDEX(WS_Top200_Transm_Dist_2!O:O, MATCH('Site detail lookup'!$C27, WS_Top200_Transm_Dist_2!$B:$B, 0))</f>
        <v>115</v>
      </c>
      <c r="Q27" s="51" t="str">
        <f>INDEX(WS_Top200_Transm_Dist_2!I:I, MATCH('Site detail lookup'!$C27, WS_Top200_Transm_Dist_2!$B:$B, 0))</f>
        <v>TAP145943</v>
      </c>
      <c r="R27" s="51" t="str">
        <f>INDEX(WS_Top200_Transm_Dist_2!J:J, MATCH('Site detail lookup'!$C27, WS_Top200_Transm_Dist_2!$B:$B, 0))</f>
        <v>TAP173382</v>
      </c>
    </row>
    <row r="28" spans="2:18" x14ac:dyDescent="0.25">
      <c r="B28" s="52">
        <v>26</v>
      </c>
      <c r="C28" s="53" t="s">
        <v>232</v>
      </c>
      <c r="D28" s="53" t="s">
        <v>3740</v>
      </c>
      <c r="E28" s="53" t="s">
        <v>120</v>
      </c>
      <c r="F28" s="53" t="s">
        <v>3741</v>
      </c>
      <c r="G28" s="53" t="s">
        <v>234</v>
      </c>
      <c r="H28" s="54">
        <v>34.706699999999998</v>
      </c>
      <c r="I28" s="54">
        <v>-85.282700000000006</v>
      </c>
      <c r="J28" s="66" t="s">
        <v>3743</v>
      </c>
      <c r="K28" s="56">
        <f>INDEX('Top 200 COs'!X:X, MATCH('Site detail lookup'!$C28, 'Top 200 COs'!$C:$C, 0))</f>
        <v>37</v>
      </c>
      <c r="L28" s="56">
        <f>INDEX(WS_Top200_Existing_Power!B:B, MATCH('Site detail lookup'!C28, WS_Top200_Existing_Power!A:A, 0))</f>
        <v>125</v>
      </c>
      <c r="M28" s="56">
        <f>INDEX('Top 200 COs'!W:W, MATCH('Site detail lookup'!$C28, 'Top 200 COs'!$C:$C, 0))</f>
        <v>8000</v>
      </c>
      <c r="O28" s="51">
        <f>INDEX(WS_Top200_Transm_Dist_2!G:G, MATCH('Site detail lookup'!$C28, WS_Top200_Transm_Dist_2!$B:$B, 0))/5280</f>
        <v>0.59280303030303028</v>
      </c>
      <c r="P28" s="51">
        <f>INDEX(WS_Top200_Transm_Dist_2!O:O, MATCH('Site detail lookup'!$C28, WS_Top200_Transm_Dist_2!$B:$B, 0))</f>
        <v>115</v>
      </c>
      <c r="Q28" s="51" t="str">
        <f>INDEX(WS_Top200_Transm_Dist_2!I:I, MATCH('Site detail lookup'!$C28, WS_Top200_Transm_Dist_2!$B:$B, 0))</f>
        <v>UNKNOWN109795</v>
      </c>
      <c r="R28" s="51" t="str">
        <f>INDEX(WS_Top200_Transm_Dist_2!J:J, MATCH('Site detail lookup'!$C28, WS_Top200_Transm_Dist_2!$B:$B, 0))</f>
        <v>ROCK SPRING</v>
      </c>
    </row>
    <row r="29" spans="2:18" x14ac:dyDescent="0.25">
      <c r="B29" s="52">
        <v>27</v>
      </c>
      <c r="C29" s="53" t="s">
        <v>262</v>
      </c>
      <c r="D29" s="53" t="s">
        <v>260</v>
      </c>
      <c r="E29" s="53" t="s">
        <v>120</v>
      </c>
      <c r="F29" s="53" t="s">
        <v>3742</v>
      </c>
      <c r="G29" s="53" t="s">
        <v>264</v>
      </c>
      <c r="H29" s="54">
        <v>33.8904</v>
      </c>
      <c r="I29" s="54">
        <v>-83.719899999999996</v>
      </c>
      <c r="J29" s="66" t="s">
        <v>3743</v>
      </c>
      <c r="K29" s="56">
        <f>INDEX('Top 200 COs'!X:X, MATCH('Site detail lookup'!$C29, 'Top 200 COs'!$C:$C, 0))</f>
        <v>3</v>
      </c>
      <c r="L29" s="56">
        <f>INDEX(WS_Top200_Existing_Power!B:B, MATCH('Site detail lookup'!C29, WS_Top200_Existing_Power!A:A, 0))</f>
        <v>0</v>
      </c>
      <c r="M29" s="56">
        <f>INDEX('Top 200 COs'!W:W, MATCH('Site detail lookup'!$C29, 'Top 200 COs'!$C:$C, 0))</f>
        <v>11041</v>
      </c>
      <c r="N29" s="51" t="s">
        <v>3737</v>
      </c>
      <c r="O29" s="51">
        <f>INDEX(WS_Top200_Transm_Dist_2!G:G, MATCH('Site detail lookup'!$C29, WS_Top200_Transm_Dist_2!$B:$B, 0))/5280</f>
        <v>0.25113636363636366</v>
      </c>
      <c r="P29" s="51">
        <f>INDEX(WS_Top200_Transm_Dist_2!O:O, MATCH('Site detail lookup'!$C29, WS_Top200_Transm_Dist_2!$B:$B, 0))</f>
        <v>230</v>
      </c>
      <c r="Q29" s="51" t="str">
        <f>INDEX(WS_Top200_Transm_Dist_2!I:I, MATCH('Site detail lookup'!$C29, WS_Top200_Transm_Dist_2!$B:$B, 0))</f>
        <v>DOYLE ENERGY FACILITY</v>
      </c>
      <c r="R29" s="51" t="str">
        <f>INDEX(WS_Top200_Transm_Dist_2!J:J, MATCH('Site detail lookup'!$C29, WS_Top200_Transm_Dist_2!$B:$B, 0))</f>
        <v>UNKNOWN133851</v>
      </c>
    </row>
    <row r="30" spans="2:18" x14ac:dyDescent="0.25">
      <c r="B30" s="52">
        <v>28</v>
      </c>
      <c r="C30" s="53" t="s">
        <v>299</v>
      </c>
      <c r="D30" s="53" t="s">
        <v>302</v>
      </c>
      <c r="E30" s="53" t="s">
        <v>120</v>
      </c>
      <c r="F30" s="53" t="s">
        <v>3744</v>
      </c>
      <c r="G30" s="53" t="s">
        <v>301</v>
      </c>
      <c r="H30" s="54">
        <v>34.481499999999997</v>
      </c>
      <c r="I30" s="54">
        <v>-85.348699999999994</v>
      </c>
      <c r="J30" s="55">
        <f>INDEX(WS_Sites_Parcel_Sizes_FINAL!$I:$I, MATCH('Site detail lookup'!$C30, WS_Sites_Parcel_Sizes_FINAL!$A:$A, 0))</f>
        <v>0.52110000000000001</v>
      </c>
      <c r="K30" s="56">
        <f>INDEX('Top 200 COs'!X:X, MATCH('Site detail lookup'!$C30, 'Top 200 COs'!$C:$C, 0))</f>
        <v>33</v>
      </c>
      <c r="L30" s="56">
        <f>INDEX(WS_Top200_Existing_Power!B:B, MATCH('Site detail lookup'!C30, WS_Top200_Existing_Power!A:A, 0))</f>
        <v>100</v>
      </c>
      <c r="M30" s="56">
        <f>INDEX('Top 200 COs'!W:W, MATCH('Site detail lookup'!$C30, 'Top 200 COs'!$C:$C, 0))</f>
        <v>6846</v>
      </c>
      <c r="N30" s="61" t="s">
        <v>3745</v>
      </c>
      <c r="O30" s="51">
        <f>INDEX(WS_Top200_Transm_Dist_2!G:G, MATCH('Site detail lookup'!$C30, WS_Top200_Transm_Dist_2!$B:$B, 0))/5280</f>
        <v>0.79772727272727273</v>
      </c>
      <c r="P30" s="51">
        <f>INDEX(WS_Top200_Transm_Dist_2!O:O, MATCH('Site detail lookup'!$C30, WS_Top200_Transm_Dist_2!$B:$B, 0))</f>
        <v>-999999</v>
      </c>
      <c r="Q30" s="51" t="str">
        <f>INDEX(WS_Top200_Transm_Dist_2!I:I, MATCH('Site detail lookup'!$C30, WS_Top200_Transm_Dist_2!$B:$B, 0))</f>
        <v>UNKNOWN110421</v>
      </c>
      <c r="R30" s="51" t="str">
        <f>INDEX(WS_Top200_Transm_Dist_2!J:J, MATCH('Site detail lookup'!$C30, WS_Top200_Transm_Dist_2!$B:$B, 0))</f>
        <v>TAP149900</v>
      </c>
    </row>
    <row r="31" spans="2:18" x14ac:dyDescent="0.25">
      <c r="B31" s="62">
        <v>29</v>
      </c>
      <c r="C31" s="63" t="s">
        <v>670</v>
      </c>
      <c r="D31" s="63" t="s">
        <v>3746</v>
      </c>
      <c r="E31" s="63" t="s">
        <v>651</v>
      </c>
      <c r="F31" s="63" t="s">
        <v>3705</v>
      </c>
      <c r="G31" s="63" t="s">
        <v>672</v>
      </c>
      <c r="H31" s="64">
        <v>35.572000000000003</v>
      </c>
      <c r="I31" s="64">
        <v>-80.4178</v>
      </c>
      <c r="J31" s="55">
        <f>INDEX(WS_Sites_Parcel_Sizes_FINAL!$I:$I, MATCH('Site detail lookup'!$C31, WS_Sites_Parcel_Sizes_FINAL!$A:$A, 0))</f>
        <v>1.2988</v>
      </c>
      <c r="K31" s="56">
        <f>INDEX('Top 200 COs'!X:X, MATCH('Site detail lookup'!$C31, 'Top 200 COs'!$C:$C, 0))</f>
        <v>30</v>
      </c>
      <c r="L31" s="56">
        <f>INDEX(WS_Top200_Existing_Power!B:B, MATCH('Site detail lookup'!C31, WS_Top200_Existing_Power!A:A, 0))</f>
        <v>150</v>
      </c>
      <c r="M31" s="56">
        <f>INDEX('Top 200 COs'!W:W, MATCH('Site detail lookup'!$C31, 'Top 200 COs'!$C:$C, 0))</f>
        <v>4860</v>
      </c>
      <c r="O31" s="51">
        <f>INDEX(WS_Top200_Transm_Dist_2!G:G, MATCH('Site detail lookup'!$C31, WS_Top200_Transm_Dist_2!$B:$B, 0))/5280</f>
        <v>0.97178030303030305</v>
      </c>
      <c r="P31" s="51">
        <f>INDEX(WS_Top200_Transm_Dist_2!O:O, MATCH('Site detail lookup'!$C31, WS_Top200_Transm_Dist_2!$B:$B, 0))</f>
        <v>230</v>
      </c>
      <c r="Q31" s="51" t="str">
        <f>INDEX(WS_Top200_Transm_Dist_2!I:I, MATCH('Site detail lookup'!$C31, WS_Top200_Transm_Dist_2!$B:$B, 0))</f>
        <v>UNKNOWN114573</v>
      </c>
      <c r="R31" s="51" t="str">
        <f>INDEX(WS_Top200_Transm_Dist_2!J:J, MATCH('Site detail lookup'!$C31, WS_Top200_Transm_Dist_2!$B:$B, 0))</f>
        <v>UNKNOWN114701</v>
      </c>
    </row>
    <row r="32" spans="2:18" x14ac:dyDescent="0.25">
      <c r="B32" s="62">
        <v>30</v>
      </c>
      <c r="C32" s="63" t="s">
        <v>665</v>
      </c>
      <c r="D32" s="63" t="s">
        <v>668</v>
      </c>
      <c r="E32" s="63" t="s">
        <v>651</v>
      </c>
      <c r="F32" s="63" t="s">
        <v>3704</v>
      </c>
      <c r="G32" s="63" t="s">
        <v>667</v>
      </c>
      <c r="H32" s="64">
        <v>35.226700000000001</v>
      </c>
      <c r="I32" s="64">
        <v>-80.122699999999995</v>
      </c>
      <c r="J32" s="55">
        <f>INDEX(WS_Sites_Parcel_Sizes_FINAL!$I:$I, MATCH('Site detail lookup'!$C32, WS_Sites_Parcel_Sizes_FINAL!$A:$A, 0))</f>
        <v>0.22789999999999999</v>
      </c>
      <c r="K32" s="56">
        <f>INDEX('Top 200 COs'!X:X, MATCH('Site detail lookup'!$C32, 'Top 200 COs'!$C:$C, 0))</f>
        <v>15</v>
      </c>
      <c r="L32" s="56">
        <f>INDEX(WS_Top200_Existing_Power!B:B, MATCH('Site detail lookup'!C32, WS_Top200_Existing_Power!A:A, 0))</f>
        <v>75</v>
      </c>
      <c r="M32" s="56">
        <f>INDEX('Top 200 COs'!W:W, MATCH('Site detail lookup'!$C32, 'Top 200 COs'!$C:$C, 0))</f>
        <v>3400</v>
      </c>
      <c r="O32" s="51">
        <f>INDEX(WS_Top200_Transm_Dist_2!G:G, MATCH('Site detail lookup'!$C32, WS_Top200_Transm_Dist_2!$B:$B, 0))/5280</f>
        <v>0.74488636363636362</v>
      </c>
      <c r="P32" s="51">
        <f>INDEX(WS_Top200_Transm_Dist_2!O:O, MATCH('Site detail lookup'!$C32, WS_Top200_Transm_Dist_2!$B:$B, 0))</f>
        <v>100</v>
      </c>
      <c r="Q32" s="51" t="str">
        <f>INDEX(WS_Top200_Transm_Dist_2!I:I, MATCH('Site detail lookup'!$C32, WS_Top200_Transm_Dist_2!$B:$B, 0))</f>
        <v>UNKNOWN114221</v>
      </c>
      <c r="R32" s="51" t="str">
        <f>INDEX(WS_Top200_Transm_Dist_2!J:J, MATCH('Site detail lookup'!$C32, WS_Top200_Transm_Dist_2!$B:$B, 0))</f>
        <v>TAP150528</v>
      </c>
    </row>
    <row r="33" spans="2:18" x14ac:dyDescent="0.25">
      <c r="B33" s="62">
        <v>31</v>
      </c>
      <c r="C33" s="63" t="s">
        <v>815</v>
      </c>
      <c r="D33" s="63" t="s">
        <v>818</v>
      </c>
      <c r="E33" s="63" t="s">
        <v>675</v>
      </c>
      <c r="F33" s="63" t="s">
        <v>3747</v>
      </c>
      <c r="G33" s="63" t="s">
        <v>817</v>
      </c>
      <c r="H33" s="64">
        <v>39.866</v>
      </c>
      <c r="I33" s="64">
        <v>-80.799000000000007</v>
      </c>
      <c r="J33" s="56">
        <f>INDEX(WS_Sites_Parcel_Sizes_FINAL!$I:$I, MATCH('Site detail lookup'!$C33, WS_Sites_Parcel_Sizes_FINAL!$A:$A, 0))</f>
        <v>7.4700000000000003E-2</v>
      </c>
      <c r="K33" s="56">
        <f>INDEX('Top 200 COs'!X:X, MATCH('Site detail lookup'!$C33, 'Top 200 COs'!$C:$C, 0))</f>
        <v>18</v>
      </c>
      <c r="L33" s="56">
        <f>INDEX(WS_Top200_Existing_Power!B:B, MATCH('Site detail lookup'!C33, WS_Top200_Existing_Power!A:A, 0))</f>
        <v>60</v>
      </c>
      <c r="M33" s="56">
        <f>INDEX('Top 200 COs'!W:W, MATCH('Site detail lookup'!$C33, 'Top 200 COs'!$C:$C, 0))</f>
        <v>3534</v>
      </c>
      <c r="N33" s="51" t="s">
        <v>3748</v>
      </c>
      <c r="O33" s="51">
        <f>INDEX(WS_Top200_Transm_Dist_2!G:G, MATCH('Site detail lookup'!$C33, WS_Top200_Transm_Dist_2!$B:$B, 0))/5280</f>
        <v>0.66780303030303034</v>
      </c>
      <c r="P33" s="51">
        <f>INDEX(WS_Top200_Transm_Dist_2!O:O, MATCH('Site detail lookup'!$C33, WS_Top200_Transm_Dist_2!$B:$B, 0))</f>
        <v>69</v>
      </c>
      <c r="Q33" s="51" t="str">
        <f>INDEX(WS_Top200_Transm_Dist_2!I:I, MATCH('Site detail lookup'!$C33, WS_Top200_Transm_Dist_2!$B:$B, 0))</f>
        <v>KAMMER (138KV)</v>
      </c>
      <c r="R33" s="51" t="str">
        <f>INDEX(WS_Top200_Transm_Dist_2!J:J, MATCH('Site detail lookup'!$C33, WS_Top200_Transm_Dist_2!$B:$B, 0))</f>
        <v>GEORGE WASHINGTON</v>
      </c>
    </row>
    <row r="34" spans="2:18" x14ac:dyDescent="0.25">
      <c r="B34" s="62">
        <v>32</v>
      </c>
      <c r="C34" s="63" t="s">
        <v>730</v>
      </c>
      <c r="D34" s="63" t="s">
        <v>733</v>
      </c>
      <c r="E34" s="63" t="s">
        <v>675</v>
      </c>
      <c r="F34" s="63" t="s">
        <v>3719</v>
      </c>
      <c r="G34" s="63" t="s">
        <v>732</v>
      </c>
      <c r="H34" s="64">
        <v>40.067599999999999</v>
      </c>
      <c r="I34" s="64">
        <v>-82.519000000000005</v>
      </c>
      <c r="J34" s="55">
        <f>INDEX(WS_Sites_Parcel_Sizes_FINAL!$I:$I, MATCH('Site detail lookup'!$C34, WS_Sites_Parcel_Sizes_FINAL!$A:$A, 0))</f>
        <v>0.17749999999999999</v>
      </c>
      <c r="K34" s="56">
        <f>INDEX('Top 200 COs'!X:X, MATCH('Site detail lookup'!$C34, 'Top 200 COs'!$C:$C, 0))</f>
        <v>24</v>
      </c>
      <c r="L34" s="56">
        <f>INDEX(WS_Top200_Existing_Power!B:B, MATCH('Site detail lookup'!C34, WS_Top200_Existing_Power!A:A, 0))</f>
        <v>100</v>
      </c>
      <c r="M34" s="56">
        <f>INDEX('Top 200 COs'!W:W, MATCH('Site detail lookup'!$C34, 'Top 200 COs'!$C:$C, 0))</f>
        <v>6307</v>
      </c>
      <c r="O34" s="51">
        <f>INDEX(WS_Top200_Transm_Dist_2!G:G, MATCH('Site detail lookup'!$C34, WS_Top200_Transm_Dist_2!$B:$B, 0))/5280</f>
        <v>0.52897727272727268</v>
      </c>
      <c r="P34" s="51">
        <f>INDEX(WS_Top200_Transm_Dist_2!O:O, MATCH('Site detail lookup'!$C34, WS_Top200_Transm_Dist_2!$B:$B, 0))</f>
        <v>69</v>
      </c>
      <c r="Q34" s="51" t="str">
        <f>INDEX(WS_Top200_Transm_Dist_2!I:I, MATCH('Site detail lookup'!$C34, WS_Top200_Transm_Dist_2!$B:$B, 0))</f>
        <v>UNKNOWN112973</v>
      </c>
      <c r="R34" s="51" t="str">
        <f>INDEX(WS_Top200_Transm_Dist_2!J:J, MATCH('Site detail lookup'!$C34, WS_Top200_Transm_Dist_2!$B:$B, 0))</f>
        <v>TAP171386</v>
      </c>
    </row>
    <row r="35" spans="2:18" x14ac:dyDescent="0.25">
      <c r="B35" s="62">
        <v>33</v>
      </c>
      <c r="C35" s="63" t="s">
        <v>769</v>
      </c>
      <c r="D35" s="63" t="s">
        <v>3749</v>
      </c>
      <c r="E35" s="63" t="s">
        <v>675</v>
      </c>
      <c r="F35" s="63" t="s">
        <v>3719</v>
      </c>
      <c r="G35" s="63" t="s">
        <v>771</v>
      </c>
      <c r="H35" s="64">
        <v>40.0413</v>
      </c>
      <c r="I35" s="64">
        <v>-82.441699999999997</v>
      </c>
      <c r="J35" s="55">
        <f>INDEX(WS_Sites_Parcel_Sizes_FINAL!$I:$I, MATCH('Site detail lookup'!$C35, WS_Sites_Parcel_Sizes_FINAL!$A:$A, 0))</f>
        <v>0.14580000000000001</v>
      </c>
      <c r="K35" s="56">
        <f>INDEX('Top 200 COs'!X:X, MATCH('Site detail lookup'!$C35, 'Top 200 COs'!$C:$C, 0))</f>
        <v>27</v>
      </c>
      <c r="L35" s="56">
        <f>INDEX(WS_Top200_Existing_Power!B:B, MATCH('Site detail lookup'!C35, WS_Top200_Existing_Power!A:A, 0))</f>
        <v>100</v>
      </c>
      <c r="M35" s="56">
        <f>INDEX('Top 200 COs'!W:W, MATCH('Site detail lookup'!$C35, 'Top 200 COs'!$C:$C, 0))</f>
        <v>3614</v>
      </c>
      <c r="O35" s="51">
        <f>INDEX(WS_Top200_Transm_Dist_2!G:G, MATCH('Site detail lookup'!$C35, WS_Top200_Transm_Dist_2!$B:$B, 0))/5280</f>
        <v>0.47462121212121211</v>
      </c>
      <c r="P35" s="51">
        <f>INDEX(WS_Top200_Transm_Dist_2!O:O, MATCH('Site detail lookup'!$C35, WS_Top200_Transm_Dist_2!$B:$B, 0))</f>
        <v>69</v>
      </c>
      <c r="Q35" s="51" t="str">
        <f>INDEX(WS_Top200_Transm_Dist_2!I:I, MATCH('Site detail lookup'!$C35, WS_Top200_Transm_Dist_2!$B:$B, 0))</f>
        <v>UNKNOWN113882</v>
      </c>
      <c r="R35" s="51" t="str">
        <f>INDEX(WS_Top200_Transm_Dist_2!J:J, MATCH('Site detail lookup'!$C35, WS_Top200_Transm_Dist_2!$B:$B, 0))</f>
        <v>UNKNOWN158903</v>
      </c>
    </row>
    <row r="36" spans="2:18" x14ac:dyDescent="0.25">
      <c r="B36" s="62">
        <v>34</v>
      </c>
      <c r="C36" s="63" t="s">
        <v>782</v>
      </c>
      <c r="D36" s="63" t="s">
        <v>772</v>
      </c>
      <c r="E36" s="63" t="s">
        <v>675</v>
      </c>
      <c r="F36" s="63" t="s">
        <v>3719</v>
      </c>
      <c r="G36" s="63" t="s">
        <v>3750</v>
      </c>
      <c r="H36" s="64">
        <v>40.057499999999997</v>
      </c>
      <c r="I36" s="64">
        <v>-82.427199999999999</v>
      </c>
      <c r="J36" s="56">
        <f>INDEX(WS_Sites_Parcel_Sizes_FINAL!$I:$I, MATCH('Site detail lookup'!$C36, WS_Sites_Parcel_Sizes_FINAL!$A:$A, 0))</f>
        <v>0.13120000000000001</v>
      </c>
      <c r="K36" s="56">
        <f>INDEX('Top 200 COs'!X:X, MATCH('Site detail lookup'!$C36, 'Top 200 COs'!$C:$C, 0))</f>
        <v>21</v>
      </c>
      <c r="L36" s="56">
        <f>INDEX(WS_Top200_Existing_Power!B:B, MATCH('Site detail lookup'!C36, WS_Top200_Existing_Power!A:A, 0))</f>
        <v>100</v>
      </c>
      <c r="M36" s="56">
        <f>INDEX('Top 200 COs'!W:W, MATCH('Site detail lookup'!$C36, 'Top 200 COs'!$C:$C, 0))</f>
        <v>8571</v>
      </c>
      <c r="N36" s="51" t="s">
        <v>3751</v>
      </c>
      <c r="O36" s="51">
        <f>INDEX(WS_Top200_Transm_Dist_2!G:G, MATCH('Site detail lookup'!$C36, WS_Top200_Transm_Dist_2!$B:$B, 0))/5280</f>
        <v>0.98162878787878793</v>
      </c>
      <c r="P36" s="51">
        <f>INDEX(WS_Top200_Transm_Dist_2!O:O, MATCH('Site detail lookup'!$C36, WS_Top200_Transm_Dist_2!$B:$B, 0))</f>
        <v>69</v>
      </c>
      <c r="Q36" s="51" t="str">
        <f>INDEX(WS_Top200_Transm_Dist_2!I:I, MATCH('Site detail lookup'!$C36, WS_Top200_Transm_Dist_2!$B:$B, 0))</f>
        <v>UNKNOWN112977</v>
      </c>
      <c r="R36" s="51" t="str">
        <f>INDEX(WS_Top200_Transm_Dist_2!J:J, MATCH('Site detail lookup'!$C36, WS_Top200_Transm_Dist_2!$B:$B, 0))</f>
        <v>UNKNOWN171395</v>
      </c>
    </row>
    <row r="37" spans="2:18" x14ac:dyDescent="0.25">
      <c r="B37" s="62">
        <v>35</v>
      </c>
      <c r="C37" s="63" t="s">
        <v>778</v>
      </c>
      <c r="D37" s="63" t="s">
        <v>772</v>
      </c>
      <c r="E37" s="63" t="s">
        <v>675</v>
      </c>
      <c r="F37" s="63" t="s">
        <v>3719</v>
      </c>
      <c r="G37" s="63" t="s">
        <v>780</v>
      </c>
      <c r="H37" s="64">
        <v>40.0869</v>
      </c>
      <c r="I37" s="64">
        <v>-82.427099999999996</v>
      </c>
      <c r="J37" s="56">
        <f>INDEX(WS_Sites_Parcel_Sizes_FINAL!$I:$I, MATCH('Site detail lookup'!$C37, WS_Sites_Parcel_Sizes_FINAL!$A:$A, 0))</f>
        <v>0.37240000000000001</v>
      </c>
      <c r="K37" s="56">
        <f>INDEX('Top 200 COs'!X:X, MATCH('Site detail lookup'!$C37, 'Top 200 COs'!$C:$C, 0))</f>
        <v>25</v>
      </c>
      <c r="L37" s="56">
        <f>INDEX(WS_Top200_Existing_Power!B:B, MATCH('Site detail lookup'!C37, WS_Top200_Existing_Power!A:A, 0))</f>
        <v>125</v>
      </c>
      <c r="M37" s="56">
        <f>INDEX('Top 200 COs'!W:W, MATCH('Site detail lookup'!$C37, 'Top 200 COs'!$C:$C, 0))</f>
        <v>3870</v>
      </c>
      <c r="N37" s="51" t="s">
        <v>3752</v>
      </c>
      <c r="O37" s="51">
        <f>INDEX(WS_Top200_Transm_Dist_2!G:G, MATCH('Site detail lookup'!$C37, WS_Top200_Transm_Dist_2!$B:$B, 0))/5280</f>
        <v>0.40265151515151515</v>
      </c>
      <c r="P37" s="51">
        <f>INDEX(WS_Top200_Transm_Dist_2!O:O, MATCH('Site detail lookup'!$C37, WS_Top200_Transm_Dist_2!$B:$B, 0))</f>
        <v>138</v>
      </c>
      <c r="Q37" s="51" t="str">
        <f>INDEX(WS_Top200_Transm_Dist_2!I:I, MATCH('Site detail lookup'!$C37, WS_Top200_Transm_Dist_2!$B:$B, 0))</f>
        <v>UNKNOWN113882</v>
      </c>
      <c r="R37" s="51" t="str">
        <f>INDEX(WS_Top200_Transm_Dist_2!J:J, MATCH('Site detail lookup'!$C37, WS_Top200_Transm_Dist_2!$B:$B, 0))</f>
        <v>NORTH NEWARK SUBSTATION</v>
      </c>
    </row>
    <row r="38" spans="2:18" x14ac:dyDescent="0.25">
      <c r="B38" s="62">
        <v>36</v>
      </c>
      <c r="C38" s="63" t="s">
        <v>521</v>
      </c>
      <c r="D38" s="63" t="s">
        <v>520</v>
      </c>
      <c r="E38" s="63" t="s">
        <v>517</v>
      </c>
      <c r="F38" s="63" t="s">
        <v>3723</v>
      </c>
      <c r="G38" s="63" t="s">
        <v>523</v>
      </c>
      <c r="H38" s="64">
        <v>38.4758</v>
      </c>
      <c r="I38" s="64">
        <v>-82.643900000000002</v>
      </c>
      <c r="J38" s="66" t="s">
        <v>3743</v>
      </c>
      <c r="K38" s="56">
        <f>INDEX('Top 200 COs'!X:X, MATCH('Site detail lookup'!$C38, 'Top 200 COs'!$C:$C, 0))</f>
        <v>232</v>
      </c>
      <c r="L38" s="56">
        <f>INDEX(WS_Top200_Existing_Power!B:B, MATCH('Site detail lookup'!C38, WS_Top200_Existing_Power!A:A, 0))</f>
        <v>600</v>
      </c>
      <c r="M38" s="56">
        <f>INDEX('Top 200 COs'!W:W, MATCH('Site detail lookup'!$C38, 'Top 200 COs'!$C:$C, 0))</f>
        <v>34184</v>
      </c>
      <c r="O38" s="51">
        <f>INDEX(WS_Top200_Transm_Dist_2!G:G, MATCH('Site detail lookup'!$C38, WS_Top200_Transm_Dist_2!$B:$B, 0))/5280</f>
        <v>0.43068181818181817</v>
      </c>
      <c r="P38" s="51">
        <f>INDEX(WS_Top200_Transm_Dist_2!O:O, MATCH('Site detail lookup'!$C38, WS_Top200_Transm_Dist_2!$B:$B, 0))</f>
        <v>69</v>
      </c>
      <c r="Q38" s="51" t="str">
        <f>INDEX(WS_Top200_Transm_Dist_2!I:I, MATCH('Site detail lookup'!$C38, WS_Top200_Transm_Dist_2!$B:$B, 0))</f>
        <v>UNKNOWN121253</v>
      </c>
      <c r="R38" s="51" t="str">
        <f>INDEX(WS_Top200_Transm_Dist_2!J:J, MATCH('Site detail lookup'!$C38, WS_Top200_Transm_Dist_2!$B:$B, 0))</f>
        <v>BELLEFONTE</v>
      </c>
    </row>
    <row r="39" spans="2:18" x14ac:dyDescent="0.25">
      <c r="B39" s="62">
        <v>37</v>
      </c>
      <c r="C39" s="63" t="s">
        <v>581</v>
      </c>
      <c r="D39" s="63" t="s">
        <v>584</v>
      </c>
      <c r="E39" s="63" t="s">
        <v>517</v>
      </c>
      <c r="F39" s="63" t="s">
        <v>584</v>
      </c>
      <c r="G39" s="63" t="s">
        <v>3753</v>
      </c>
      <c r="H39" s="64">
        <v>38.573399999999999</v>
      </c>
      <c r="I39" s="64">
        <v>-82.839600000000004</v>
      </c>
      <c r="J39" s="66" t="s">
        <v>3743</v>
      </c>
      <c r="K39" s="56">
        <f>INDEX('Top 200 COs'!X:X, MATCH('Site detail lookup'!$C39, 'Top 200 COs'!$C:$C, 0))</f>
        <v>52</v>
      </c>
      <c r="L39" s="56">
        <f>INDEX(WS_Top200_Existing_Power!B:B, MATCH('Site detail lookup'!C39, WS_Top200_Existing_Power!A:A, 0))</f>
        <v>100</v>
      </c>
      <c r="M39" s="56">
        <f>INDEX('Top 200 COs'!W:W, MATCH('Site detail lookup'!$C39, 'Top 200 COs'!$C:$C, 0))</f>
        <v>4100</v>
      </c>
      <c r="O39" s="51">
        <f>INDEX(WS_Top200_Transm_Dist_2!G:G, MATCH('Site detail lookup'!$C39, WS_Top200_Transm_Dist_2!$B:$B, 0))/5280</f>
        <v>1.7003787878787879</v>
      </c>
      <c r="P39" s="51">
        <f>INDEX(WS_Top200_Transm_Dist_2!O:O, MATCH('Site detail lookup'!$C39, WS_Top200_Transm_Dist_2!$B:$B, 0))</f>
        <v>69</v>
      </c>
      <c r="Q39" s="51" t="str">
        <f>INDEX(WS_Top200_Transm_Dist_2!I:I, MATCH('Site detail lookup'!$C39, WS_Top200_Transm_Dist_2!$B:$B, 0))</f>
        <v>UNKNOWN137848</v>
      </c>
      <c r="R39" s="51" t="str">
        <f>INDEX(WS_Top200_Transm_Dist_2!J:J, MATCH('Site detail lookup'!$C39, WS_Top200_Transm_Dist_2!$B:$B, 0))</f>
        <v>NOT AVAILABLE</v>
      </c>
    </row>
    <row r="40" spans="2:18" x14ac:dyDescent="0.25">
      <c r="B40" s="62">
        <v>38</v>
      </c>
      <c r="C40" s="63" t="s">
        <v>166</v>
      </c>
      <c r="D40" s="63" t="s">
        <v>165</v>
      </c>
      <c r="E40" s="63" t="s">
        <v>120</v>
      </c>
      <c r="F40" s="63" t="s">
        <v>3732</v>
      </c>
      <c r="G40" s="63" t="s">
        <v>168</v>
      </c>
      <c r="H40" s="64">
        <v>34.614800000000002</v>
      </c>
      <c r="I40" s="64">
        <v>-83.5244</v>
      </c>
      <c r="J40" s="56">
        <f>INDEX(WS_Sites_Parcel_Sizes_FINAL!$I:$I, MATCH('Site detail lookup'!$C40, WS_Sites_Parcel_Sizes_FINAL!$A:$A, 0))</f>
        <v>0.46339999999999998</v>
      </c>
      <c r="K40" s="56">
        <f>INDEX('Top 200 COs'!X:X, MATCH('Site detail lookup'!$C40, 'Top 200 COs'!$C:$C, 0))</f>
        <v>25</v>
      </c>
      <c r="L40" s="56">
        <f>INDEX(WS_Top200_Existing_Power!B:B, MATCH('Site detail lookup'!C40, WS_Top200_Existing_Power!A:A, 0))</f>
        <v>150</v>
      </c>
      <c r="M40" s="56">
        <f>INDEX('Top 200 COs'!W:W, MATCH('Site detail lookup'!$C40, 'Top 200 COs'!$C:$C, 0))</f>
        <v>7500</v>
      </c>
      <c r="N40" s="51" t="s">
        <v>3754</v>
      </c>
      <c r="O40" s="51">
        <f>INDEX(WS_Top200_Transm_Dist_2!G:G, MATCH('Site detail lookup'!$C40, WS_Top200_Transm_Dist_2!$B:$B, 0))/5280</f>
        <v>0.3058712121212121</v>
      </c>
      <c r="P40" s="51">
        <f>INDEX(WS_Top200_Transm_Dist_2!O:O, MATCH('Site detail lookup'!$C40, WS_Top200_Transm_Dist_2!$B:$B, 0))</f>
        <v>-999999</v>
      </c>
      <c r="Q40" s="51" t="str">
        <f>INDEX(WS_Top200_Transm_Dist_2!I:I, MATCH('Site detail lookup'!$C40, WS_Top200_Transm_Dist_2!$B:$B, 0))</f>
        <v>TAP173810</v>
      </c>
      <c r="R40" s="51" t="str">
        <f>INDEX(WS_Top200_Transm_Dist_2!J:J, MATCH('Site detail lookup'!$C40, WS_Top200_Transm_Dist_2!$B:$B, 0))</f>
        <v>UNKNOWN173811</v>
      </c>
    </row>
    <row r="41" spans="2:18" x14ac:dyDescent="0.25">
      <c r="B41" s="62">
        <v>39</v>
      </c>
      <c r="C41" s="63" t="s">
        <v>175</v>
      </c>
      <c r="D41" s="63" t="s">
        <v>178</v>
      </c>
      <c r="E41" s="63" t="s">
        <v>120</v>
      </c>
      <c r="F41" s="63" t="s">
        <v>3755</v>
      </c>
      <c r="G41" s="63" t="s">
        <v>3756</v>
      </c>
      <c r="H41" s="64">
        <v>34.204000000000001</v>
      </c>
      <c r="I41" s="64">
        <v>-83.459500000000006</v>
      </c>
      <c r="J41" s="56">
        <f>INDEX(WS_Sites_Parcel_Sizes_FINAL!$I:$I, MATCH('Site detail lookup'!$C41, WS_Sites_Parcel_Sizes_FINAL!$A:$A, 0))</f>
        <v>0.3236</v>
      </c>
      <c r="K41" s="56">
        <f>INDEX('Top 200 COs'!X:X, MATCH('Site detail lookup'!$C41, 'Top 200 COs'!$C:$C, 0))</f>
        <v>128</v>
      </c>
      <c r="L41" s="56">
        <f>INDEX(WS_Top200_Existing_Power!B:B, MATCH('Site detail lookup'!C41, WS_Top200_Existing_Power!A:A, 0))</f>
        <v>450</v>
      </c>
      <c r="M41" s="56">
        <f>INDEX('Top 200 COs'!W:W, MATCH('Site detail lookup'!$C41, 'Top 200 COs'!$C:$C, 0))</f>
        <v>9417</v>
      </c>
      <c r="N41" s="51" t="s">
        <v>3751</v>
      </c>
      <c r="O41" s="51">
        <f>INDEX(WS_Top200_Transm_Dist_2!G:G, MATCH('Site detail lookup'!$C41, WS_Top200_Transm_Dist_2!$B:$B, 0))/5280</f>
        <v>0.63655303030303034</v>
      </c>
      <c r="P41" s="51">
        <f>INDEX(WS_Top200_Transm_Dist_2!O:O, MATCH('Site detail lookup'!$C41, WS_Top200_Transm_Dist_2!$B:$B, 0))</f>
        <v>115</v>
      </c>
      <c r="Q41" s="51" t="str">
        <f>INDEX(WS_Top200_Transm_Dist_2!I:I, MATCH('Site detail lookup'!$C41, WS_Top200_Transm_Dist_2!$B:$B, 0))</f>
        <v>UNKNOWN111494</v>
      </c>
      <c r="R41" s="51" t="str">
        <f>INDEX(WS_Top200_Transm_Dist_2!J:J, MATCH('Site detail lookup'!$C41, WS_Top200_Transm_Dist_2!$B:$B, 0))</f>
        <v>UNKNOWN111501</v>
      </c>
    </row>
    <row r="42" spans="2:18" x14ac:dyDescent="0.25">
      <c r="B42" s="62">
        <v>40</v>
      </c>
      <c r="C42" s="63" t="s">
        <v>218</v>
      </c>
      <c r="D42" s="63" t="s">
        <v>221</v>
      </c>
      <c r="E42" s="63" t="s">
        <v>120</v>
      </c>
      <c r="F42" s="63" t="s">
        <v>3757</v>
      </c>
      <c r="G42" s="63" t="s">
        <v>220</v>
      </c>
      <c r="H42" s="64">
        <v>34.951700000000002</v>
      </c>
      <c r="I42" s="64">
        <v>-83.758300000000006</v>
      </c>
      <c r="J42" s="66" t="s">
        <v>3743</v>
      </c>
      <c r="K42" s="56">
        <f>INDEX('Top 200 COs'!X:X, MATCH('Site detail lookup'!$C42, 'Top 200 COs'!$C:$C, 0))</f>
        <v>19</v>
      </c>
      <c r="L42" s="56">
        <f>INDEX(WS_Top200_Existing_Power!B:B, MATCH('Site detail lookup'!C42, WS_Top200_Existing_Power!A:A, 0))</f>
        <v>150</v>
      </c>
      <c r="M42" s="56">
        <f>INDEX('Top 200 COs'!W:W, MATCH('Site detail lookup'!$C42, 'Top 200 COs'!$C:$C, 0))</f>
        <v>3026</v>
      </c>
      <c r="N42" s="51" t="s">
        <v>3758</v>
      </c>
      <c r="O42" s="51">
        <f>INDEX(WS_Top200_Transm_Dist_2!G:G, MATCH('Site detail lookup'!$C42, WS_Top200_Transm_Dist_2!$B:$B, 0))/5280</f>
        <v>1.5909090909090907E-2</v>
      </c>
      <c r="P42" s="51">
        <f>INDEX(WS_Top200_Transm_Dist_2!O:O, MATCH('Site detail lookup'!$C42, WS_Top200_Transm_Dist_2!$B:$B, 0))</f>
        <v>69</v>
      </c>
      <c r="Q42" s="51" t="str">
        <f>INDEX(WS_Top200_Transm_Dist_2!I:I, MATCH('Site detail lookup'!$C42, WS_Top200_Transm_Dist_2!$B:$B, 0))</f>
        <v>UNKNOWN116503</v>
      </c>
      <c r="R42" s="51" t="str">
        <f>INDEX(WS_Top200_Transm_Dist_2!J:J, MATCH('Site detail lookup'!$C42, WS_Top200_Transm_Dist_2!$B:$B, 0))</f>
        <v>TAP151237</v>
      </c>
    </row>
    <row r="43" spans="2:18" x14ac:dyDescent="0.25">
      <c r="B43" s="62">
        <v>41</v>
      </c>
      <c r="C43" s="63" t="s">
        <v>228</v>
      </c>
      <c r="D43" s="63" t="s">
        <v>107</v>
      </c>
      <c r="E43" s="63" t="s">
        <v>120</v>
      </c>
      <c r="F43" s="63" t="s">
        <v>3759</v>
      </c>
      <c r="G43" s="63" t="s">
        <v>230</v>
      </c>
      <c r="H43" s="64">
        <v>34.468200000000003</v>
      </c>
      <c r="I43" s="64">
        <v>-84.431399999999996</v>
      </c>
      <c r="J43" s="66" t="s">
        <v>3743</v>
      </c>
      <c r="K43" s="56">
        <f>INDEX('Top 200 COs'!X:X, MATCH('Site detail lookup'!$C43, 'Top 200 COs'!$C:$C, 0))</f>
        <v>22</v>
      </c>
      <c r="L43" s="56">
        <f>INDEX(WS_Top200_Existing_Power!B:B, MATCH('Site detail lookup'!C43, WS_Top200_Existing_Power!A:A, 0))</f>
        <v>125</v>
      </c>
      <c r="M43" s="56">
        <f>INDEX('Top 200 COs'!W:W, MATCH('Site detail lookup'!$C43, 'Top 200 COs'!$C:$C, 0))</f>
        <v>3452</v>
      </c>
      <c r="N43" s="51" t="s">
        <v>3760</v>
      </c>
      <c r="O43" s="51">
        <f>INDEX(WS_Top200_Transm_Dist_2!G:G, MATCH('Site detail lookup'!$C43, WS_Top200_Transm_Dist_2!$B:$B, 0))/5280</f>
        <v>0.55378787878787883</v>
      </c>
      <c r="P43" s="51">
        <f>INDEX(WS_Top200_Transm_Dist_2!O:O, MATCH('Site detail lookup'!$C43, WS_Top200_Transm_Dist_2!$B:$B, 0))</f>
        <v>-999999</v>
      </c>
      <c r="Q43" s="51" t="str">
        <f>INDEX(WS_Top200_Transm_Dist_2!I:I, MATCH('Site detail lookup'!$C43, WS_Top200_Transm_Dist_2!$B:$B, 0))</f>
        <v>UNKNOWN169053</v>
      </c>
      <c r="R43" s="51" t="str">
        <f>INDEX(WS_Top200_Transm_Dist_2!J:J, MATCH('Site detail lookup'!$C43, WS_Top200_Transm_Dist_2!$B:$B, 0))</f>
        <v>TAP169054</v>
      </c>
    </row>
    <row r="44" spans="2:18" x14ac:dyDescent="0.25">
      <c r="B44" s="62">
        <v>42</v>
      </c>
      <c r="C44" s="63" t="s">
        <v>257</v>
      </c>
      <c r="D44" s="63" t="s">
        <v>260</v>
      </c>
      <c r="E44" s="63" t="s">
        <v>120</v>
      </c>
      <c r="F44" s="63" t="s">
        <v>3742</v>
      </c>
      <c r="G44" s="63" t="s">
        <v>259</v>
      </c>
      <c r="H44" s="64">
        <v>33.796500000000002</v>
      </c>
      <c r="I44" s="64">
        <v>-83.712500000000006</v>
      </c>
      <c r="J44" s="66" t="s">
        <v>3743</v>
      </c>
      <c r="K44" s="56">
        <f>INDEX('Top 200 COs'!X:X, MATCH('Site detail lookup'!$C44, 'Top 200 COs'!$C:$C, 0))</f>
        <v>36</v>
      </c>
      <c r="L44" s="56">
        <f>INDEX(WS_Top200_Existing_Power!B:B, MATCH('Site detail lookup'!C44, WS_Top200_Existing_Power!A:A, 0))</f>
        <v>125</v>
      </c>
      <c r="M44" s="56">
        <f>INDEX('Top 200 COs'!W:W, MATCH('Site detail lookup'!$C44, 'Top 200 COs'!$C:$C, 0))</f>
        <v>4860</v>
      </c>
      <c r="N44" s="51" t="s">
        <v>3761</v>
      </c>
      <c r="O44" s="51">
        <f>INDEX(WS_Top200_Transm_Dist_2!G:G, MATCH('Site detail lookup'!$C44, WS_Top200_Transm_Dist_2!$B:$B, 0))/5280</f>
        <v>0.19261363636363638</v>
      </c>
      <c r="P44" s="51">
        <f>INDEX(WS_Top200_Transm_Dist_2!O:O, MATCH('Site detail lookup'!$C44, WS_Top200_Transm_Dist_2!$B:$B, 0))</f>
        <v>115</v>
      </c>
      <c r="Q44" s="51" t="str">
        <f>INDEX(WS_Top200_Transm_Dist_2!I:I, MATCH('Site detail lookup'!$C44, WS_Top200_Transm_Dist_2!$B:$B, 0))</f>
        <v>UNKNOWN116149</v>
      </c>
      <c r="R44" s="51" t="str">
        <f>INDEX(WS_Top200_Transm_Dist_2!J:J, MATCH('Site detail lookup'!$C44, WS_Top200_Transm_Dist_2!$B:$B, 0))</f>
        <v>UNKNOWN116150</v>
      </c>
    </row>
    <row r="45" spans="2:18" x14ac:dyDescent="0.25">
      <c r="B45" s="62">
        <v>43</v>
      </c>
      <c r="C45" s="63" t="s">
        <v>323</v>
      </c>
      <c r="D45" s="63" t="s">
        <v>326</v>
      </c>
      <c r="E45" s="63" t="s">
        <v>120</v>
      </c>
      <c r="F45" s="63" t="s">
        <v>3762</v>
      </c>
      <c r="G45" s="63" t="s">
        <v>325</v>
      </c>
      <c r="H45" s="64">
        <v>33.994599999999998</v>
      </c>
      <c r="I45" s="64">
        <v>-83.721199999999996</v>
      </c>
      <c r="J45" s="56">
        <f>INDEX(WS_Sites_Parcel_Sizes_FINAL!$I:$I, MATCH('Site detail lookup'!$C45, WS_Sites_Parcel_Sizes_FINAL!$A:$A, 0))</f>
        <v>0.64080000000000004</v>
      </c>
      <c r="K45" s="56">
        <f>INDEX('Top 200 COs'!X:X, MATCH('Site detail lookup'!$C45, 'Top 200 COs'!$C:$C, 0))</f>
        <v>119</v>
      </c>
      <c r="L45" s="56">
        <f>INDEX(WS_Top200_Existing_Power!B:B, MATCH('Site detail lookup'!C45, WS_Top200_Existing_Power!A:A, 0))</f>
        <v>350</v>
      </c>
      <c r="M45" s="56">
        <f>INDEX('Top 200 COs'!W:W, MATCH('Site detail lookup'!$C45, 'Top 200 COs'!$C:$C, 0))</f>
        <v>7771</v>
      </c>
      <c r="N45" s="51" t="s">
        <v>3763</v>
      </c>
      <c r="O45" s="51">
        <f>INDEX(WS_Top200_Transm_Dist_2!G:G, MATCH('Site detail lookup'!$C45, WS_Top200_Transm_Dist_2!$B:$B, 0))/5280</f>
        <v>1.3920454545454546</v>
      </c>
      <c r="P45" s="51">
        <f>INDEX(WS_Top200_Transm_Dist_2!O:O, MATCH('Site detail lookup'!$C45, WS_Top200_Transm_Dist_2!$B:$B, 0))</f>
        <v>230</v>
      </c>
      <c r="Q45" s="51" t="str">
        <f>INDEX(WS_Top200_Transm_Dist_2!I:I, MATCH('Site detail lookup'!$C45, WS_Top200_Transm_Dist_2!$B:$B, 0))</f>
        <v>UNKNOWN111503</v>
      </c>
      <c r="R45" s="51" t="str">
        <f>INDEX(WS_Top200_Transm_Dist_2!J:J, MATCH('Site detail lookup'!$C45, WS_Top200_Transm_Dist_2!$B:$B, 0))</f>
        <v>WINDER</v>
      </c>
    </row>
    <row r="46" spans="2:18" x14ac:dyDescent="0.25">
      <c r="B46" s="62">
        <v>44</v>
      </c>
      <c r="C46" s="63" t="s">
        <v>971</v>
      </c>
      <c r="D46" s="63" t="s">
        <v>970</v>
      </c>
      <c r="E46" s="63" t="s">
        <v>905</v>
      </c>
      <c r="F46" s="63" t="s">
        <v>3764</v>
      </c>
      <c r="G46" s="63" t="s">
        <v>973</v>
      </c>
      <c r="H46" s="64">
        <v>31.404399999999999</v>
      </c>
      <c r="I46" s="64">
        <v>-103.503</v>
      </c>
      <c r="J46" s="66" t="s">
        <v>3743</v>
      </c>
      <c r="K46" s="56">
        <f>INDEX('Top 200 COs'!X:X, MATCH('Site detail lookup'!$C46, 'Top 200 COs'!$C:$C, 0))</f>
        <v>35</v>
      </c>
      <c r="L46" s="56">
        <f>INDEX(WS_Top200_Existing_Power!B:B, MATCH('Site detail lookup'!C46, WS_Top200_Existing_Power!A:A, 0))</f>
        <v>150</v>
      </c>
      <c r="M46" s="56">
        <f>INDEX('Top 200 COs'!W:W, MATCH('Site detail lookup'!$C46, 'Top 200 COs'!$C:$C, 0))</f>
        <v>3520</v>
      </c>
      <c r="N46" s="51" t="s">
        <v>3765</v>
      </c>
      <c r="O46" s="51">
        <f>INDEX(WS_Top200_Transm_Dist_2!G:G, MATCH('Site detail lookup'!$C46, WS_Top200_Transm_Dist_2!$B:$B, 0))/5280</f>
        <v>0.23238636363636364</v>
      </c>
      <c r="P46" s="51">
        <f>INDEX(WS_Top200_Transm_Dist_2!O:O, MATCH('Site detail lookup'!$C46, WS_Top200_Transm_Dist_2!$B:$B, 0))</f>
        <v>46</v>
      </c>
      <c r="Q46" s="51" t="str">
        <f>INDEX(WS_Top200_Transm_Dist_2!I:I, MATCH('Site detail lookup'!$C46, WS_Top200_Transm_Dist_2!$B:$B, 0))</f>
        <v>UNKNOWN300467</v>
      </c>
      <c r="R46" s="51" t="str">
        <f>INDEX(WS_Top200_Transm_Dist_2!J:J, MATCH('Site detail lookup'!$C46, WS_Top200_Transm_Dist_2!$B:$B, 0))</f>
        <v>NOT AVAILABLE</v>
      </c>
    </row>
    <row r="47" spans="2:18" x14ac:dyDescent="0.25">
      <c r="B47" s="62">
        <v>45</v>
      </c>
      <c r="C47" s="63" t="s">
        <v>749</v>
      </c>
      <c r="D47" s="63" t="s">
        <v>752</v>
      </c>
      <c r="E47" s="63" t="s">
        <v>675</v>
      </c>
      <c r="F47" s="63" t="s">
        <v>3766</v>
      </c>
      <c r="G47" s="63" t="s">
        <v>751</v>
      </c>
      <c r="H47" s="64">
        <v>40.6479</v>
      </c>
      <c r="I47" s="64">
        <v>-83.610299999999995</v>
      </c>
      <c r="J47" s="55">
        <f>INDEX(WS_Sites_Parcel_Sizes_FINAL!$I:$I, MATCH('Site detail lookup'!$C47, WS_Sites_Parcel_Sizes_FINAL!$A:$A, 0))</f>
        <v>0.20280000000000001</v>
      </c>
      <c r="K47" s="56">
        <f>INDEX('Top 200 COs'!X:X, MATCH('Site detail lookup'!$C47, 'Top 200 COs'!$C:$C, 0))</f>
        <v>30</v>
      </c>
      <c r="L47" s="56">
        <f>INDEX(WS_Top200_Existing_Power!B:B, MATCH('Site detail lookup'!C47, WS_Top200_Existing_Power!A:A, 0))</f>
        <v>125</v>
      </c>
      <c r="M47" s="56">
        <f>INDEX('Top 200 COs'!W:W, MATCH('Site detail lookup'!$C47, 'Top 200 COs'!$C:$C, 0))</f>
        <v>9800</v>
      </c>
      <c r="O47" s="51">
        <f>INDEX(WS_Top200_Transm_Dist_2!G:G, MATCH('Site detail lookup'!$C47, WS_Top200_Transm_Dist_2!$B:$B, 0))/5280</f>
        <v>1.5793560606060606</v>
      </c>
      <c r="P47" s="51">
        <f>INDEX(WS_Top200_Transm_Dist_2!O:O, MATCH('Site detail lookup'!$C47, WS_Top200_Transm_Dist_2!$B:$B, 0))</f>
        <v>138</v>
      </c>
      <c r="Q47" s="51" t="str">
        <f>INDEX(WS_Top200_Transm_Dist_2!I:I, MATCH('Site detail lookup'!$C47, WS_Top200_Transm_Dist_2!$B:$B, 0))</f>
        <v>UNKNOWN137331</v>
      </c>
      <c r="R47" s="51" t="str">
        <f>INDEX(WS_Top200_Transm_Dist_2!J:J, MATCH('Site detail lookup'!$C47, WS_Top200_Transm_Dist_2!$B:$B, 0))</f>
        <v>TAP140023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5C1A5-AB64-4AB5-B1A0-7A334E23E0D8}">
  <dimension ref="A1:R46"/>
  <sheetViews>
    <sheetView workbookViewId="0"/>
  </sheetViews>
  <sheetFormatPr defaultRowHeight="15" x14ac:dyDescent="0.25"/>
  <cols>
    <col min="7" max="7" width="9" customWidth="1"/>
  </cols>
  <sheetData>
    <row r="1" spans="1:18" x14ac:dyDescent="0.25">
      <c r="A1" t="s">
        <v>3767</v>
      </c>
      <c r="B1" t="s">
        <v>3768</v>
      </c>
      <c r="C1" t="s">
        <v>3769</v>
      </c>
      <c r="D1" t="s">
        <v>3770</v>
      </c>
      <c r="E1" t="s">
        <v>3771</v>
      </c>
      <c r="F1" t="s">
        <v>3772</v>
      </c>
      <c r="G1" t="s">
        <v>3773</v>
      </c>
      <c r="H1" t="s">
        <v>3774</v>
      </c>
      <c r="I1" t="s">
        <v>3775</v>
      </c>
      <c r="J1" t="s">
        <v>3776</v>
      </c>
      <c r="K1" t="s">
        <v>3777</v>
      </c>
      <c r="L1" t="s">
        <v>3778</v>
      </c>
      <c r="M1" t="s">
        <v>3779</v>
      </c>
      <c r="N1" t="s">
        <v>3780</v>
      </c>
      <c r="O1" t="s">
        <v>3781</v>
      </c>
      <c r="P1" t="s">
        <v>3782</v>
      </c>
      <c r="Q1" t="s">
        <v>3783</v>
      </c>
      <c r="R1" t="s">
        <v>3784</v>
      </c>
    </row>
    <row r="2" spans="1:18" x14ac:dyDescent="0.25">
      <c r="A2" t="s">
        <v>323</v>
      </c>
      <c r="B2" t="s">
        <v>325</v>
      </c>
      <c r="C2" t="s">
        <v>3785</v>
      </c>
      <c r="D2" t="s">
        <v>3762</v>
      </c>
      <c r="E2" t="s">
        <v>120</v>
      </c>
      <c r="F2" s="65" t="s">
        <v>3786</v>
      </c>
      <c r="G2">
        <v>-83.721187850000007</v>
      </c>
      <c r="H2" t="s">
        <v>3787</v>
      </c>
      <c r="I2">
        <v>0.64080000000000004</v>
      </c>
      <c r="J2">
        <v>27913</v>
      </c>
      <c r="K2">
        <v>2593.1999999999998</v>
      </c>
      <c r="N2" t="s">
        <v>3788</v>
      </c>
      <c r="P2" t="s">
        <v>3789</v>
      </c>
      <c r="Q2" t="s">
        <v>3790</v>
      </c>
    </row>
    <row r="3" spans="1:18" x14ac:dyDescent="0.25">
      <c r="A3" t="s">
        <v>299</v>
      </c>
      <c r="B3" t="s">
        <v>301</v>
      </c>
      <c r="C3" t="s">
        <v>3791</v>
      </c>
      <c r="D3" t="s">
        <v>3744</v>
      </c>
      <c r="E3" t="s">
        <v>120</v>
      </c>
      <c r="F3">
        <v>34.481520289999999</v>
      </c>
      <c r="G3">
        <v>-85.348709940000006</v>
      </c>
      <c r="H3" t="s">
        <v>3787</v>
      </c>
      <c r="I3">
        <v>0.52110000000000001</v>
      </c>
      <c r="J3">
        <v>22698</v>
      </c>
      <c r="K3">
        <v>2108.6999999999998</v>
      </c>
      <c r="L3">
        <v>0.51985359900000006</v>
      </c>
      <c r="M3" t="s">
        <v>3792</v>
      </c>
      <c r="N3" t="s">
        <v>3793</v>
      </c>
      <c r="P3" t="s">
        <v>3794</v>
      </c>
      <c r="Q3" t="s">
        <v>3795</v>
      </c>
    </row>
    <row r="4" spans="1:18" x14ac:dyDescent="0.25">
      <c r="A4" t="s">
        <v>151</v>
      </c>
      <c r="B4" t="s">
        <v>153</v>
      </c>
      <c r="C4" t="s">
        <v>3791</v>
      </c>
      <c r="D4" t="s">
        <v>3727</v>
      </c>
      <c r="E4" t="s">
        <v>120</v>
      </c>
      <c r="F4" s="65" t="s">
        <v>3796</v>
      </c>
      <c r="G4">
        <v>-84.490654989999996</v>
      </c>
      <c r="H4" t="s">
        <v>3787</v>
      </c>
      <c r="I4">
        <v>0.17430000000000001</v>
      </c>
      <c r="J4">
        <v>7593</v>
      </c>
      <c r="K4">
        <v>705.4</v>
      </c>
      <c r="L4">
        <v>1</v>
      </c>
      <c r="M4" t="s">
        <v>3797</v>
      </c>
      <c r="N4" t="s">
        <v>3798</v>
      </c>
      <c r="O4" t="s">
        <v>3799</v>
      </c>
      <c r="P4" t="s">
        <v>3800</v>
      </c>
      <c r="Q4" t="s">
        <v>3801</v>
      </c>
    </row>
    <row r="5" spans="1:18" x14ac:dyDescent="0.25">
      <c r="A5" t="s">
        <v>166</v>
      </c>
      <c r="B5" t="s">
        <v>168</v>
      </c>
      <c r="C5" t="s">
        <v>3785</v>
      </c>
      <c r="D5" t="s">
        <v>3732</v>
      </c>
      <c r="E5" t="s">
        <v>120</v>
      </c>
      <c r="F5" s="65" t="s">
        <v>3802</v>
      </c>
      <c r="G5">
        <v>-83.524355810000003</v>
      </c>
      <c r="H5" t="s">
        <v>3787</v>
      </c>
      <c r="I5">
        <v>0.46339999999999998</v>
      </c>
      <c r="J5">
        <v>20186</v>
      </c>
      <c r="K5">
        <v>1875.4</v>
      </c>
      <c r="L5">
        <v>0.46</v>
      </c>
      <c r="M5" t="s">
        <v>3803</v>
      </c>
      <c r="N5" s="65" t="s">
        <v>3804</v>
      </c>
      <c r="Q5" t="s">
        <v>3805</v>
      </c>
    </row>
    <row r="6" spans="1:18" x14ac:dyDescent="0.25">
      <c r="A6" t="s">
        <v>128</v>
      </c>
      <c r="B6" t="s">
        <v>130</v>
      </c>
      <c r="C6" t="s">
        <v>3791</v>
      </c>
      <c r="D6" t="s">
        <v>3732</v>
      </c>
      <c r="E6" t="s">
        <v>120</v>
      </c>
      <c r="F6">
        <v>34.497208469999997</v>
      </c>
      <c r="G6">
        <v>-83.549977670000004</v>
      </c>
      <c r="H6" t="s">
        <v>3787</v>
      </c>
      <c r="I6">
        <v>26.402699999999999</v>
      </c>
      <c r="J6">
        <v>1150101</v>
      </c>
      <c r="K6">
        <v>106848</v>
      </c>
      <c r="L6">
        <v>25.27</v>
      </c>
      <c r="M6" t="s">
        <v>3803</v>
      </c>
      <c r="N6" s="65" t="s">
        <v>3806</v>
      </c>
      <c r="Q6" t="s">
        <v>3805</v>
      </c>
      <c r="R6" t="s">
        <v>3807</v>
      </c>
    </row>
    <row r="7" spans="1:18" x14ac:dyDescent="0.25">
      <c r="A7" t="s">
        <v>181</v>
      </c>
      <c r="B7" t="s">
        <v>183</v>
      </c>
      <c r="C7" t="s">
        <v>3791</v>
      </c>
      <c r="D7" t="s">
        <v>3732</v>
      </c>
      <c r="E7" t="s">
        <v>120</v>
      </c>
      <c r="F7">
        <v>34.514516209999996</v>
      </c>
      <c r="G7">
        <v>-83.528180030000001</v>
      </c>
      <c r="H7" t="s">
        <v>3787</v>
      </c>
      <c r="I7">
        <v>1.1876</v>
      </c>
      <c r="J7">
        <v>51730</v>
      </c>
      <c r="K7">
        <v>4805.8999999999996</v>
      </c>
      <c r="L7">
        <v>1.18</v>
      </c>
      <c r="M7" t="s">
        <v>3803</v>
      </c>
      <c r="N7">
        <v>120</v>
      </c>
      <c r="Q7" t="s">
        <v>3805</v>
      </c>
    </row>
    <row r="8" spans="1:18" x14ac:dyDescent="0.25">
      <c r="A8" t="s">
        <v>175</v>
      </c>
      <c r="B8" t="s">
        <v>177</v>
      </c>
      <c r="C8" t="s">
        <v>3785</v>
      </c>
      <c r="D8" t="s">
        <v>3755</v>
      </c>
      <c r="E8" t="s">
        <v>120</v>
      </c>
      <c r="F8" s="65" t="s">
        <v>3808</v>
      </c>
      <c r="G8">
        <v>-83.459471219999998</v>
      </c>
      <c r="H8" t="s">
        <v>3787</v>
      </c>
      <c r="I8">
        <v>0.3236</v>
      </c>
      <c r="J8">
        <v>14096</v>
      </c>
      <c r="K8">
        <v>1309.5999999999999</v>
      </c>
      <c r="L8">
        <v>0.39</v>
      </c>
      <c r="M8" t="s">
        <v>3809</v>
      </c>
      <c r="N8" t="s">
        <v>3810</v>
      </c>
      <c r="P8" t="s">
        <v>3789</v>
      </c>
      <c r="Q8" t="s">
        <v>3811</v>
      </c>
    </row>
    <row r="9" spans="1:18" x14ac:dyDescent="0.25">
      <c r="A9" t="s">
        <v>186</v>
      </c>
      <c r="B9" t="s">
        <v>188</v>
      </c>
      <c r="C9" t="s">
        <v>3791</v>
      </c>
      <c r="D9" t="s">
        <v>3736</v>
      </c>
      <c r="E9" t="s">
        <v>120</v>
      </c>
      <c r="F9">
        <v>34.535423780000002</v>
      </c>
      <c r="G9">
        <v>-83.98251372</v>
      </c>
      <c r="H9" t="s">
        <v>3787</v>
      </c>
      <c r="I9">
        <v>1.4646999999999999</v>
      </c>
      <c r="J9">
        <v>63803</v>
      </c>
      <c r="K9">
        <v>5927.5</v>
      </c>
      <c r="L9">
        <v>1.46092</v>
      </c>
      <c r="M9" t="s">
        <v>3812</v>
      </c>
      <c r="N9" t="s">
        <v>3813</v>
      </c>
      <c r="O9">
        <v>24650</v>
      </c>
      <c r="P9" t="s">
        <v>3814</v>
      </c>
      <c r="Q9" t="s">
        <v>3815</v>
      </c>
    </row>
    <row r="10" spans="1:18" x14ac:dyDescent="0.25">
      <c r="A10" t="s">
        <v>160</v>
      </c>
      <c r="B10" t="s">
        <v>162</v>
      </c>
      <c r="C10" t="s">
        <v>3791</v>
      </c>
      <c r="D10" t="s">
        <v>3729</v>
      </c>
      <c r="E10" t="s">
        <v>120</v>
      </c>
      <c r="F10" s="65" t="s">
        <v>3816</v>
      </c>
      <c r="G10">
        <v>-84.76820927</v>
      </c>
      <c r="H10" t="s">
        <v>3817</v>
      </c>
      <c r="Q10" t="s">
        <v>3818</v>
      </c>
      <c r="R10" t="s">
        <v>3819</v>
      </c>
    </row>
    <row r="11" spans="1:18" x14ac:dyDescent="0.25">
      <c r="A11" t="s">
        <v>228</v>
      </c>
      <c r="B11" t="s">
        <v>230</v>
      </c>
      <c r="C11" t="s">
        <v>3785</v>
      </c>
      <c r="D11" t="s">
        <v>3759</v>
      </c>
      <c r="E11" t="s">
        <v>120</v>
      </c>
      <c r="F11">
        <v>34.468178790000003</v>
      </c>
      <c r="G11">
        <v>-84.431445010000004</v>
      </c>
      <c r="H11" t="s">
        <v>3817</v>
      </c>
      <c r="Q11" t="s">
        <v>3818</v>
      </c>
      <c r="R11" t="s">
        <v>3819</v>
      </c>
    </row>
    <row r="12" spans="1:18" x14ac:dyDescent="0.25">
      <c r="A12" t="s">
        <v>218</v>
      </c>
      <c r="B12" t="s">
        <v>220</v>
      </c>
      <c r="C12" t="s">
        <v>3785</v>
      </c>
      <c r="D12" t="s">
        <v>3757</v>
      </c>
      <c r="E12" t="s">
        <v>120</v>
      </c>
      <c r="F12">
        <v>34.951738210000002</v>
      </c>
      <c r="G12">
        <v>-83.758305739999997</v>
      </c>
      <c r="H12" t="s">
        <v>3817</v>
      </c>
      <c r="Q12" t="s">
        <v>3818</v>
      </c>
      <c r="R12" t="s">
        <v>3819</v>
      </c>
    </row>
    <row r="13" spans="1:18" x14ac:dyDescent="0.25">
      <c r="A13" t="s">
        <v>133</v>
      </c>
      <c r="B13" t="s">
        <v>135</v>
      </c>
      <c r="C13" t="s">
        <v>3791</v>
      </c>
      <c r="D13" t="s">
        <v>3725</v>
      </c>
      <c r="E13" t="s">
        <v>120</v>
      </c>
      <c r="F13" s="65" t="s">
        <v>3820</v>
      </c>
      <c r="G13">
        <v>-83.984808849999993</v>
      </c>
      <c r="H13" t="s">
        <v>3787</v>
      </c>
      <c r="I13">
        <v>4.2884000000000002</v>
      </c>
      <c r="J13">
        <v>186803</v>
      </c>
      <c r="K13">
        <v>17354.5</v>
      </c>
      <c r="N13" t="s">
        <v>3821</v>
      </c>
      <c r="Q13" t="s">
        <v>3822</v>
      </c>
    </row>
    <row r="14" spans="1:18" x14ac:dyDescent="0.25">
      <c r="A14" t="s">
        <v>232</v>
      </c>
      <c r="B14" t="s">
        <v>234</v>
      </c>
      <c r="C14" t="s">
        <v>3791</v>
      </c>
      <c r="D14" t="s">
        <v>3741</v>
      </c>
      <c r="E14" t="s">
        <v>120</v>
      </c>
      <c r="F14" s="65" t="s">
        <v>3823</v>
      </c>
      <c r="G14">
        <v>-85.282740489999995</v>
      </c>
      <c r="H14" t="s">
        <v>3817</v>
      </c>
      <c r="Q14" t="s">
        <v>3818</v>
      </c>
      <c r="R14" t="s">
        <v>3819</v>
      </c>
    </row>
    <row r="15" spans="1:18" x14ac:dyDescent="0.25">
      <c r="A15" t="s">
        <v>257</v>
      </c>
      <c r="B15" t="s">
        <v>259</v>
      </c>
      <c r="C15" t="s">
        <v>3785</v>
      </c>
      <c r="D15" t="s">
        <v>3742</v>
      </c>
      <c r="E15" t="s">
        <v>120</v>
      </c>
      <c r="F15" s="65" t="s">
        <v>3824</v>
      </c>
      <c r="G15">
        <v>-83.712538940000002</v>
      </c>
      <c r="H15" t="s">
        <v>3817</v>
      </c>
      <c r="Q15" t="s">
        <v>3818</v>
      </c>
      <c r="R15" t="s">
        <v>3819</v>
      </c>
    </row>
    <row r="16" spans="1:18" x14ac:dyDescent="0.25">
      <c r="A16" t="s">
        <v>262</v>
      </c>
      <c r="B16" t="s">
        <v>264</v>
      </c>
      <c r="C16" t="s">
        <v>3791</v>
      </c>
      <c r="D16" t="s">
        <v>3742</v>
      </c>
      <c r="E16" t="s">
        <v>120</v>
      </c>
      <c r="F16" s="65" t="s">
        <v>3825</v>
      </c>
      <c r="G16">
        <v>-83.719923170000001</v>
      </c>
      <c r="H16" t="s">
        <v>3817</v>
      </c>
      <c r="Q16" t="s">
        <v>3818</v>
      </c>
      <c r="R16" t="s">
        <v>3819</v>
      </c>
    </row>
    <row r="17" spans="1:18" x14ac:dyDescent="0.25">
      <c r="A17" t="s">
        <v>170</v>
      </c>
      <c r="B17" t="s">
        <v>172</v>
      </c>
      <c r="C17" t="s">
        <v>3791</v>
      </c>
      <c r="D17" t="s">
        <v>3731</v>
      </c>
      <c r="E17" t="s">
        <v>120</v>
      </c>
      <c r="F17" s="65" t="s">
        <v>3826</v>
      </c>
      <c r="G17">
        <v>-83.766127159999996</v>
      </c>
      <c r="H17" t="s">
        <v>3817</v>
      </c>
      <c r="Q17" t="s">
        <v>3818</v>
      </c>
      <c r="R17" t="s">
        <v>3819</v>
      </c>
    </row>
    <row r="18" spans="1:18" x14ac:dyDescent="0.25">
      <c r="A18" t="s">
        <v>191</v>
      </c>
      <c r="B18" t="s">
        <v>193</v>
      </c>
      <c r="C18" t="s">
        <v>3791</v>
      </c>
      <c r="D18" t="s">
        <v>3738</v>
      </c>
      <c r="E18" t="s">
        <v>120</v>
      </c>
      <c r="F18">
        <v>34.675054719999999</v>
      </c>
      <c r="G18">
        <v>-84.966387839999996</v>
      </c>
      <c r="H18" t="s">
        <v>3787</v>
      </c>
      <c r="I18">
        <v>2.3879999999999999</v>
      </c>
      <c r="J18">
        <v>104022</v>
      </c>
      <c r="K18">
        <v>9663.9</v>
      </c>
      <c r="L18">
        <v>5.01</v>
      </c>
      <c r="M18" t="s">
        <v>3827</v>
      </c>
      <c r="P18" t="s">
        <v>3828</v>
      </c>
      <c r="Q18" t="s">
        <v>3829</v>
      </c>
    </row>
    <row r="19" spans="1:18" x14ac:dyDescent="0.25">
      <c r="A19" t="s">
        <v>521</v>
      </c>
      <c r="B19" t="s">
        <v>523</v>
      </c>
      <c r="C19" t="s">
        <v>3785</v>
      </c>
      <c r="D19" t="s">
        <v>3723</v>
      </c>
      <c r="E19" t="s">
        <v>517</v>
      </c>
      <c r="F19" s="65" t="s">
        <v>3830</v>
      </c>
      <c r="G19">
        <v>-82.64385</v>
      </c>
      <c r="H19" t="s">
        <v>3817</v>
      </c>
      <c r="Q19" t="s">
        <v>3831</v>
      </c>
      <c r="R19" t="s">
        <v>3832</v>
      </c>
    </row>
    <row r="20" spans="1:18" x14ac:dyDescent="0.25">
      <c r="A20" t="s">
        <v>525</v>
      </c>
      <c r="B20" t="s">
        <v>527</v>
      </c>
      <c r="C20" t="s">
        <v>3791</v>
      </c>
      <c r="D20" t="s">
        <v>3723</v>
      </c>
      <c r="E20" t="s">
        <v>517</v>
      </c>
      <c r="F20" s="65" t="s">
        <v>3833</v>
      </c>
      <c r="G20">
        <v>-82.713032350000006</v>
      </c>
      <c r="H20" t="s">
        <v>3817</v>
      </c>
      <c r="Q20" t="s">
        <v>3831</v>
      </c>
      <c r="R20" t="s">
        <v>3832</v>
      </c>
    </row>
    <row r="21" spans="1:18" x14ac:dyDescent="0.25">
      <c r="A21" t="s">
        <v>581</v>
      </c>
      <c r="B21" t="s">
        <v>583</v>
      </c>
      <c r="C21" t="s">
        <v>3785</v>
      </c>
      <c r="D21" t="s">
        <v>584</v>
      </c>
      <c r="E21" t="s">
        <v>517</v>
      </c>
      <c r="F21" s="65" t="s">
        <v>3834</v>
      </c>
      <c r="G21">
        <v>-82.839626730000006</v>
      </c>
      <c r="H21" t="s">
        <v>3817</v>
      </c>
      <c r="Q21" t="s">
        <v>3831</v>
      </c>
      <c r="R21" t="s">
        <v>3832</v>
      </c>
    </row>
    <row r="22" spans="1:18" x14ac:dyDescent="0.25">
      <c r="A22" t="s">
        <v>647</v>
      </c>
      <c r="B22" t="s">
        <v>649</v>
      </c>
      <c r="C22" t="s">
        <v>3791</v>
      </c>
      <c r="D22" t="s">
        <v>3703</v>
      </c>
      <c r="E22" t="s">
        <v>651</v>
      </c>
      <c r="F22" s="65" t="s">
        <v>3835</v>
      </c>
      <c r="G22">
        <v>-79.426782549999999</v>
      </c>
      <c r="H22" t="s">
        <v>3787</v>
      </c>
      <c r="I22">
        <v>1.3423</v>
      </c>
      <c r="J22">
        <v>58469</v>
      </c>
      <c r="K22">
        <v>5432</v>
      </c>
      <c r="L22">
        <v>1.3380000000000001</v>
      </c>
      <c r="M22" t="s">
        <v>3836</v>
      </c>
      <c r="N22" s="65" t="s">
        <v>3837</v>
      </c>
      <c r="P22" t="s">
        <v>3838</v>
      </c>
      <c r="Q22" t="s">
        <v>3839</v>
      </c>
    </row>
    <row r="23" spans="1:18" x14ac:dyDescent="0.25">
      <c r="A23" t="s">
        <v>660</v>
      </c>
      <c r="B23" t="s">
        <v>662</v>
      </c>
      <c r="C23" t="s">
        <v>3791</v>
      </c>
      <c r="D23" t="s">
        <v>3705</v>
      </c>
      <c r="E23" t="s">
        <v>651</v>
      </c>
      <c r="F23" s="65" t="s">
        <v>3840</v>
      </c>
      <c r="G23">
        <v>-80.595882290000006</v>
      </c>
      <c r="H23" t="s">
        <v>3787</v>
      </c>
      <c r="I23">
        <v>0.42380000000000001</v>
      </c>
      <c r="J23">
        <v>18459</v>
      </c>
      <c r="K23">
        <v>1714.9</v>
      </c>
      <c r="L23">
        <v>0.42</v>
      </c>
      <c r="M23" t="s">
        <v>3841</v>
      </c>
      <c r="N23" t="s">
        <v>3842</v>
      </c>
      <c r="O23" t="s">
        <v>3843</v>
      </c>
      <c r="P23">
        <v>1525</v>
      </c>
      <c r="Q23" t="s">
        <v>3844</v>
      </c>
    </row>
    <row r="24" spans="1:18" x14ac:dyDescent="0.25">
      <c r="A24" t="s">
        <v>670</v>
      </c>
      <c r="B24" t="s">
        <v>672</v>
      </c>
      <c r="C24" t="s">
        <v>3785</v>
      </c>
      <c r="D24" t="s">
        <v>3705</v>
      </c>
      <c r="E24" t="s">
        <v>651</v>
      </c>
      <c r="F24">
        <v>35.572010749999997</v>
      </c>
      <c r="G24">
        <v>-80.417841600000003</v>
      </c>
      <c r="H24" t="s">
        <v>3787</v>
      </c>
      <c r="I24">
        <v>1.2988</v>
      </c>
      <c r="J24">
        <v>56574</v>
      </c>
      <c r="K24">
        <v>5255.9</v>
      </c>
      <c r="L24">
        <v>1.3</v>
      </c>
      <c r="M24" t="s">
        <v>3845</v>
      </c>
      <c r="N24" t="s">
        <v>3846</v>
      </c>
      <c r="O24" t="s">
        <v>3843</v>
      </c>
      <c r="P24">
        <v>8145</v>
      </c>
      <c r="Q24" t="s">
        <v>3844</v>
      </c>
    </row>
    <row r="25" spans="1:18" x14ac:dyDescent="0.25">
      <c r="A25" t="s">
        <v>654</v>
      </c>
      <c r="B25" t="s">
        <v>656</v>
      </c>
      <c r="C25" t="s">
        <v>3791</v>
      </c>
      <c r="D25" t="s">
        <v>3704</v>
      </c>
      <c r="E25" t="s">
        <v>651</v>
      </c>
      <c r="F25" s="65" t="s">
        <v>3847</v>
      </c>
      <c r="G25">
        <v>-80.199091730000006</v>
      </c>
      <c r="H25" t="s">
        <v>3787</v>
      </c>
      <c r="I25">
        <v>0.84230000000000005</v>
      </c>
      <c r="J25">
        <v>36691</v>
      </c>
      <c r="K25">
        <v>3408.7</v>
      </c>
      <c r="L25">
        <v>0.83989999999999998</v>
      </c>
      <c r="M25" t="s">
        <v>3792</v>
      </c>
      <c r="N25" s="65" t="s">
        <v>3848</v>
      </c>
      <c r="O25">
        <v>1923</v>
      </c>
      <c r="P25" t="s">
        <v>3849</v>
      </c>
      <c r="Q25" t="s">
        <v>3850</v>
      </c>
    </row>
    <row r="26" spans="1:18" x14ac:dyDescent="0.25">
      <c r="A26" t="s">
        <v>665</v>
      </c>
      <c r="B26" t="s">
        <v>667</v>
      </c>
      <c r="C26" t="s">
        <v>3785</v>
      </c>
      <c r="D26" t="s">
        <v>3704</v>
      </c>
      <c r="E26" t="s">
        <v>651</v>
      </c>
      <c r="F26">
        <v>35.22668599</v>
      </c>
      <c r="G26">
        <v>-80.12266339</v>
      </c>
      <c r="H26" t="s">
        <v>3787</v>
      </c>
      <c r="I26">
        <v>0.22789999999999999</v>
      </c>
      <c r="J26">
        <v>9927</v>
      </c>
      <c r="K26">
        <v>922.3</v>
      </c>
      <c r="L26">
        <v>0.62</v>
      </c>
      <c r="M26" t="s">
        <v>3792</v>
      </c>
      <c r="N26" s="65" t="s">
        <v>3851</v>
      </c>
      <c r="O26">
        <v>1923</v>
      </c>
      <c r="P26" t="s">
        <v>3852</v>
      </c>
      <c r="Q26" t="s">
        <v>3850</v>
      </c>
    </row>
    <row r="27" spans="1:18" x14ac:dyDescent="0.25">
      <c r="A27" t="s">
        <v>833</v>
      </c>
      <c r="B27" t="s">
        <v>835</v>
      </c>
      <c r="C27" t="s">
        <v>3791</v>
      </c>
      <c r="D27" t="s">
        <v>3708</v>
      </c>
      <c r="E27" t="s">
        <v>675</v>
      </c>
      <c r="F27">
        <v>41.86554916</v>
      </c>
      <c r="G27">
        <v>-80.783442190000002</v>
      </c>
      <c r="H27" t="s">
        <v>3787</v>
      </c>
      <c r="I27">
        <v>0.33760000000000001</v>
      </c>
      <c r="J27">
        <v>14704</v>
      </c>
      <c r="K27">
        <v>1366</v>
      </c>
      <c r="N27" t="s">
        <v>3853</v>
      </c>
      <c r="P27" t="s">
        <v>3854</v>
      </c>
      <c r="Q27" t="s">
        <v>3855</v>
      </c>
    </row>
    <row r="28" spans="1:18" x14ac:dyDescent="0.25">
      <c r="A28" t="s">
        <v>725</v>
      </c>
      <c r="B28" t="s">
        <v>727</v>
      </c>
      <c r="C28" t="s">
        <v>3791</v>
      </c>
      <c r="D28" t="s">
        <v>3708</v>
      </c>
      <c r="E28" t="s">
        <v>675</v>
      </c>
      <c r="F28" s="65" t="s">
        <v>3856</v>
      </c>
      <c r="G28">
        <v>-80.945671630000007</v>
      </c>
      <c r="H28" t="s">
        <v>3787</v>
      </c>
      <c r="I28">
        <v>0.83389999999999997</v>
      </c>
      <c r="J28">
        <v>36326</v>
      </c>
      <c r="K28">
        <v>3374.8</v>
      </c>
      <c r="N28" t="s">
        <v>3857</v>
      </c>
      <c r="P28" t="s">
        <v>3858</v>
      </c>
      <c r="Q28" t="s">
        <v>3855</v>
      </c>
    </row>
    <row r="29" spans="1:18" x14ac:dyDescent="0.25">
      <c r="A29" t="s">
        <v>687</v>
      </c>
      <c r="B29" t="s">
        <v>689</v>
      </c>
      <c r="C29" t="s">
        <v>3791</v>
      </c>
      <c r="D29" t="s">
        <v>3747</v>
      </c>
      <c r="E29" t="s">
        <v>675</v>
      </c>
      <c r="F29" s="65" t="s">
        <v>3859</v>
      </c>
      <c r="G29">
        <v>-81.220418510000002</v>
      </c>
      <c r="H29" t="s">
        <v>3787</v>
      </c>
      <c r="I29">
        <v>0.96840000000000004</v>
      </c>
      <c r="J29">
        <v>42183</v>
      </c>
      <c r="K29">
        <v>3918.9</v>
      </c>
      <c r="N29" t="s">
        <v>3860</v>
      </c>
      <c r="P29" t="s">
        <v>3861</v>
      </c>
      <c r="Q29" t="s">
        <v>3855</v>
      </c>
    </row>
    <row r="30" spans="1:18" x14ac:dyDescent="0.25">
      <c r="A30" t="s">
        <v>815</v>
      </c>
      <c r="B30" t="s">
        <v>817</v>
      </c>
      <c r="C30" t="s">
        <v>3785</v>
      </c>
      <c r="D30" t="s">
        <v>3747</v>
      </c>
      <c r="E30" t="s">
        <v>675</v>
      </c>
      <c r="F30" s="65" t="s">
        <v>3862</v>
      </c>
      <c r="G30">
        <v>-80.799010460000005</v>
      </c>
      <c r="H30" t="s">
        <v>3787</v>
      </c>
      <c r="I30">
        <v>7.4700000000000003E-2</v>
      </c>
      <c r="J30">
        <v>3254</v>
      </c>
      <c r="K30">
        <v>302.3</v>
      </c>
      <c r="N30" t="s">
        <v>3863</v>
      </c>
      <c r="P30" t="s">
        <v>3864</v>
      </c>
      <c r="Q30" t="s">
        <v>3855</v>
      </c>
    </row>
    <row r="31" spans="1:18" x14ac:dyDescent="0.25">
      <c r="A31" t="s">
        <v>682</v>
      </c>
      <c r="B31" t="s">
        <v>684</v>
      </c>
      <c r="C31" t="s">
        <v>3791</v>
      </c>
      <c r="D31" t="s">
        <v>3710</v>
      </c>
      <c r="E31" t="s">
        <v>675</v>
      </c>
      <c r="F31" s="65" t="s">
        <v>3865</v>
      </c>
      <c r="G31">
        <v>-81.340629230000005</v>
      </c>
      <c r="H31" t="s">
        <v>3787</v>
      </c>
      <c r="I31">
        <v>0.35349999999999998</v>
      </c>
      <c r="J31">
        <v>15397</v>
      </c>
      <c r="K31">
        <v>1430.4</v>
      </c>
      <c r="N31" t="s">
        <v>3866</v>
      </c>
      <c r="P31" t="s">
        <v>3867</v>
      </c>
      <c r="Q31" t="s">
        <v>3855</v>
      </c>
    </row>
    <row r="32" spans="1:18" x14ac:dyDescent="0.25">
      <c r="A32" t="s">
        <v>698</v>
      </c>
      <c r="B32" t="s">
        <v>700</v>
      </c>
      <c r="C32" t="s">
        <v>3791</v>
      </c>
      <c r="D32" t="s">
        <v>3710</v>
      </c>
      <c r="E32" t="s">
        <v>675</v>
      </c>
      <c r="F32" s="65" t="s">
        <v>3868</v>
      </c>
      <c r="G32">
        <v>-81.202132849999998</v>
      </c>
      <c r="H32" t="s">
        <v>3787</v>
      </c>
      <c r="I32">
        <v>0.1915</v>
      </c>
      <c r="J32">
        <v>8343</v>
      </c>
      <c r="K32">
        <v>775.1</v>
      </c>
      <c r="N32" t="s">
        <v>3869</v>
      </c>
      <c r="P32" t="s">
        <v>3870</v>
      </c>
      <c r="Q32" t="s">
        <v>3855</v>
      </c>
    </row>
    <row r="33" spans="1:18" x14ac:dyDescent="0.25">
      <c r="A33" t="s">
        <v>749</v>
      </c>
      <c r="B33" t="s">
        <v>751</v>
      </c>
      <c r="C33" t="s">
        <v>3785</v>
      </c>
      <c r="D33" t="s">
        <v>3766</v>
      </c>
      <c r="E33" t="s">
        <v>675</v>
      </c>
      <c r="F33" s="65" t="s">
        <v>3871</v>
      </c>
      <c r="G33">
        <v>-83.610298659999998</v>
      </c>
      <c r="H33" t="s">
        <v>3787</v>
      </c>
      <c r="I33">
        <v>0.20280000000000001</v>
      </c>
      <c r="J33">
        <v>8834</v>
      </c>
      <c r="K33">
        <v>820.7</v>
      </c>
      <c r="N33" s="65" t="s">
        <v>3872</v>
      </c>
      <c r="Q33" t="s">
        <v>3855</v>
      </c>
    </row>
    <row r="34" spans="1:18" x14ac:dyDescent="0.25">
      <c r="A34" t="s">
        <v>764</v>
      </c>
      <c r="B34" t="s">
        <v>766</v>
      </c>
      <c r="C34" t="s">
        <v>3791</v>
      </c>
      <c r="D34" t="s">
        <v>3714</v>
      </c>
      <c r="E34" t="s">
        <v>675</v>
      </c>
      <c r="F34" s="65" t="s">
        <v>3873</v>
      </c>
      <c r="G34">
        <v>-81.048985389999999</v>
      </c>
      <c r="H34" t="s">
        <v>3787</v>
      </c>
      <c r="I34">
        <v>0.65239999999999998</v>
      </c>
      <c r="J34">
        <v>28419</v>
      </c>
      <c r="K34">
        <v>2640.2</v>
      </c>
      <c r="N34" t="s">
        <v>3874</v>
      </c>
      <c r="P34" t="s">
        <v>3875</v>
      </c>
      <c r="Q34" t="s">
        <v>3855</v>
      </c>
    </row>
    <row r="35" spans="1:18" x14ac:dyDescent="0.25">
      <c r="A35" t="s">
        <v>730</v>
      </c>
      <c r="B35" t="s">
        <v>732</v>
      </c>
      <c r="C35" t="s">
        <v>3785</v>
      </c>
      <c r="D35" t="s">
        <v>3719</v>
      </c>
      <c r="E35" t="s">
        <v>675</v>
      </c>
      <c r="F35">
        <v>40.067560120000003</v>
      </c>
      <c r="G35">
        <v>-82.518978469999993</v>
      </c>
      <c r="H35" t="s">
        <v>3787</v>
      </c>
      <c r="I35">
        <v>0.17749999999999999</v>
      </c>
      <c r="J35">
        <v>7731</v>
      </c>
      <c r="K35">
        <v>718.2</v>
      </c>
      <c r="N35" s="65" t="s">
        <v>3876</v>
      </c>
      <c r="P35" t="s">
        <v>3877</v>
      </c>
      <c r="Q35" t="s">
        <v>3855</v>
      </c>
    </row>
    <row r="36" spans="1:18" x14ac:dyDescent="0.25">
      <c r="A36" t="s">
        <v>769</v>
      </c>
      <c r="B36" t="s">
        <v>771</v>
      </c>
      <c r="C36" t="s">
        <v>3785</v>
      </c>
      <c r="D36" t="s">
        <v>3719</v>
      </c>
      <c r="E36" t="s">
        <v>675</v>
      </c>
      <c r="F36">
        <v>40.041316889999997</v>
      </c>
      <c r="G36">
        <v>-82.441717960000005</v>
      </c>
      <c r="H36" t="s">
        <v>3787</v>
      </c>
      <c r="I36">
        <v>0.14580000000000001</v>
      </c>
      <c r="J36">
        <v>6349</v>
      </c>
      <c r="K36">
        <v>589.9</v>
      </c>
      <c r="N36" s="65" t="s">
        <v>3878</v>
      </c>
      <c r="P36" t="s">
        <v>3879</v>
      </c>
      <c r="Q36" t="s">
        <v>3855</v>
      </c>
    </row>
    <row r="37" spans="1:18" x14ac:dyDescent="0.25">
      <c r="A37" t="s">
        <v>774</v>
      </c>
      <c r="B37" t="s">
        <v>776</v>
      </c>
      <c r="C37" t="s">
        <v>3791</v>
      </c>
      <c r="D37" t="s">
        <v>3719</v>
      </c>
      <c r="E37" t="s">
        <v>675</v>
      </c>
      <c r="F37" s="65" t="s">
        <v>3880</v>
      </c>
      <c r="G37">
        <v>-82.404873050000006</v>
      </c>
      <c r="H37" t="s">
        <v>3787</v>
      </c>
      <c r="I37">
        <v>0.27579999999999999</v>
      </c>
      <c r="J37">
        <v>12014</v>
      </c>
      <c r="K37">
        <v>1116.2</v>
      </c>
      <c r="N37" s="65" t="s">
        <v>3881</v>
      </c>
      <c r="P37" t="s">
        <v>3882</v>
      </c>
      <c r="Q37" t="s">
        <v>3855</v>
      </c>
      <c r="R37" t="s">
        <v>3883</v>
      </c>
    </row>
    <row r="38" spans="1:18" x14ac:dyDescent="0.25">
      <c r="A38" t="s">
        <v>778</v>
      </c>
      <c r="B38" t="s">
        <v>780</v>
      </c>
      <c r="C38" t="s">
        <v>3785</v>
      </c>
      <c r="D38" t="s">
        <v>3719</v>
      </c>
      <c r="E38" t="s">
        <v>675</v>
      </c>
      <c r="F38" s="65" t="s">
        <v>3884</v>
      </c>
      <c r="G38">
        <v>-82.42710726</v>
      </c>
      <c r="H38" t="s">
        <v>3787</v>
      </c>
      <c r="I38">
        <v>0.37240000000000001</v>
      </c>
      <c r="J38">
        <v>16220</v>
      </c>
      <c r="K38">
        <v>1506.9</v>
      </c>
      <c r="N38" s="65" t="s">
        <v>3885</v>
      </c>
      <c r="Q38" t="s">
        <v>3855</v>
      </c>
    </row>
    <row r="39" spans="1:18" x14ac:dyDescent="0.25">
      <c r="A39" t="s">
        <v>782</v>
      </c>
      <c r="B39" t="s">
        <v>784</v>
      </c>
      <c r="C39" t="s">
        <v>3785</v>
      </c>
      <c r="D39" t="s">
        <v>3719</v>
      </c>
      <c r="E39" t="s">
        <v>675</v>
      </c>
      <c r="F39" s="65" t="s">
        <v>3886</v>
      </c>
      <c r="G39">
        <v>-82.427187939999996</v>
      </c>
      <c r="H39" t="s">
        <v>3787</v>
      </c>
      <c r="I39">
        <v>0.13120000000000001</v>
      </c>
      <c r="J39">
        <v>5717</v>
      </c>
      <c r="K39">
        <v>531.1</v>
      </c>
      <c r="N39" s="65" t="s">
        <v>3887</v>
      </c>
      <c r="P39" t="s">
        <v>3888</v>
      </c>
      <c r="Q39" t="s">
        <v>3855</v>
      </c>
    </row>
    <row r="40" spans="1:18" x14ac:dyDescent="0.25">
      <c r="A40" t="s">
        <v>786</v>
      </c>
      <c r="B40" t="s">
        <v>788</v>
      </c>
      <c r="C40" t="s">
        <v>3791</v>
      </c>
      <c r="D40" t="s">
        <v>3719</v>
      </c>
      <c r="E40" t="s">
        <v>675</v>
      </c>
      <c r="F40" s="65" t="s">
        <v>3889</v>
      </c>
      <c r="G40">
        <v>-82.404617729999998</v>
      </c>
      <c r="H40" t="s">
        <v>3787</v>
      </c>
      <c r="I40">
        <v>0.38600000000000001</v>
      </c>
      <c r="J40">
        <v>16815</v>
      </c>
      <c r="K40">
        <v>1562.1</v>
      </c>
      <c r="N40" s="65" t="s">
        <v>3890</v>
      </c>
      <c r="Q40" t="s">
        <v>3855</v>
      </c>
    </row>
    <row r="41" spans="1:18" x14ac:dyDescent="0.25">
      <c r="A41" t="s">
        <v>712</v>
      </c>
      <c r="B41" t="s">
        <v>714</v>
      </c>
      <c r="C41" t="s">
        <v>3791</v>
      </c>
      <c r="D41" t="s">
        <v>3712</v>
      </c>
      <c r="E41" t="s">
        <v>675</v>
      </c>
      <c r="F41">
        <v>41.36574092</v>
      </c>
      <c r="G41">
        <v>-82.109992779999999</v>
      </c>
      <c r="H41" t="s">
        <v>3787</v>
      </c>
      <c r="I41">
        <v>0.50119999999999998</v>
      </c>
      <c r="J41">
        <v>21831</v>
      </c>
      <c r="K41">
        <v>2028.1</v>
      </c>
      <c r="N41" s="65" t="s">
        <v>3891</v>
      </c>
      <c r="Q41" t="s">
        <v>3855</v>
      </c>
    </row>
    <row r="42" spans="1:18" x14ac:dyDescent="0.25">
      <c r="A42" t="s">
        <v>795</v>
      </c>
      <c r="B42" t="s">
        <v>797</v>
      </c>
      <c r="C42" t="s">
        <v>3785</v>
      </c>
      <c r="D42" t="s">
        <v>3715</v>
      </c>
      <c r="E42" t="s">
        <v>675</v>
      </c>
      <c r="F42">
        <v>41.314744480000002</v>
      </c>
      <c r="G42">
        <v>-81.537039320000005</v>
      </c>
      <c r="H42" t="s">
        <v>3787</v>
      </c>
      <c r="I42">
        <v>0.16850000000000001</v>
      </c>
      <c r="J42">
        <v>7339</v>
      </c>
      <c r="K42">
        <v>681.8</v>
      </c>
      <c r="N42">
        <v>4002461</v>
      </c>
      <c r="Q42" t="s">
        <v>3855</v>
      </c>
      <c r="R42" t="s">
        <v>3892</v>
      </c>
    </row>
    <row r="43" spans="1:18" x14ac:dyDescent="0.25">
      <c r="A43" t="s">
        <v>3106</v>
      </c>
      <c r="B43" t="s">
        <v>825</v>
      </c>
      <c r="C43" t="s">
        <v>3791</v>
      </c>
      <c r="D43" t="s">
        <v>3715</v>
      </c>
      <c r="E43" t="s">
        <v>675</v>
      </c>
      <c r="F43" s="65" t="s">
        <v>3893</v>
      </c>
      <c r="G43">
        <v>-81.655757600000001</v>
      </c>
      <c r="H43" t="s">
        <v>3787</v>
      </c>
      <c r="I43">
        <v>0.1615</v>
      </c>
      <c r="J43">
        <v>7036</v>
      </c>
      <c r="K43">
        <v>653.70000000000005</v>
      </c>
      <c r="N43">
        <v>5001510</v>
      </c>
      <c r="Q43" t="s">
        <v>3855</v>
      </c>
    </row>
    <row r="44" spans="1:18" x14ac:dyDescent="0.25">
      <c r="A44" t="s">
        <v>3403</v>
      </c>
      <c r="B44" t="s">
        <v>828</v>
      </c>
      <c r="C44" t="s">
        <v>3791</v>
      </c>
      <c r="D44" t="s">
        <v>3715</v>
      </c>
      <c r="E44" t="s">
        <v>675</v>
      </c>
      <c r="F44">
        <v>41.311249119999999</v>
      </c>
      <c r="G44">
        <v>-81.442344449999993</v>
      </c>
      <c r="H44" t="s">
        <v>3787</v>
      </c>
      <c r="I44">
        <v>0.4985</v>
      </c>
      <c r="J44">
        <v>21716</v>
      </c>
      <c r="K44">
        <v>2017.5</v>
      </c>
      <c r="N44">
        <v>6406505</v>
      </c>
      <c r="Q44" t="s">
        <v>3855</v>
      </c>
    </row>
    <row r="45" spans="1:18" x14ac:dyDescent="0.25">
      <c r="A45" t="s">
        <v>3291</v>
      </c>
      <c r="B45" t="s">
        <v>831</v>
      </c>
      <c r="C45" t="s">
        <v>3791</v>
      </c>
      <c r="D45" t="s">
        <v>3715</v>
      </c>
      <c r="E45" t="s">
        <v>675</v>
      </c>
      <c r="F45" s="65" t="s">
        <v>3894</v>
      </c>
      <c r="G45">
        <v>-81.442323430000002</v>
      </c>
      <c r="H45" t="s">
        <v>3787</v>
      </c>
      <c r="I45">
        <v>0.4985</v>
      </c>
      <c r="J45">
        <v>21716</v>
      </c>
      <c r="K45">
        <v>2017.5</v>
      </c>
      <c r="N45">
        <v>6406505</v>
      </c>
      <c r="Q45" t="s">
        <v>3855</v>
      </c>
    </row>
    <row r="46" spans="1:18" x14ac:dyDescent="0.25">
      <c r="A46" t="s">
        <v>971</v>
      </c>
      <c r="B46" t="s">
        <v>973</v>
      </c>
      <c r="C46" t="s">
        <v>3785</v>
      </c>
      <c r="D46" t="s">
        <v>3764</v>
      </c>
      <c r="E46" t="s">
        <v>905</v>
      </c>
      <c r="F46">
        <v>31.40444183</v>
      </c>
      <c r="G46">
        <v>-103.5034902</v>
      </c>
      <c r="H46" t="s">
        <v>3817</v>
      </c>
      <c r="Q46" t="s">
        <v>3895</v>
      </c>
      <c r="R46" t="s">
        <v>3896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A9AEC-6889-4B47-906D-DC5AF98A7D14}">
  <sheetPr filterMode="1"/>
  <dimension ref="A2:X202"/>
  <sheetViews>
    <sheetView workbookViewId="0">
      <selection activeCell="I2" sqref="I2:J2"/>
    </sheetView>
  </sheetViews>
  <sheetFormatPr defaultRowHeight="15" x14ac:dyDescent="0.25"/>
  <cols>
    <col min="6" max="6" width="20" customWidth="1"/>
    <col min="7" max="7" width="19.5703125" customWidth="1"/>
    <col min="8" max="8" width="21.28515625" customWidth="1"/>
    <col min="9" max="9" width="17.85546875" customWidth="1"/>
    <col min="10" max="10" width="21.140625" customWidth="1"/>
    <col min="11" max="11" width="19.140625" customWidth="1"/>
  </cols>
  <sheetData>
    <row r="2" spans="1:24" x14ac:dyDescent="0.25">
      <c r="B2" t="s">
        <v>0</v>
      </c>
      <c r="C2" t="s">
        <v>10</v>
      </c>
      <c r="D2" t="s">
        <v>3772</v>
      </c>
      <c r="E2" t="s">
        <v>3773</v>
      </c>
      <c r="F2" t="s">
        <v>3897</v>
      </c>
      <c r="G2" t="s">
        <v>3898</v>
      </c>
      <c r="H2" t="s">
        <v>3949</v>
      </c>
      <c r="I2" t="s">
        <v>3950</v>
      </c>
      <c r="J2" t="s">
        <v>3951</v>
      </c>
      <c r="K2" t="s">
        <v>3952</v>
      </c>
      <c r="L2" t="s">
        <v>3953</v>
      </c>
      <c r="M2" t="s">
        <v>3781</v>
      </c>
      <c r="N2" t="s">
        <v>3774</v>
      </c>
      <c r="O2" t="s">
        <v>3899</v>
      </c>
      <c r="P2" t="s">
        <v>3900</v>
      </c>
      <c r="Q2" t="s">
        <v>3954</v>
      </c>
      <c r="R2" t="s">
        <v>3955</v>
      </c>
      <c r="S2" t="s">
        <v>3901</v>
      </c>
      <c r="T2" t="s">
        <v>3902</v>
      </c>
      <c r="U2" t="s">
        <v>3956</v>
      </c>
      <c r="V2" t="s">
        <v>3957</v>
      </c>
      <c r="W2" t="s">
        <v>3903</v>
      </c>
      <c r="X2" t="s">
        <v>3783</v>
      </c>
    </row>
    <row r="3" spans="1:24" hidden="1" x14ac:dyDescent="0.25">
      <c r="A3">
        <v>1</v>
      </c>
      <c r="B3" t="s">
        <v>647</v>
      </c>
      <c r="C3" t="s">
        <v>651</v>
      </c>
      <c r="D3">
        <v>35.134719560000001</v>
      </c>
      <c r="E3">
        <v>-79.426782549999899</v>
      </c>
      <c r="F3">
        <v>1524.4</v>
      </c>
      <c r="G3">
        <v>5001</v>
      </c>
      <c r="H3" t="s">
        <v>3958</v>
      </c>
      <c r="I3" t="s">
        <v>3959</v>
      </c>
      <c r="J3" t="s">
        <v>3960</v>
      </c>
      <c r="K3">
        <v>142698</v>
      </c>
      <c r="L3" t="s">
        <v>3961</v>
      </c>
      <c r="M3" t="s">
        <v>3905</v>
      </c>
      <c r="N3" t="s">
        <v>3906</v>
      </c>
      <c r="O3">
        <v>-999999</v>
      </c>
      <c r="P3" t="s">
        <v>3904</v>
      </c>
      <c r="Q3" t="s">
        <v>3962</v>
      </c>
      <c r="R3" t="s">
        <v>3408</v>
      </c>
      <c r="S3">
        <v>13296.6</v>
      </c>
      <c r="T3">
        <v>230</v>
      </c>
      <c r="U3" t="s">
        <v>3963</v>
      </c>
      <c r="V3">
        <v>124218</v>
      </c>
      <c r="W3" t="s">
        <v>3905</v>
      </c>
      <c r="X3" t="s">
        <v>3907</v>
      </c>
    </row>
    <row r="4" spans="1:24" x14ac:dyDescent="0.25">
      <c r="A4">
        <v>2</v>
      </c>
      <c r="B4" t="s">
        <v>122</v>
      </c>
      <c r="C4" t="s">
        <v>120</v>
      </c>
      <c r="D4">
        <v>31.137891830000001</v>
      </c>
      <c r="E4">
        <v>-83.422446519999895</v>
      </c>
      <c r="F4">
        <v>603.29999999999995</v>
      </c>
      <c r="G4">
        <v>1979</v>
      </c>
      <c r="I4" t="s">
        <v>3964</v>
      </c>
      <c r="J4" t="s">
        <v>3965</v>
      </c>
      <c r="K4">
        <v>120960</v>
      </c>
      <c r="L4" t="s">
        <v>3961</v>
      </c>
      <c r="M4" t="s">
        <v>3909</v>
      </c>
      <c r="N4" t="s">
        <v>3906</v>
      </c>
      <c r="O4">
        <v>-999999</v>
      </c>
      <c r="P4" t="s">
        <v>3908</v>
      </c>
      <c r="Q4" t="s">
        <v>3966</v>
      </c>
      <c r="R4" t="s">
        <v>3967</v>
      </c>
      <c r="S4">
        <v>625.4</v>
      </c>
      <c r="T4">
        <v>115</v>
      </c>
      <c r="U4" t="s">
        <v>3968</v>
      </c>
      <c r="V4">
        <v>132212</v>
      </c>
      <c r="W4" t="s">
        <v>3909</v>
      </c>
      <c r="X4" t="s">
        <v>3907</v>
      </c>
    </row>
    <row r="5" spans="1:24" hidden="1" x14ac:dyDescent="0.25">
      <c r="A5">
        <v>3</v>
      </c>
      <c r="B5" t="s">
        <v>1297</v>
      </c>
      <c r="C5" t="s">
        <v>328</v>
      </c>
      <c r="D5">
        <v>41.2891466499999</v>
      </c>
      <c r="E5">
        <v>-91.555144679999898</v>
      </c>
      <c r="F5">
        <v>1031</v>
      </c>
      <c r="G5">
        <v>3382</v>
      </c>
      <c r="H5" t="s">
        <v>3969</v>
      </c>
      <c r="I5" t="s">
        <v>3970</v>
      </c>
      <c r="J5" t="s">
        <v>3971</v>
      </c>
      <c r="K5">
        <v>126581</v>
      </c>
      <c r="L5" t="s">
        <v>3972</v>
      </c>
      <c r="M5" t="s">
        <v>3908</v>
      </c>
      <c r="N5" t="s">
        <v>3906</v>
      </c>
      <c r="O5">
        <v>345</v>
      </c>
      <c r="P5">
        <v>345</v>
      </c>
      <c r="Q5" t="s">
        <v>3973</v>
      </c>
      <c r="R5" t="s">
        <v>3967</v>
      </c>
      <c r="S5">
        <v>1031</v>
      </c>
      <c r="T5">
        <v>345</v>
      </c>
      <c r="U5" t="s">
        <v>3969</v>
      </c>
      <c r="V5">
        <v>126581</v>
      </c>
      <c r="W5" t="s">
        <v>3908</v>
      </c>
      <c r="X5" t="s">
        <v>3907</v>
      </c>
    </row>
    <row r="6" spans="1:24" hidden="1" x14ac:dyDescent="0.25">
      <c r="A6">
        <v>4</v>
      </c>
      <c r="B6" t="s">
        <v>1200</v>
      </c>
      <c r="C6" t="s">
        <v>81</v>
      </c>
      <c r="D6">
        <v>29.802351340000001</v>
      </c>
      <c r="E6">
        <v>-82.492207980000003</v>
      </c>
      <c r="F6">
        <v>2709.7</v>
      </c>
      <c r="G6">
        <v>8890</v>
      </c>
      <c r="H6" t="s">
        <v>3974</v>
      </c>
      <c r="I6" t="s">
        <v>3975</v>
      </c>
      <c r="J6" t="s">
        <v>3976</v>
      </c>
      <c r="K6">
        <v>110523</v>
      </c>
      <c r="L6" t="s">
        <v>3972</v>
      </c>
      <c r="M6" t="s">
        <v>3908</v>
      </c>
      <c r="N6" t="s">
        <v>3906</v>
      </c>
      <c r="O6">
        <v>69</v>
      </c>
      <c r="P6" t="s">
        <v>3904</v>
      </c>
      <c r="Q6" t="s">
        <v>3973</v>
      </c>
      <c r="R6" t="s">
        <v>3408</v>
      </c>
      <c r="S6">
        <v>4760</v>
      </c>
      <c r="T6">
        <v>138</v>
      </c>
      <c r="U6" t="s">
        <v>3977</v>
      </c>
      <c r="V6">
        <v>100404</v>
      </c>
      <c r="W6" t="s">
        <v>3908</v>
      </c>
      <c r="X6" t="s">
        <v>3907</v>
      </c>
    </row>
    <row r="7" spans="1:24" hidden="1" x14ac:dyDescent="0.25">
      <c r="A7">
        <v>5</v>
      </c>
      <c r="B7" t="s">
        <v>1201</v>
      </c>
      <c r="C7" t="s">
        <v>81</v>
      </c>
      <c r="D7">
        <v>29.789387080000001</v>
      </c>
      <c r="E7">
        <v>-82.495895579999896</v>
      </c>
      <c r="F7">
        <v>1260.5999999999999</v>
      </c>
      <c r="G7">
        <v>4136</v>
      </c>
      <c r="H7" t="s">
        <v>3978</v>
      </c>
      <c r="I7" t="s">
        <v>3979</v>
      </c>
      <c r="J7" t="s">
        <v>3976</v>
      </c>
      <c r="K7">
        <v>129592</v>
      </c>
      <c r="L7" t="s">
        <v>3972</v>
      </c>
      <c r="M7" t="s">
        <v>3908</v>
      </c>
      <c r="N7" t="s">
        <v>3906</v>
      </c>
      <c r="O7">
        <v>69</v>
      </c>
      <c r="P7" t="s">
        <v>3904</v>
      </c>
      <c r="Q7" t="s">
        <v>3973</v>
      </c>
      <c r="R7" t="s">
        <v>3408</v>
      </c>
      <c r="S7">
        <v>3971.7</v>
      </c>
      <c r="T7">
        <v>138</v>
      </c>
      <c r="U7" t="s">
        <v>3977</v>
      </c>
      <c r="V7">
        <v>100404</v>
      </c>
      <c r="W7" t="s">
        <v>3908</v>
      </c>
      <c r="X7" t="s">
        <v>3907</v>
      </c>
    </row>
    <row r="8" spans="1:24" hidden="1" x14ac:dyDescent="0.25">
      <c r="A8">
        <v>6</v>
      </c>
      <c r="B8" t="s">
        <v>83</v>
      </c>
      <c r="C8" t="s">
        <v>81</v>
      </c>
      <c r="D8">
        <v>29.789400000000001</v>
      </c>
      <c r="E8">
        <v>-82.496200000000002</v>
      </c>
      <c r="F8">
        <v>1260.5999999999999</v>
      </c>
      <c r="G8">
        <v>4136</v>
      </c>
      <c r="H8" t="s">
        <v>3978</v>
      </c>
      <c r="I8" t="s">
        <v>3979</v>
      </c>
      <c r="J8" t="s">
        <v>3976</v>
      </c>
      <c r="K8">
        <v>129592</v>
      </c>
      <c r="L8" t="s">
        <v>3972</v>
      </c>
      <c r="M8" t="s">
        <v>3908</v>
      </c>
      <c r="N8" t="s">
        <v>3906</v>
      </c>
      <c r="O8">
        <v>69</v>
      </c>
      <c r="P8" t="s">
        <v>3904</v>
      </c>
      <c r="Q8" t="s">
        <v>3973</v>
      </c>
      <c r="R8" t="s">
        <v>3408</v>
      </c>
      <c r="S8">
        <v>3983.9</v>
      </c>
      <c r="T8">
        <v>138</v>
      </c>
      <c r="U8" t="s">
        <v>3977</v>
      </c>
      <c r="V8">
        <v>100404</v>
      </c>
      <c r="W8" t="s">
        <v>3908</v>
      </c>
      <c r="X8" t="s">
        <v>3907</v>
      </c>
    </row>
    <row r="9" spans="1:24" x14ac:dyDescent="0.25">
      <c r="A9">
        <v>7</v>
      </c>
      <c r="B9" t="s">
        <v>513</v>
      </c>
      <c r="C9" t="s">
        <v>517</v>
      </c>
      <c r="D9">
        <v>36.693022079999899</v>
      </c>
      <c r="E9">
        <v>-85.134498120000003</v>
      </c>
      <c r="F9">
        <v>477.5</v>
      </c>
      <c r="G9">
        <v>1567</v>
      </c>
      <c r="I9" t="s">
        <v>3980</v>
      </c>
      <c r="J9" t="s">
        <v>3981</v>
      </c>
      <c r="K9">
        <v>102992</v>
      </c>
      <c r="L9" t="s">
        <v>3972</v>
      </c>
      <c r="M9" t="s">
        <v>3910</v>
      </c>
      <c r="N9" t="s">
        <v>3906</v>
      </c>
      <c r="O9">
        <v>69</v>
      </c>
      <c r="P9" t="s">
        <v>3904</v>
      </c>
      <c r="Q9" t="s">
        <v>3973</v>
      </c>
      <c r="R9" t="s">
        <v>3408</v>
      </c>
      <c r="S9">
        <v>6621.7</v>
      </c>
      <c r="T9">
        <v>161</v>
      </c>
      <c r="U9" t="s">
        <v>3982</v>
      </c>
      <c r="V9">
        <v>139950</v>
      </c>
      <c r="W9" t="s">
        <v>3910</v>
      </c>
      <c r="X9" t="s">
        <v>3907</v>
      </c>
    </row>
    <row r="10" spans="1:24" hidden="1" x14ac:dyDescent="0.25">
      <c r="A10">
        <v>8</v>
      </c>
      <c r="B10" t="s">
        <v>654</v>
      </c>
      <c r="C10" t="s">
        <v>651</v>
      </c>
      <c r="D10">
        <v>35.354042149999898</v>
      </c>
      <c r="E10">
        <v>-80.199091730000006</v>
      </c>
      <c r="F10">
        <v>455</v>
      </c>
      <c r="G10">
        <v>1493</v>
      </c>
      <c r="H10" t="s">
        <v>3983</v>
      </c>
      <c r="I10" t="s">
        <v>3984</v>
      </c>
      <c r="J10" t="s">
        <v>3983</v>
      </c>
      <c r="K10">
        <v>112388</v>
      </c>
      <c r="L10" t="s">
        <v>3972</v>
      </c>
      <c r="M10" t="s">
        <v>3908</v>
      </c>
      <c r="N10" t="s">
        <v>3906</v>
      </c>
      <c r="O10">
        <v>100</v>
      </c>
      <c r="P10" t="s">
        <v>3911</v>
      </c>
      <c r="Q10" t="s">
        <v>3973</v>
      </c>
      <c r="R10" t="s">
        <v>3408</v>
      </c>
      <c r="S10">
        <v>455</v>
      </c>
      <c r="T10">
        <v>100</v>
      </c>
      <c r="U10" t="s">
        <v>3983</v>
      </c>
      <c r="V10">
        <v>112388</v>
      </c>
      <c r="W10" t="s">
        <v>3908</v>
      </c>
      <c r="X10" t="s">
        <v>3907</v>
      </c>
    </row>
    <row r="11" spans="1:24" hidden="1" x14ac:dyDescent="0.25">
      <c r="A11">
        <v>9</v>
      </c>
      <c r="B11" t="s">
        <v>334</v>
      </c>
      <c r="C11" t="s">
        <v>328</v>
      </c>
      <c r="D11">
        <v>41.0259585599999</v>
      </c>
      <c r="E11">
        <v>-92.805646170000003</v>
      </c>
      <c r="F11">
        <v>4412.7</v>
      </c>
      <c r="G11">
        <v>14477</v>
      </c>
      <c r="H11" t="s">
        <v>3985</v>
      </c>
      <c r="I11" t="s">
        <v>3986</v>
      </c>
      <c r="J11" t="s">
        <v>3987</v>
      </c>
      <c r="K11">
        <v>106824</v>
      </c>
      <c r="L11" t="s">
        <v>3972</v>
      </c>
      <c r="M11" t="s">
        <v>3912</v>
      </c>
      <c r="N11" t="s">
        <v>3906</v>
      </c>
      <c r="O11">
        <v>161</v>
      </c>
      <c r="P11" t="s">
        <v>3911</v>
      </c>
      <c r="Q11" t="s">
        <v>3973</v>
      </c>
      <c r="R11" t="s">
        <v>3408</v>
      </c>
      <c r="S11">
        <v>4412.7</v>
      </c>
      <c r="T11">
        <v>161</v>
      </c>
      <c r="U11" t="s">
        <v>3985</v>
      </c>
      <c r="V11">
        <v>106824</v>
      </c>
      <c r="W11" t="s">
        <v>3912</v>
      </c>
      <c r="X11" t="s">
        <v>3907</v>
      </c>
    </row>
    <row r="12" spans="1:24" hidden="1" x14ac:dyDescent="0.25">
      <c r="A12">
        <v>10</v>
      </c>
      <c r="B12" t="s">
        <v>907</v>
      </c>
      <c r="C12" t="s">
        <v>905</v>
      </c>
      <c r="D12">
        <v>32.317614120000002</v>
      </c>
      <c r="E12">
        <v>-102.5477171</v>
      </c>
      <c r="F12">
        <v>2515.9</v>
      </c>
      <c r="G12">
        <v>8254</v>
      </c>
      <c r="H12" t="s">
        <v>3988</v>
      </c>
      <c r="I12" t="s">
        <v>3988</v>
      </c>
      <c r="J12" t="s">
        <v>3908</v>
      </c>
      <c r="K12">
        <v>308138</v>
      </c>
      <c r="L12" t="s">
        <v>3972</v>
      </c>
      <c r="M12" t="s">
        <v>3913</v>
      </c>
      <c r="N12" t="s">
        <v>3906</v>
      </c>
      <c r="O12">
        <v>138</v>
      </c>
      <c r="P12" t="s">
        <v>3911</v>
      </c>
      <c r="Q12" t="s">
        <v>3973</v>
      </c>
      <c r="R12" t="s">
        <v>3967</v>
      </c>
      <c r="S12">
        <v>2515.9</v>
      </c>
      <c r="T12">
        <v>138</v>
      </c>
      <c r="U12" t="s">
        <v>3988</v>
      </c>
      <c r="V12">
        <v>308138</v>
      </c>
      <c r="W12" t="s">
        <v>3913</v>
      </c>
      <c r="X12" t="s">
        <v>3907</v>
      </c>
    </row>
    <row r="13" spans="1:24" hidden="1" x14ac:dyDescent="0.25">
      <c r="A13">
        <v>11</v>
      </c>
      <c r="B13" t="s">
        <v>521</v>
      </c>
      <c r="C13" t="s">
        <v>517</v>
      </c>
      <c r="D13">
        <v>38.4758</v>
      </c>
      <c r="E13">
        <v>-82.64385</v>
      </c>
      <c r="F13">
        <v>693</v>
      </c>
      <c r="G13">
        <v>2274</v>
      </c>
      <c r="H13" t="s">
        <v>3989</v>
      </c>
      <c r="I13" t="s">
        <v>3990</v>
      </c>
      <c r="J13" t="s">
        <v>3989</v>
      </c>
      <c r="K13">
        <v>157481</v>
      </c>
      <c r="L13" t="s">
        <v>3972</v>
      </c>
      <c r="M13" t="s">
        <v>3914</v>
      </c>
      <c r="N13" t="s">
        <v>3906</v>
      </c>
      <c r="O13">
        <v>69</v>
      </c>
      <c r="P13" t="s">
        <v>3904</v>
      </c>
      <c r="Q13" t="s">
        <v>3973</v>
      </c>
      <c r="R13" t="s">
        <v>3408</v>
      </c>
      <c r="S13">
        <v>2285.1999999999998</v>
      </c>
      <c r="T13">
        <v>138</v>
      </c>
      <c r="U13" t="s">
        <v>3991</v>
      </c>
      <c r="V13">
        <v>150356</v>
      </c>
      <c r="W13" t="s">
        <v>3908</v>
      </c>
      <c r="X13" t="s">
        <v>3907</v>
      </c>
    </row>
    <row r="14" spans="1:24" hidden="1" x14ac:dyDescent="0.25">
      <c r="A14">
        <v>12</v>
      </c>
      <c r="B14" t="s">
        <v>525</v>
      </c>
      <c r="C14" t="s">
        <v>517</v>
      </c>
      <c r="D14">
        <v>38.409649969999897</v>
      </c>
      <c r="E14">
        <v>-82.713032350000006</v>
      </c>
      <c r="F14">
        <v>905.4</v>
      </c>
      <c r="G14">
        <v>2970</v>
      </c>
      <c r="H14" t="s">
        <v>3992</v>
      </c>
      <c r="I14" t="s">
        <v>3989</v>
      </c>
      <c r="J14" t="s">
        <v>3993</v>
      </c>
      <c r="K14">
        <v>105204</v>
      </c>
      <c r="L14" t="s">
        <v>3972</v>
      </c>
      <c r="M14" t="s">
        <v>3914</v>
      </c>
      <c r="N14" t="s">
        <v>3906</v>
      </c>
      <c r="O14">
        <v>69</v>
      </c>
      <c r="P14" t="s">
        <v>3904</v>
      </c>
      <c r="Q14" t="s">
        <v>3973</v>
      </c>
      <c r="R14" t="s">
        <v>3408</v>
      </c>
      <c r="S14">
        <v>1930.5</v>
      </c>
      <c r="T14">
        <v>765</v>
      </c>
      <c r="U14" t="s">
        <v>3994</v>
      </c>
      <c r="V14">
        <v>109099</v>
      </c>
      <c r="W14" t="s">
        <v>3908</v>
      </c>
      <c r="X14" t="s">
        <v>3907</v>
      </c>
    </row>
    <row r="15" spans="1:24" x14ac:dyDescent="0.25">
      <c r="A15">
        <v>13</v>
      </c>
      <c r="B15" t="s">
        <v>339</v>
      </c>
      <c r="C15" t="s">
        <v>328</v>
      </c>
      <c r="D15">
        <v>41.72127167</v>
      </c>
      <c r="E15">
        <v>-94.929383329999894</v>
      </c>
      <c r="F15">
        <v>1482.3</v>
      </c>
      <c r="G15">
        <v>4863</v>
      </c>
      <c r="I15" t="s">
        <v>3995</v>
      </c>
      <c r="J15" t="s">
        <v>3996</v>
      </c>
      <c r="K15">
        <v>169313</v>
      </c>
      <c r="L15" t="s">
        <v>3972</v>
      </c>
      <c r="M15" t="s">
        <v>3908</v>
      </c>
      <c r="N15" t="s">
        <v>3906</v>
      </c>
      <c r="O15">
        <v>69</v>
      </c>
      <c r="P15" t="s">
        <v>3904</v>
      </c>
      <c r="Q15" t="s">
        <v>3973</v>
      </c>
      <c r="R15" t="s">
        <v>3408</v>
      </c>
      <c r="S15">
        <v>14423.2</v>
      </c>
      <c r="T15">
        <v>161</v>
      </c>
      <c r="U15" t="s">
        <v>3997</v>
      </c>
      <c r="V15">
        <v>144694</v>
      </c>
      <c r="W15" t="s">
        <v>3908</v>
      </c>
      <c r="X15" t="s">
        <v>3907</v>
      </c>
    </row>
    <row r="16" spans="1:24" hidden="1" x14ac:dyDescent="0.25">
      <c r="A16">
        <v>14</v>
      </c>
      <c r="B16" t="s">
        <v>677</v>
      </c>
      <c r="C16" t="s">
        <v>675</v>
      </c>
      <c r="D16">
        <v>41.317158030000002</v>
      </c>
      <c r="E16">
        <v>-81.346599389999895</v>
      </c>
      <c r="F16">
        <v>1093.5</v>
      </c>
      <c r="G16">
        <v>3588</v>
      </c>
      <c r="H16" t="s">
        <v>3998</v>
      </c>
      <c r="I16" t="s">
        <v>3999</v>
      </c>
      <c r="J16" t="s">
        <v>4000</v>
      </c>
      <c r="K16">
        <v>110477</v>
      </c>
      <c r="L16" t="s">
        <v>3961</v>
      </c>
      <c r="M16" t="s">
        <v>3908</v>
      </c>
      <c r="N16" t="s">
        <v>3906</v>
      </c>
      <c r="O16">
        <v>-999999</v>
      </c>
      <c r="P16" t="s">
        <v>3908</v>
      </c>
      <c r="Q16" t="s">
        <v>3966</v>
      </c>
      <c r="R16" t="s">
        <v>3967</v>
      </c>
      <c r="S16">
        <v>3804.2</v>
      </c>
      <c r="T16">
        <v>345</v>
      </c>
      <c r="U16" t="s">
        <v>4001</v>
      </c>
      <c r="V16">
        <v>114362</v>
      </c>
      <c r="W16" t="s">
        <v>3915</v>
      </c>
      <c r="X16" t="s">
        <v>3907</v>
      </c>
    </row>
    <row r="17" spans="1:24" hidden="1" x14ac:dyDescent="0.25">
      <c r="A17">
        <v>15</v>
      </c>
      <c r="B17" t="s">
        <v>682</v>
      </c>
      <c r="C17" t="s">
        <v>675</v>
      </c>
      <c r="D17">
        <v>41.385698949999899</v>
      </c>
      <c r="E17">
        <v>-81.340629230000005</v>
      </c>
      <c r="F17">
        <v>3863.8</v>
      </c>
      <c r="G17">
        <v>12677</v>
      </c>
      <c r="H17" t="s">
        <v>4002</v>
      </c>
      <c r="I17" t="s">
        <v>4003</v>
      </c>
      <c r="J17" t="s">
        <v>4002</v>
      </c>
      <c r="K17">
        <v>158468</v>
      </c>
      <c r="L17" t="s">
        <v>3972</v>
      </c>
      <c r="M17" t="s">
        <v>3915</v>
      </c>
      <c r="N17" t="s">
        <v>3906</v>
      </c>
      <c r="O17">
        <v>345</v>
      </c>
      <c r="P17">
        <v>345</v>
      </c>
      <c r="Q17" t="s">
        <v>3973</v>
      </c>
      <c r="R17" t="s">
        <v>3967</v>
      </c>
      <c r="S17">
        <v>3863.8</v>
      </c>
      <c r="T17">
        <v>345</v>
      </c>
      <c r="U17" t="s">
        <v>4002</v>
      </c>
      <c r="V17">
        <v>158468</v>
      </c>
      <c r="W17" t="s">
        <v>3915</v>
      </c>
      <c r="X17" t="s">
        <v>3907</v>
      </c>
    </row>
    <row r="18" spans="1:24" hidden="1" x14ac:dyDescent="0.25">
      <c r="A18">
        <v>16</v>
      </c>
      <c r="B18" t="s">
        <v>128</v>
      </c>
      <c r="C18" t="s">
        <v>120</v>
      </c>
      <c r="D18">
        <v>34.497208469999897</v>
      </c>
      <c r="E18">
        <v>-83.549977670000004</v>
      </c>
      <c r="F18">
        <v>169</v>
      </c>
      <c r="G18">
        <v>554</v>
      </c>
      <c r="H18" t="s">
        <v>4004</v>
      </c>
      <c r="I18" t="s">
        <v>4005</v>
      </c>
      <c r="J18" t="s">
        <v>4004</v>
      </c>
      <c r="K18">
        <v>128010</v>
      </c>
      <c r="L18" t="s">
        <v>3972</v>
      </c>
      <c r="M18" t="s">
        <v>3909</v>
      </c>
      <c r="N18" t="s">
        <v>3906</v>
      </c>
      <c r="O18">
        <v>115</v>
      </c>
      <c r="P18" t="s">
        <v>3911</v>
      </c>
      <c r="Q18" t="s">
        <v>3973</v>
      </c>
      <c r="R18" t="s">
        <v>3408</v>
      </c>
      <c r="S18">
        <v>169</v>
      </c>
      <c r="T18">
        <v>115</v>
      </c>
      <c r="U18" t="s">
        <v>4004</v>
      </c>
      <c r="V18">
        <v>128010</v>
      </c>
      <c r="W18" t="s">
        <v>3909</v>
      </c>
      <c r="X18" t="s">
        <v>3907</v>
      </c>
    </row>
    <row r="19" spans="1:24" x14ac:dyDescent="0.25">
      <c r="A19">
        <v>17</v>
      </c>
      <c r="B19" t="s">
        <v>530</v>
      </c>
      <c r="C19" t="s">
        <v>517</v>
      </c>
      <c r="D19">
        <v>36.86533403</v>
      </c>
      <c r="E19">
        <v>-83.888273350000006</v>
      </c>
      <c r="F19">
        <v>1120.3</v>
      </c>
      <c r="G19">
        <v>3676</v>
      </c>
      <c r="I19" t="s">
        <v>4006</v>
      </c>
      <c r="J19" t="s">
        <v>4007</v>
      </c>
      <c r="K19">
        <v>141842</v>
      </c>
      <c r="L19" t="s">
        <v>3961</v>
      </c>
      <c r="M19" t="s">
        <v>3916</v>
      </c>
      <c r="N19" t="s">
        <v>3906</v>
      </c>
      <c r="O19">
        <v>-999999</v>
      </c>
      <c r="P19" t="s">
        <v>3911</v>
      </c>
      <c r="Q19" t="s">
        <v>3962</v>
      </c>
      <c r="R19" t="s">
        <v>3408</v>
      </c>
      <c r="S19">
        <v>2876.9</v>
      </c>
      <c r="T19">
        <v>161</v>
      </c>
      <c r="U19" t="s">
        <v>4008</v>
      </c>
      <c r="V19">
        <v>117373</v>
      </c>
      <c r="W19" t="s">
        <v>3908</v>
      </c>
      <c r="X19" t="s">
        <v>3907</v>
      </c>
    </row>
    <row r="20" spans="1:24" hidden="1" x14ac:dyDescent="0.25">
      <c r="A20">
        <v>18</v>
      </c>
      <c r="B20" t="s">
        <v>687</v>
      </c>
      <c r="C20" t="s">
        <v>675</v>
      </c>
      <c r="D20">
        <v>40.059497399999898</v>
      </c>
      <c r="E20">
        <v>-81.220418510000002</v>
      </c>
      <c r="F20">
        <v>8973.4</v>
      </c>
      <c r="G20">
        <v>29440</v>
      </c>
      <c r="H20" t="s">
        <v>4009</v>
      </c>
      <c r="I20" t="s">
        <v>4010</v>
      </c>
      <c r="J20" t="s">
        <v>4011</v>
      </c>
      <c r="K20">
        <v>166848</v>
      </c>
      <c r="L20" t="s">
        <v>3972</v>
      </c>
      <c r="M20" t="s">
        <v>3917</v>
      </c>
      <c r="N20" t="s">
        <v>3918</v>
      </c>
      <c r="O20">
        <v>138</v>
      </c>
      <c r="P20" t="s">
        <v>3911</v>
      </c>
      <c r="Q20" t="s">
        <v>3973</v>
      </c>
      <c r="R20" t="s">
        <v>3408</v>
      </c>
      <c r="S20">
        <v>8973.4</v>
      </c>
      <c r="T20">
        <v>138</v>
      </c>
      <c r="U20" t="s">
        <v>4009</v>
      </c>
      <c r="V20">
        <v>166848</v>
      </c>
      <c r="W20" t="s">
        <v>3917</v>
      </c>
      <c r="X20" t="s">
        <v>3907</v>
      </c>
    </row>
    <row r="21" spans="1:24" hidden="1" x14ac:dyDescent="0.25">
      <c r="A21">
        <v>19</v>
      </c>
      <c r="B21" t="s">
        <v>535</v>
      </c>
      <c r="C21" t="s">
        <v>517</v>
      </c>
      <c r="D21">
        <v>37.573343530000002</v>
      </c>
      <c r="E21">
        <v>-84.2857390799999</v>
      </c>
      <c r="F21">
        <v>517.70000000000005</v>
      </c>
      <c r="G21">
        <v>1698</v>
      </c>
      <c r="H21" t="s">
        <v>4012</v>
      </c>
      <c r="I21" t="s">
        <v>4013</v>
      </c>
      <c r="J21" t="s">
        <v>4012</v>
      </c>
      <c r="K21">
        <v>110267</v>
      </c>
      <c r="L21" t="s">
        <v>3972</v>
      </c>
      <c r="M21" t="s">
        <v>3908</v>
      </c>
      <c r="N21" t="s">
        <v>3906</v>
      </c>
      <c r="O21">
        <v>69</v>
      </c>
      <c r="P21" t="s">
        <v>3904</v>
      </c>
      <c r="Q21" t="s">
        <v>3973</v>
      </c>
      <c r="R21" t="s">
        <v>3408</v>
      </c>
      <c r="S21">
        <v>4214.8999999999996</v>
      </c>
      <c r="T21">
        <v>138</v>
      </c>
      <c r="V21">
        <v>139609</v>
      </c>
      <c r="W21" t="s">
        <v>3908</v>
      </c>
      <c r="X21" t="s">
        <v>3907</v>
      </c>
    </row>
    <row r="22" spans="1:24" x14ac:dyDescent="0.25">
      <c r="A22">
        <v>20</v>
      </c>
      <c r="B22" t="s">
        <v>3138</v>
      </c>
      <c r="C22" t="s">
        <v>517</v>
      </c>
      <c r="D22">
        <v>38.242606209999899</v>
      </c>
      <c r="E22">
        <v>-83.874478580000002</v>
      </c>
      <c r="F22">
        <v>8150.7</v>
      </c>
      <c r="G22">
        <v>26741</v>
      </c>
      <c r="I22" t="s">
        <v>4014</v>
      </c>
      <c r="J22" t="s">
        <v>4015</v>
      </c>
      <c r="K22">
        <v>137336</v>
      </c>
      <c r="L22" t="s">
        <v>3972</v>
      </c>
      <c r="M22" t="s">
        <v>3910</v>
      </c>
      <c r="N22" t="s">
        <v>3906</v>
      </c>
      <c r="O22">
        <v>345</v>
      </c>
      <c r="P22">
        <v>345</v>
      </c>
      <c r="Q22" t="s">
        <v>3973</v>
      </c>
      <c r="R22" t="s">
        <v>3408</v>
      </c>
      <c r="S22">
        <v>8150.7</v>
      </c>
      <c r="T22">
        <v>345</v>
      </c>
      <c r="V22">
        <v>137336</v>
      </c>
      <c r="W22" t="s">
        <v>3910</v>
      </c>
      <c r="X22" t="s">
        <v>3907</v>
      </c>
    </row>
    <row r="23" spans="1:24" hidden="1" x14ac:dyDescent="0.25">
      <c r="A23">
        <v>21</v>
      </c>
      <c r="B23" t="s">
        <v>133</v>
      </c>
      <c r="C23" t="s">
        <v>120</v>
      </c>
      <c r="D23">
        <v>34.8640250999999</v>
      </c>
      <c r="E23">
        <v>-83.984808849999894</v>
      </c>
      <c r="F23">
        <v>1920.1</v>
      </c>
      <c r="G23">
        <v>6300</v>
      </c>
      <c r="H23" t="s">
        <v>4016</v>
      </c>
      <c r="I23" t="s">
        <v>4017</v>
      </c>
      <c r="J23" t="s">
        <v>4018</v>
      </c>
      <c r="K23">
        <v>140846</v>
      </c>
      <c r="L23" t="s">
        <v>3972</v>
      </c>
      <c r="M23" t="s">
        <v>3919</v>
      </c>
      <c r="N23" t="s">
        <v>3906</v>
      </c>
      <c r="O23">
        <v>161</v>
      </c>
      <c r="P23" t="s">
        <v>3911</v>
      </c>
      <c r="Q23" t="s">
        <v>3973</v>
      </c>
      <c r="R23" t="s">
        <v>3967</v>
      </c>
      <c r="S23">
        <v>1920.1</v>
      </c>
      <c r="T23">
        <v>161</v>
      </c>
      <c r="U23" t="s">
        <v>4016</v>
      </c>
      <c r="V23">
        <v>140846</v>
      </c>
      <c r="W23" t="s">
        <v>3919</v>
      </c>
      <c r="X23" t="s">
        <v>3907</v>
      </c>
    </row>
    <row r="24" spans="1:24" x14ac:dyDescent="0.25">
      <c r="A24">
        <v>22</v>
      </c>
      <c r="B24" t="s">
        <v>138</v>
      </c>
      <c r="C24" t="s">
        <v>120</v>
      </c>
      <c r="D24">
        <v>31.382539999999899</v>
      </c>
      <c r="E24">
        <v>-84.957519000000005</v>
      </c>
      <c r="F24">
        <v>3512.7</v>
      </c>
      <c r="G24">
        <v>11525</v>
      </c>
      <c r="I24" t="s">
        <v>4019</v>
      </c>
      <c r="J24" t="s">
        <v>4020</v>
      </c>
      <c r="K24">
        <v>135585</v>
      </c>
      <c r="L24" t="s">
        <v>3972</v>
      </c>
      <c r="M24" t="s">
        <v>3909</v>
      </c>
      <c r="N24" t="s">
        <v>3906</v>
      </c>
      <c r="O24">
        <v>115</v>
      </c>
      <c r="P24" t="s">
        <v>3911</v>
      </c>
      <c r="Q24" t="s">
        <v>3973</v>
      </c>
      <c r="R24" t="s">
        <v>3408</v>
      </c>
      <c r="S24">
        <v>3512.7</v>
      </c>
      <c r="T24">
        <v>115</v>
      </c>
      <c r="V24">
        <v>135585</v>
      </c>
      <c r="W24" t="s">
        <v>3909</v>
      </c>
      <c r="X24" t="s">
        <v>3907</v>
      </c>
    </row>
    <row r="25" spans="1:24" hidden="1" x14ac:dyDescent="0.25">
      <c r="A25">
        <v>23</v>
      </c>
      <c r="B25" t="s">
        <v>92</v>
      </c>
      <c r="C25" t="s">
        <v>81</v>
      </c>
      <c r="D25">
        <v>29.960082620000001</v>
      </c>
      <c r="E25">
        <v>-82.927997629999894</v>
      </c>
      <c r="F25">
        <v>4254.5</v>
      </c>
      <c r="G25">
        <v>13958</v>
      </c>
      <c r="H25" t="s">
        <v>4021</v>
      </c>
      <c r="I25" t="s">
        <v>4022</v>
      </c>
      <c r="J25" t="s">
        <v>4021</v>
      </c>
      <c r="K25">
        <v>125356</v>
      </c>
      <c r="L25" t="s">
        <v>3972</v>
      </c>
      <c r="M25" t="s">
        <v>3920</v>
      </c>
      <c r="N25" t="s">
        <v>3906</v>
      </c>
      <c r="O25">
        <v>69</v>
      </c>
      <c r="P25" t="s">
        <v>3904</v>
      </c>
      <c r="Q25" t="s">
        <v>3973</v>
      </c>
      <c r="R25" t="s">
        <v>3967</v>
      </c>
      <c r="S25">
        <v>10809.3</v>
      </c>
      <c r="T25">
        <v>230</v>
      </c>
      <c r="U25" t="s">
        <v>4021</v>
      </c>
      <c r="V25">
        <v>112825</v>
      </c>
      <c r="W25" t="s">
        <v>3920</v>
      </c>
      <c r="X25" t="s">
        <v>3907</v>
      </c>
    </row>
    <row r="26" spans="1:24" hidden="1" x14ac:dyDescent="0.25">
      <c r="A26">
        <v>24</v>
      </c>
      <c r="B26" t="s">
        <v>542</v>
      </c>
      <c r="C26" t="s">
        <v>517</v>
      </c>
      <c r="D26">
        <v>37.341683459999899</v>
      </c>
      <c r="E26">
        <v>-84.44990833</v>
      </c>
      <c r="F26">
        <v>2484</v>
      </c>
      <c r="G26">
        <v>8150</v>
      </c>
      <c r="H26" t="s">
        <v>4023</v>
      </c>
      <c r="I26" t="s">
        <v>4024</v>
      </c>
      <c r="J26" t="s">
        <v>4023</v>
      </c>
      <c r="K26">
        <v>103401</v>
      </c>
      <c r="L26" t="s">
        <v>3972</v>
      </c>
      <c r="M26" t="s">
        <v>3910</v>
      </c>
      <c r="N26" t="s">
        <v>3906</v>
      </c>
      <c r="O26">
        <v>69</v>
      </c>
      <c r="P26" t="s">
        <v>3904</v>
      </c>
      <c r="Q26" t="s">
        <v>3973</v>
      </c>
      <c r="R26" t="s">
        <v>3408</v>
      </c>
      <c r="S26">
        <v>13147.4</v>
      </c>
      <c r="T26">
        <v>345</v>
      </c>
      <c r="U26" t="s">
        <v>4025</v>
      </c>
      <c r="V26">
        <v>124041</v>
      </c>
      <c r="W26" t="s">
        <v>3908</v>
      </c>
      <c r="X26" t="s">
        <v>3907</v>
      </c>
    </row>
    <row r="27" spans="1:24" x14ac:dyDescent="0.25">
      <c r="A27">
        <v>25</v>
      </c>
      <c r="B27" t="s">
        <v>841</v>
      </c>
      <c r="C27" t="s">
        <v>838</v>
      </c>
      <c r="D27">
        <v>36.052613700000002</v>
      </c>
      <c r="E27">
        <v>-95.791825959999898</v>
      </c>
      <c r="F27">
        <v>1312.2</v>
      </c>
      <c r="G27">
        <v>4305</v>
      </c>
      <c r="I27" t="s">
        <v>4026</v>
      </c>
      <c r="J27" t="s">
        <v>4027</v>
      </c>
      <c r="K27">
        <v>114979</v>
      </c>
      <c r="L27" t="s">
        <v>3972</v>
      </c>
      <c r="M27" t="s">
        <v>3921</v>
      </c>
      <c r="N27" t="s">
        <v>3906</v>
      </c>
      <c r="O27">
        <v>138</v>
      </c>
      <c r="P27" t="s">
        <v>3911</v>
      </c>
      <c r="Q27" t="s">
        <v>3973</v>
      </c>
      <c r="R27" t="s">
        <v>3408</v>
      </c>
      <c r="S27">
        <v>1312.2</v>
      </c>
      <c r="T27">
        <v>138</v>
      </c>
      <c r="V27">
        <v>114979</v>
      </c>
      <c r="W27" t="s">
        <v>3921</v>
      </c>
      <c r="X27" t="s">
        <v>3907</v>
      </c>
    </row>
    <row r="28" spans="1:24" hidden="1" x14ac:dyDescent="0.25">
      <c r="A28">
        <v>26</v>
      </c>
      <c r="B28" t="s">
        <v>846</v>
      </c>
      <c r="C28" t="s">
        <v>838</v>
      </c>
      <c r="D28">
        <v>35.99867768</v>
      </c>
      <c r="E28">
        <v>-95.796852079999894</v>
      </c>
      <c r="F28">
        <v>679.4</v>
      </c>
      <c r="G28">
        <v>2229</v>
      </c>
      <c r="H28" t="s">
        <v>4028</v>
      </c>
      <c r="I28" t="s">
        <v>4029</v>
      </c>
      <c r="J28" t="s">
        <v>4028</v>
      </c>
      <c r="K28">
        <v>109171</v>
      </c>
      <c r="L28" t="s">
        <v>3972</v>
      </c>
      <c r="M28" t="s">
        <v>3921</v>
      </c>
      <c r="N28" t="s">
        <v>3906</v>
      </c>
      <c r="O28">
        <v>138</v>
      </c>
      <c r="P28" t="s">
        <v>3911</v>
      </c>
      <c r="Q28" t="s">
        <v>3973</v>
      </c>
      <c r="R28" t="s">
        <v>3408</v>
      </c>
      <c r="S28">
        <v>679.4</v>
      </c>
      <c r="T28">
        <v>138</v>
      </c>
      <c r="U28" t="s">
        <v>4028</v>
      </c>
      <c r="V28">
        <v>109171</v>
      </c>
      <c r="W28" t="s">
        <v>3921</v>
      </c>
      <c r="X28" t="s">
        <v>3907</v>
      </c>
    </row>
    <row r="29" spans="1:24" hidden="1" x14ac:dyDescent="0.25">
      <c r="A29">
        <v>27</v>
      </c>
      <c r="B29" t="s">
        <v>850</v>
      </c>
      <c r="C29" t="s">
        <v>838</v>
      </c>
      <c r="D29">
        <v>36.089602409999898</v>
      </c>
      <c r="E29">
        <v>-95.790558200000007</v>
      </c>
      <c r="F29">
        <v>197.9</v>
      </c>
      <c r="G29">
        <v>649</v>
      </c>
      <c r="H29" t="s">
        <v>4030</v>
      </c>
      <c r="I29" t="s">
        <v>4031</v>
      </c>
      <c r="J29" t="s">
        <v>4030</v>
      </c>
      <c r="K29">
        <v>139395</v>
      </c>
      <c r="L29" t="s">
        <v>3972</v>
      </c>
      <c r="M29" t="s">
        <v>3921</v>
      </c>
      <c r="N29" t="s">
        <v>3906</v>
      </c>
      <c r="O29">
        <v>138</v>
      </c>
      <c r="P29" t="s">
        <v>3911</v>
      </c>
      <c r="Q29" t="s">
        <v>3973</v>
      </c>
      <c r="R29" t="s">
        <v>3408</v>
      </c>
      <c r="S29">
        <v>197.9</v>
      </c>
      <c r="T29">
        <v>138</v>
      </c>
      <c r="U29" t="s">
        <v>4030</v>
      </c>
      <c r="V29">
        <v>139395</v>
      </c>
      <c r="W29" t="s">
        <v>3921</v>
      </c>
      <c r="X29" t="s">
        <v>3907</v>
      </c>
    </row>
    <row r="30" spans="1:24" hidden="1" x14ac:dyDescent="0.25">
      <c r="A30">
        <v>28</v>
      </c>
      <c r="B30" t="s">
        <v>854</v>
      </c>
      <c r="C30" t="s">
        <v>838</v>
      </c>
      <c r="D30">
        <v>36.061524159999898</v>
      </c>
      <c r="E30">
        <v>-95.684297880000003</v>
      </c>
      <c r="F30">
        <v>240.9</v>
      </c>
      <c r="G30">
        <v>790</v>
      </c>
      <c r="H30" t="s">
        <v>4032</v>
      </c>
      <c r="I30" t="s">
        <v>4033</v>
      </c>
      <c r="J30" t="s">
        <v>4034</v>
      </c>
      <c r="K30">
        <v>145549</v>
      </c>
      <c r="L30" t="s">
        <v>3972</v>
      </c>
      <c r="M30" t="s">
        <v>3921</v>
      </c>
      <c r="N30" t="s">
        <v>3906</v>
      </c>
      <c r="O30">
        <v>345</v>
      </c>
      <c r="P30">
        <v>345</v>
      </c>
      <c r="Q30" t="s">
        <v>3973</v>
      </c>
      <c r="R30" t="s">
        <v>3967</v>
      </c>
      <c r="S30">
        <v>240.9</v>
      </c>
      <c r="T30">
        <v>345</v>
      </c>
      <c r="U30" t="s">
        <v>4032</v>
      </c>
      <c r="V30">
        <v>145549</v>
      </c>
      <c r="W30" t="s">
        <v>3921</v>
      </c>
      <c r="X30" t="s">
        <v>3907</v>
      </c>
    </row>
    <row r="31" spans="1:24" x14ac:dyDescent="0.25">
      <c r="A31">
        <v>29</v>
      </c>
      <c r="B31" t="s">
        <v>546</v>
      </c>
      <c r="C31" t="s">
        <v>517</v>
      </c>
      <c r="D31">
        <v>38.6825019999999</v>
      </c>
      <c r="E31">
        <v>-84.067487</v>
      </c>
      <c r="F31">
        <v>2136.8000000000002</v>
      </c>
      <c r="G31">
        <v>7011</v>
      </c>
      <c r="I31" t="s">
        <v>4035</v>
      </c>
      <c r="J31" t="s">
        <v>4036</v>
      </c>
      <c r="K31">
        <v>156601</v>
      </c>
      <c r="L31" t="s">
        <v>3961</v>
      </c>
      <c r="M31" t="s">
        <v>3908</v>
      </c>
      <c r="N31" t="s">
        <v>3906</v>
      </c>
      <c r="O31">
        <v>-999999</v>
      </c>
      <c r="P31" t="s">
        <v>3908</v>
      </c>
      <c r="Q31" t="s">
        <v>3966</v>
      </c>
      <c r="R31" t="s">
        <v>3967</v>
      </c>
      <c r="S31">
        <v>4827.1000000000004</v>
      </c>
      <c r="T31">
        <v>138</v>
      </c>
      <c r="U31" t="s">
        <v>4037</v>
      </c>
      <c r="V31">
        <v>133681</v>
      </c>
      <c r="W31" t="s">
        <v>3908</v>
      </c>
      <c r="X31" t="s">
        <v>3907</v>
      </c>
    </row>
    <row r="32" spans="1:24" hidden="1" x14ac:dyDescent="0.25">
      <c r="A32">
        <v>30</v>
      </c>
      <c r="B32" t="s">
        <v>1510</v>
      </c>
      <c r="C32" t="s">
        <v>905</v>
      </c>
      <c r="D32">
        <v>33.177220409999897</v>
      </c>
      <c r="E32">
        <v>-102.274424499999</v>
      </c>
      <c r="F32">
        <v>1607.4</v>
      </c>
      <c r="G32">
        <v>5273</v>
      </c>
      <c r="H32" t="s">
        <v>4038</v>
      </c>
      <c r="I32" t="s">
        <v>4039</v>
      </c>
      <c r="J32" t="s">
        <v>4040</v>
      </c>
      <c r="K32">
        <v>300139</v>
      </c>
      <c r="L32" t="s">
        <v>3972</v>
      </c>
      <c r="M32" t="s">
        <v>3908</v>
      </c>
      <c r="N32" t="s">
        <v>3906</v>
      </c>
      <c r="O32">
        <v>69</v>
      </c>
      <c r="P32" t="s">
        <v>3904</v>
      </c>
      <c r="Q32" t="s">
        <v>3973</v>
      </c>
      <c r="R32" t="s">
        <v>3967</v>
      </c>
      <c r="S32">
        <v>11148.1</v>
      </c>
      <c r="T32">
        <v>345</v>
      </c>
      <c r="U32" t="s">
        <v>4041</v>
      </c>
      <c r="V32">
        <v>400314</v>
      </c>
      <c r="W32" t="s">
        <v>3922</v>
      </c>
      <c r="X32" t="s">
        <v>3907</v>
      </c>
    </row>
    <row r="33" spans="1:24" hidden="1" x14ac:dyDescent="0.25">
      <c r="A33">
        <v>31</v>
      </c>
      <c r="B33" t="s">
        <v>551</v>
      </c>
      <c r="C33" t="s">
        <v>517</v>
      </c>
      <c r="D33">
        <v>36.98978863</v>
      </c>
      <c r="E33">
        <v>-84.599373319999899</v>
      </c>
      <c r="F33">
        <v>676.1</v>
      </c>
      <c r="G33">
        <v>2218</v>
      </c>
      <c r="H33" t="s">
        <v>4042</v>
      </c>
      <c r="I33" t="s">
        <v>4043</v>
      </c>
      <c r="J33" t="s">
        <v>4042</v>
      </c>
      <c r="K33">
        <v>101725</v>
      </c>
      <c r="L33" t="s">
        <v>3972</v>
      </c>
      <c r="M33" t="s">
        <v>3908</v>
      </c>
      <c r="N33" t="s">
        <v>3906</v>
      </c>
      <c r="O33">
        <v>69</v>
      </c>
      <c r="P33" t="s">
        <v>3904</v>
      </c>
      <c r="Q33" t="s">
        <v>3973</v>
      </c>
      <c r="R33" t="s">
        <v>3408</v>
      </c>
      <c r="S33">
        <v>1133.9000000000001</v>
      </c>
      <c r="T33">
        <v>161</v>
      </c>
      <c r="U33" t="s">
        <v>4044</v>
      </c>
      <c r="V33">
        <v>132353</v>
      </c>
      <c r="W33" t="s">
        <v>3910</v>
      </c>
      <c r="X33" t="s">
        <v>3907</v>
      </c>
    </row>
    <row r="34" spans="1:24" x14ac:dyDescent="0.25">
      <c r="A34">
        <v>32</v>
      </c>
      <c r="B34" t="s">
        <v>145</v>
      </c>
      <c r="C34" t="s">
        <v>120</v>
      </c>
      <c r="D34">
        <v>30.878531800000001</v>
      </c>
      <c r="E34">
        <v>-84.208973049999898</v>
      </c>
      <c r="F34">
        <v>215</v>
      </c>
      <c r="G34">
        <v>705</v>
      </c>
      <c r="I34" t="s">
        <v>4045</v>
      </c>
      <c r="J34" t="s">
        <v>4046</v>
      </c>
      <c r="K34">
        <v>130306</v>
      </c>
      <c r="L34" t="s">
        <v>3961</v>
      </c>
      <c r="M34" t="s">
        <v>3909</v>
      </c>
      <c r="N34" t="s">
        <v>3906</v>
      </c>
      <c r="O34">
        <v>-999999</v>
      </c>
      <c r="P34" t="s">
        <v>3911</v>
      </c>
      <c r="Q34" t="s">
        <v>3962</v>
      </c>
      <c r="R34" t="s">
        <v>3408</v>
      </c>
      <c r="S34">
        <v>3046.3</v>
      </c>
      <c r="T34">
        <v>115</v>
      </c>
      <c r="U34" t="s">
        <v>4047</v>
      </c>
      <c r="V34">
        <v>141457</v>
      </c>
      <c r="W34" t="s">
        <v>3909</v>
      </c>
      <c r="X34" t="s">
        <v>3907</v>
      </c>
    </row>
    <row r="35" spans="1:24" hidden="1" x14ac:dyDescent="0.25">
      <c r="A35">
        <v>33</v>
      </c>
      <c r="B35" t="s">
        <v>97</v>
      </c>
      <c r="C35" t="s">
        <v>81</v>
      </c>
      <c r="D35">
        <v>30.564356310000001</v>
      </c>
      <c r="E35">
        <v>-81.831421289999895</v>
      </c>
      <c r="F35">
        <v>1072.5999999999999</v>
      </c>
      <c r="G35">
        <v>3519</v>
      </c>
      <c r="H35" t="s">
        <v>4048</v>
      </c>
      <c r="I35" t="s">
        <v>4049</v>
      </c>
      <c r="J35" t="s">
        <v>4048</v>
      </c>
      <c r="K35">
        <v>134032</v>
      </c>
      <c r="L35" t="s">
        <v>3972</v>
      </c>
      <c r="M35" t="s">
        <v>3924</v>
      </c>
      <c r="N35" t="s">
        <v>3906</v>
      </c>
      <c r="O35">
        <v>230</v>
      </c>
      <c r="P35" t="s">
        <v>3923</v>
      </c>
      <c r="Q35" t="s">
        <v>3973</v>
      </c>
      <c r="R35" t="s">
        <v>3967</v>
      </c>
      <c r="S35">
        <v>1072.5999999999999</v>
      </c>
      <c r="T35">
        <v>230</v>
      </c>
      <c r="U35" t="s">
        <v>4048</v>
      </c>
      <c r="V35">
        <v>134032</v>
      </c>
      <c r="W35" t="s">
        <v>3924</v>
      </c>
      <c r="X35" t="s">
        <v>3907</v>
      </c>
    </row>
    <row r="36" spans="1:24" hidden="1" x14ac:dyDescent="0.25">
      <c r="A36">
        <v>34</v>
      </c>
      <c r="B36" t="s">
        <v>557</v>
      </c>
      <c r="C36" t="s">
        <v>517</v>
      </c>
      <c r="D36">
        <v>37.342599</v>
      </c>
      <c r="E36">
        <v>-85.343915999999894</v>
      </c>
      <c r="F36">
        <v>624.4</v>
      </c>
      <c r="G36">
        <v>2049</v>
      </c>
      <c r="H36" t="s">
        <v>4050</v>
      </c>
      <c r="I36" t="s">
        <v>4051</v>
      </c>
      <c r="J36" t="s">
        <v>4050</v>
      </c>
      <c r="K36">
        <v>107911</v>
      </c>
      <c r="L36" t="s">
        <v>3972</v>
      </c>
      <c r="M36" t="s">
        <v>3925</v>
      </c>
      <c r="N36" t="s">
        <v>3906</v>
      </c>
      <c r="O36">
        <v>69</v>
      </c>
      <c r="P36" t="s">
        <v>3904</v>
      </c>
      <c r="Q36" t="s">
        <v>3973</v>
      </c>
      <c r="R36" t="s">
        <v>3408</v>
      </c>
      <c r="S36">
        <v>2703.6</v>
      </c>
      <c r="T36">
        <v>161</v>
      </c>
      <c r="U36" t="s">
        <v>4052</v>
      </c>
      <c r="V36">
        <v>163556</v>
      </c>
      <c r="W36" t="s">
        <v>3908</v>
      </c>
      <c r="X36" t="s">
        <v>3907</v>
      </c>
    </row>
    <row r="37" spans="1:24" x14ac:dyDescent="0.25">
      <c r="A37">
        <v>35</v>
      </c>
      <c r="B37" t="s">
        <v>151</v>
      </c>
      <c r="C37" t="s">
        <v>120</v>
      </c>
      <c r="D37">
        <v>34.23610953</v>
      </c>
      <c r="E37">
        <v>-84.490654989999896</v>
      </c>
      <c r="F37">
        <v>513.29999999999995</v>
      </c>
      <c r="G37">
        <v>1684</v>
      </c>
      <c r="I37" t="s">
        <v>4053</v>
      </c>
      <c r="J37" t="s">
        <v>4054</v>
      </c>
      <c r="K37">
        <v>174802</v>
      </c>
      <c r="L37" t="s">
        <v>3972</v>
      </c>
      <c r="M37" t="s">
        <v>3909</v>
      </c>
      <c r="N37" t="s">
        <v>3906</v>
      </c>
      <c r="O37">
        <v>115</v>
      </c>
      <c r="P37" t="s">
        <v>3911</v>
      </c>
      <c r="Q37" t="s">
        <v>3973</v>
      </c>
      <c r="R37" t="s">
        <v>3408</v>
      </c>
      <c r="S37">
        <v>513.29999999999995</v>
      </c>
      <c r="T37">
        <v>115</v>
      </c>
      <c r="V37">
        <v>174802</v>
      </c>
      <c r="W37" t="s">
        <v>3909</v>
      </c>
      <c r="X37" t="s">
        <v>3907</v>
      </c>
    </row>
    <row r="38" spans="1:24" hidden="1" x14ac:dyDescent="0.25">
      <c r="A38">
        <v>36</v>
      </c>
      <c r="B38" t="s">
        <v>692</v>
      </c>
      <c r="C38" t="s">
        <v>675</v>
      </c>
      <c r="D38">
        <v>41.218145649999897</v>
      </c>
      <c r="E38">
        <v>-84.602125889999897</v>
      </c>
      <c r="F38">
        <v>801.9</v>
      </c>
      <c r="G38">
        <v>2631</v>
      </c>
      <c r="H38" t="s">
        <v>4055</v>
      </c>
      <c r="I38" t="s">
        <v>4056</v>
      </c>
      <c r="J38" t="s">
        <v>4055</v>
      </c>
      <c r="K38">
        <v>173825</v>
      </c>
      <c r="L38" t="s">
        <v>3972</v>
      </c>
      <c r="M38" t="s">
        <v>3917</v>
      </c>
      <c r="N38" t="s">
        <v>3906</v>
      </c>
      <c r="O38">
        <v>-999999</v>
      </c>
      <c r="P38" t="s">
        <v>3908</v>
      </c>
      <c r="Q38" t="s">
        <v>3966</v>
      </c>
      <c r="R38" t="s">
        <v>3967</v>
      </c>
      <c r="S38">
        <v>9538.9</v>
      </c>
      <c r="T38">
        <v>138</v>
      </c>
      <c r="U38" t="s">
        <v>4057</v>
      </c>
      <c r="V38">
        <v>146106</v>
      </c>
      <c r="W38" t="s">
        <v>3917</v>
      </c>
      <c r="X38" t="s">
        <v>3907</v>
      </c>
    </row>
    <row r="39" spans="1:24" hidden="1" x14ac:dyDescent="0.25">
      <c r="A39">
        <v>37</v>
      </c>
      <c r="B39" t="s">
        <v>344</v>
      </c>
      <c r="C39" t="s">
        <v>328</v>
      </c>
      <c r="D39">
        <v>40.7322668999999</v>
      </c>
      <c r="E39">
        <v>-92.876118669999897</v>
      </c>
      <c r="F39">
        <v>1664.1</v>
      </c>
      <c r="G39">
        <v>5460</v>
      </c>
      <c r="H39" t="s">
        <v>4058</v>
      </c>
      <c r="I39" t="s">
        <v>4058</v>
      </c>
      <c r="J39" t="s">
        <v>3908</v>
      </c>
      <c r="K39">
        <v>123853</v>
      </c>
      <c r="L39" t="s">
        <v>3961</v>
      </c>
      <c r="M39" t="s">
        <v>3908</v>
      </c>
      <c r="N39" t="s">
        <v>3908</v>
      </c>
      <c r="O39">
        <v>69</v>
      </c>
      <c r="P39" t="s">
        <v>3904</v>
      </c>
      <c r="Q39" t="s">
        <v>3973</v>
      </c>
      <c r="R39" t="s">
        <v>3408</v>
      </c>
      <c r="X39" t="s">
        <v>3907</v>
      </c>
    </row>
    <row r="40" spans="1:24" hidden="1" x14ac:dyDescent="0.25">
      <c r="A40">
        <v>38</v>
      </c>
      <c r="B40" t="s">
        <v>155</v>
      </c>
      <c r="C40" t="s">
        <v>120</v>
      </c>
      <c r="D40">
        <v>32.623498589999897</v>
      </c>
      <c r="E40">
        <v>-83.687999099999899</v>
      </c>
      <c r="F40">
        <v>181.9</v>
      </c>
      <c r="G40">
        <v>597</v>
      </c>
      <c r="H40" t="s">
        <v>4059</v>
      </c>
      <c r="I40" t="s">
        <v>4060</v>
      </c>
      <c r="J40" t="s">
        <v>4061</v>
      </c>
      <c r="K40">
        <v>170769</v>
      </c>
      <c r="L40" t="s">
        <v>3972</v>
      </c>
      <c r="M40" t="s">
        <v>3909</v>
      </c>
      <c r="N40" t="s">
        <v>3906</v>
      </c>
      <c r="O40">
        <v>115</v>
      </c>
      <c r="P40" t="s">
        <v>3911</v>
      </c>
      <c r="Q40" t="s">
        <v>3973</v>
      </c>
      <c r="R40" t="s">
        <v>3408</v>
      </c>
      <c r="S40">
        <v>181.9</v>
      </c>
      <c r="T40">
        <v>115</v>
      </c>
      <c r="U40" t="s">
        <v>4059</v>
      </c>
      <c r="V40">
        <v>170769</v>
      </c>
      <c r="W40" t="s">
        <v>3909</v>
      </c>
      <c r="X40" t="s">
        <v>3907</v>
      </c>
    </row>
    <row r="41" spans="1:24" hidden="1" x14ac:dyDescent="0.25">
      <c r="A41">
        <v>39</v>
      </c>
      <c r="B41" t="s">
        <v>698</v>
      </c>
      <c r="C41" t="s">
        <v>675</v>
      </c>
      <c r="D41">
        <v>41.581284539999899</v>
      </c>
      <c r="E41">
        <v>-81.202132849999899</v>
      </c>
      <c r="F41">
        <v>1079.9000000000001</v>
      </c>
      <c r="G41">
        <v>3543</v>
      </c>
      <c r="H41" t="s">
        <v>4062</v>
      </c>
      <c r="I41" t="s">
        <v>4063</v>
      </c>
      <c r="J41" t="s">
        <v>4062</v>
      </c>
      <c r="K41">
        <v>113231</v>
      </c>
      <c r="L41" t="s">
        <v>3972</v>
      </c>
      <c r="M41" t="s">
        <v>3908</v>
      </c>
      <c r="N41" t="s">
        <v>3906</v>
      </c>
      <c r="O41">
        <v>138</v>
      </c>
      <c r="P41" t="s">
        <v>3911</v>
      </c>
      <c r="Q41" t="s">
        <v>3973</v>
      </c>
      <c r="R41" t="s">
        <v>3408</v>
      </c>
      <c r="S41">
        <v>1079.9000000000001</v>
      </c>
      <c r="T41">
        <v>138</v>
      </c>
      <c r="U41" t="s">
        <v>4062</v>
      </c>
      <c r="V41">
        <v>113231</v>
      </c>
      <c r="W41" t="s">
        <v>3908</v>
      </c>
      <c r="X41" t="s">
        <v>3907</v>
      </c>
    </row>
    <row r="42" spans="1:24" hidden="1" x14ac:dyDescent="0.25">
      <c r="A42">
        <v>40</v>
      </c>
      <c r="B42" t="s">
        <v>348</v>
      </c>
      <c r="C42" t="s">
        <v>328</v>
      </c>
      <c r="D42">
        <v>41.016249109999897</v>
      </c>
      <c r="E42">
        <v>-93.30642589</v>
      </c>
      <c r="F42">
        <v>416.4</v>
      </c>
      <c r="G42">
        <v>1366</v>
      </c>
      <c r="H42" t="s">
        <v>3986</v>
      </c>
      <c r="I42" t="s">
        <v>3986</v>
      </c>
      <c r="J42" t="s">
        <v>4064</v>
      </c>
      <c r="K42">
        <v>160856</v>
      </c>
      <c r="L42" t="s">
        <v>3972</v>
      </c>
      <c r="M42" t="s">
        <v>3908</v>
      </c>
      <c r="N42" t="s">
        <v>3906</v>
      </c>
      <c r="O42">
        <v>69</v>
      </c>
      <c r="P42" t="s">
        <v>3904</v>
      </c>
      <c r="Q42" t="s">
        <v>3973</v>
      </c>
      <c r="R42" t="s">
        <v>3408</v>
      </c>
      <c r="S42">
        <v>3672.9</v>
      </c>
      <c r="T42">
        <v>161</v>
      </c>
      <c r="U42" t="s">
        <v>3985</v>
      </c>
      <c r="V42">
        <v>106824</v>
      </c>
      <c r="W42" t="s">
        <v>3912</v>
      </c>
      <c r="X42" t="s">
        <v>3907</v>
      </c>
    </row>
    <row r="43" spans="1:24" hidden="1" x14ac:dyDescent="0.25">
      <c r="A43">
        <v>41</v>
      </c>
      <c r="B43" t="s">
        <v>160</v>
      </c>
      <c r="C43" t="s">
        <v>120</v>
      </c>
      <c r="D43">
        <v>34.768337510000002</v>
      </c>
      <c r="E43">
        <v>-84.76820927</v>
      </c>
      <c r="F43">
        <v>1262</v>
      </c>
      <c r="G43">
        <v>4140</v>
      </c>
      <c r="H43" t="s">
        <v>4065</v>
      </c>
      <c r="I43" t="s">
        <v>4066</v>
      </c>
      <c r="J43" t="s">
        <v>4065</v>
      </c>
      <c r="K43">
        <v>179176</v>
      </c>
      <c r="L43" t="s">
        <v>3972</v>
      </c>
      <c r="M43" t="s">
        <v>3909</v>
      </c>
      <c r="N43" t="s">
        <v>3906</v>
      </c>
      <c r="O43">
        <v>115</v>
      </c>
      <c r="P43" t="s">
        <v>3911</v>
      </c>
      <c r="Q43" t="s">
        <v>3973</v>
      </c>
      <c r="R43" t="s">
        <v>3408</v>
      </c>
      <c r="S43">
        <v>1262</v>
      </c>
      <c r="T43">
        <v>115</v>
      </c>
      <c r="U43" t="s">
        <v>4065</v>
      </c>
      <c r="V43">
        <v>179176</v>
      </c>
      <c r="W43" t="s">
        <v>3909</v>
      </c>
      <c r="X43" t="s">
        <v>3907</v>
      </c>
    </row>
    <row r="44" spans="1:24" x14ac:dyDescent="0.25">
      <c r="A44">
        <v>42</v>
      </c>
      <c r="B44" t="s">
        <v>859</v>
      </c>
      <c r="C44" t="s">
        <v>838</v>
      </c>
      <c r="D44">
        <v>35.47096122</v>
      </c>
      <c r="E44">
        <v>-95.523630620000006</v>
      </c>
      <c r="F44">
        <v>1393.1</v>
      </c>
      <c r="G44">
        <v>4571</v>
      </c>
      <c r="I44" t="s">
        <v>4067</v>
      </c>
      <c r="J44" t="s">
        <v>4068</v>
      </c>
      <c r="K44">
        <v>143858</v>
      </c>
      <c r="L44" t="s">
        <v>3972</v>
      </c>
      <c r="M44" t="s">
        <v>3908</v>
      </c>
      <c r="N44" t="s">
        <v>3906</v>
      </c>
      <c r="O44">
        <v>69</v>
      </c>
      <c r="P44" t="s">
        <v>3904</v>
      </c>
      <c r="Q44" t="s">
        <v>3973</v>
      </c>
      <c r="R44" t="s">
        <v>3408</v>
      </c>
      <c r="S44">
        <v>3737.9</v>
      </c>
      <c r="T44">
        <v>138</v>
      </c>
      <c r="V44">
        <v>104741</v>
      </c>
      <c r="W44" t="s">
        <v>3926</v>
      </c>
      <c r="X44" t="s">
        <v>3907</v>
      </c>
    </row>
    <row r="45" spans="1:24" x14ac:dyDescent="0.25">
      <c r="A45">
        <v>43</v>
      </c>
      <c r="B45" t="s">
        <v>660</v>
      </c>
      <c r="C45" t="s">
        <v>651</v>
      </c>
      <c r="D45">
        <v>35.556922030000003</v>
      </c>
      <c r="E45">
        <v>-80.595882290000006</v>
      </c>
      <c r="F45">
        <v>224.8</v>
      </c>
      <c r="G45">
        <v>738</v>
      </c>
      <c r="I45" t="s">
        <v>4069</v>
      </c>
      <c r="J45" t="s">
        <v>4070</v>
      </c>
      <c r="K45">
        <v>150814</v>
      </c>
      <c r="L45" t="s">
        <v>3972</v>
      </c>
      <c r="M45" t="s">
        <v>3927</v>
      </c>
      <c r="N45" t="s">
        <v>3906</v>
      </c>
      <c r="O45">
        <v>100</v>
      </c>
      <c r="P45" t="s">
        <v>3911</v>
      </c>
      <c r="Q45" t="s">
        <v>3973</v>
      </c>
      <c r="R45" t="s">
        <v>3408</v>
      </c>
      <c r="S45">
        <v>224.8</v>
      </c>
      <c r="T45">
        <v>100</v>
      </c>
      <c r="V45">
        <v>150814</v>
      </c>
      <c r="W45" t="s">
        <v>3927</v>
      </c>
      <c r="X45" t="s">
        <v>3907</v>
      </c>
    </row>
    <row r="46" spans="1:24" x14ac:dyDescent="0.25">
      <c r="A46">
        <v>44</v>
      </c>
      <c r="B46" t="s">
        <v>353</v>
      </c>
      <c r="C46" t="s">
        <v>328</v>
      </c>
      <c r="D46">
        <v>40.7405471699999</v>
      </c>
      <c r="E46">
        <v>-95.038731510000005</v>
      </c>
      <c r="F46">
        <v>1496.9</v>
      </c>
      <c r="G46">
        <v>4911</v>
      </c>
      <c r="I46" t="s">
        <v>4071</v>
      </c>
      <c r="J46" t="s">
        <v>4072</v>
      </c>
      <c r="K46">
        <v>169418</v>
      </c>
      <c r="L46" t="s">
        <v>3972</v>
      </c>
      <c r="M46" t="s">
        <v>3912</v>
      </c>
      <c r="N46" t="s">
        <v>3906</v>
      </c>
      <c r="O46">
        <v>69</v>
      </c>
      <c r="P46" t="s">
        <v>3904</v>
      </c>
      <c r="Q46" t="s">
        <v>3973</v>
      </c>
      <c r="R46" t="s">
        <v>3408</v>
      </c>
      <c r="S46">
        <v>2248.6</v>
      </c>
      <c r="T46">
        <v>161</v>
      </c>
      <c r="V46">
        <v>139394</v>
      </c>
      <c r="W46" t="s">
        <v>3912</v>
      </c>
      <c r="X46" t="s">
        <v>3907</v>
      </c>
    </row>
    <row r="47" spans="1:24" hidden="1" x14ac:dyDescent="0.25">
      <c r="A47">
        <v>45</v>
      </c>
      <c r="B47" t="s">
        <v>166</v>
      </c>
      <c r="C47" t="s">
        <v>120</v>
      </c>
      <c r="D47">
        <v>34.614838370000001</v>
      </c>
      <c r="E47">
        <v>-83.524355810000003</v>
      </c>
      <c r="F47">
        <v>492.3</v>
      </c>
      <c r="G47">
        <v>1615</v>
      </c>
      <c r="H47" t="s">
        <v>4073</v>
      </c>
      <c r="I47" t="s">
        <v>4073</v>
      </c>
      <c r="J47" t="s">
        <v>4074</v>
      </c>
      <c r="K47">
        <v>175822</v>
      </c>
      <c r="L47" t="s">
        <v>3961</v>
      </c>
      <c r="M47" t="s">
        <v>3909</v>
      </c>
      <c r="N47" t="s">
        <v>3908</v>
      </c>
      <c r="O47">
        <v>-999999</v>
      </c>
      <c r="P47" t="s">
        <v>3908</v>
      </c>
      <c r="Q47" t="s">
        <v>3966</v>
      </c>
      <c r="R47" t="s">
        <v>3967</v>
      </c>
      <c r="S47">
        <v>3606.6</v>
      </c>
      <c r="T47">
        <v>115</v>
      </c>
      <c r="V47">
        <v>140122</v>
      </c>
      <c r="W47" t="s">
        <v>3909</v>
      </c>
      <c r="X47" t="s">
        <v>3907</v>
      </c>
    </row>
    <row r="48" spans="1:24" x14ac:dyDescent="0.25">
      <c r="A48">
        <v>46</v>
      </c>
      <c r="B48" t="s">
        <v>170</v>
      </c>
      <c r="C48" t="s">
        <v>120</v>
      </c>
      <c r="D48">
        <v>34.597026620000001</v>
      </c>
      <c r="E48">
        <v>-83.766127159999897</v>
      </c>
      <c r="F48">
        <v>721.9</v>
      </c>
      <c r="G48">
        <v>2368</v>
      </c>
      <c r="I48" t="s">
        <v>4075</v>
      </c>
      <c r="J48" t="s">
        <v>4076</v>
      </c>
      <c r="K48">
        <v>104832</v>
      </c>
      <c r="L48" t="s">
        <v>3961</v>
      </c>
      <c r="M48" t="s">
        <v>3909</v>
      </c>
      <c r="N48" t="s">
        <v>3906</v>
      </c>
      <c r="O48">
        <v>-999999</v>
      </c>
      <c r="P48" t="s">
        <v>3908</v>
      </c>
      <c r="Q48" t="s">
        <v>3966</v>
      </c>
      <c r="R48" t="s">
        <v>3967</v>
      </c>
      <c r="S48">
        <v>13472.2</v>
      </c>
      <c r="T48">
        <v>115</v>
      </c>
      <c r="U48" t="s">
        <v>4077</v>
      </c>
      <c r="V48">
        <v>116778</v>
      </c>
      <c r="W48" t="s">
        <v>3909</v>
      </c>
      <c r="X48" t="s">
        <v>3907</v>
      </c>
    </row>
    <row r="49" spans="1:24" hidden="1" x14ac:dyDescent="0.25">
      <c r="A49">
        <v>47</v>
      </c>
      <c r="B49" t="s">
        <v>703</v>
      </c>
      <c r="C49" t="s">
        <v>675</v>
      </c>
      <c r="D49">
        <v>41.312906239999897</v>
      </c>
      <c r="E49">
        <v>-81.916151029999895</v>
      </c>
      <c r="F49">
        <v>3162.1</v>
      </c>
      <c r="G49">
        <v>10374</v>
      </c>
      <c r="H49" t="s">
        <v>4078</v>
      </c>
      <c r="I49" t="s">
        <v>4079</v>
      </c>
      <c r="J49" t="s">
        <v>4080</v>
      </c>
      <c r="K49">
        <v>121264</v>
      </c>
      <c r="L49" t="s">
        <v>3972</v>
      </c>
      <c r="M49" t="s">
        <v>3908</v>
      </c>
      <c r="N49" t="s">
        <v>3906</v>
      </c>
      <c r="O49">
        <v>345</v>
      </c>
      <c r="P49">
        <v>345</v>
      </c>
      <c r="Q49" t="s">
        <v>3973</v>
      </c>
      <c r="R49" t="s">
        <v>3408</v>
      </c>
      <c r="S49">
        <v>3162.1</v>
      </c>
      <c r="T49">
        <v>345</v>
      </c>
      <c r="U49" t="s">
        <v>4078</v>
      </c>
      <c r="V49">
        <v>121264</v>
      </c>
      <c r="W49" t="s">
        <v>3908</v>
      </c>
      <c r="X49" t="s">
        <v>3907</v>
      </c>
    </row>
    <row r="50" spans="1:24" hidden="1" x14ac:dyDescent="0.25">
      <c r="A50">
        <v>48</v>
      </c>
      <c r="B50" t="s">
        <v>1642</v>
      </c>
      <c r="C50" t="s">
        <v>328</v>
      </c>
      <c r="D50">
        <v>41.281892910000003</v>
      </c>
      <c r="E50">
        <v>-91.381208650000005</v>
      </c>
      <c r="F50">
        <v>3126.2</v>
      </c>
      <c r="G50">
        <v>10257</v>
      </c>
      <c r="H50" t="s">
        <v>4081</v>
      </c>
      <c r="I50" t="s">
        <v>3971</v>
      </c>
      <c r="J50" t="s">
        <v>4082</v>
      </c>
      <c r="K50">
        <v>133145</v>
      </c>
      <c r="L50" t="s">
        <v>3972</v>
      </c>
      <c r="M50" t="s">
        <v>3912</v>
      </c>
      <c r="N50" t="s">
        <v>3906</v>
      </c>
      <c r="O50">
        <v>345</v>
      </c>
      <c r="P50">
        <v>345</v>
      </c>
      <c r="Q50" t="s">
        <v>3973</v>
      </c>
      <c r="R50" t="s">
        <v>3967</v>
      </c>
      <c r="S50">
        <v>3126.2</v>
      </c>
      <c r="T50">
        <v>345</v>
      </c>
      <c r="U50" t="s">
        <v>4081</v>
      </c>
      <c r="V50">
        <v>133145</v>
      </c>
      <c r="W50" t="s">
        <v>3912</v>
      </c>
      <c r="X50" t="s">
        <v>3907</v>
      </c>
    </row>
    <row r="51" spans="1:24" x14ac:dyDescent="0.25">
      <c r="A51">
        <v>49</v>
      </c>
      <c r="B51" t="s">
        <v>175</v>
      </c>
      <c r="C51" t="s">
        <v>120</v>
      </c>
      <c r="D51">
        <v>34.203976419999897</v>
      </c>
      <c r="E51">
        <v>-83.459471219999898</v>
      </c>
      <c r="F51">
        <v>1024.4000000000001</v>
      </c>
      <c r="G51">
        <v>3361</v>
      </c>
      <c r="I51" t="s">
        <v>4083</v>
      </c>
      <c r="J51" t="s">
        <v>4084</v>
      </c>
      <c r="K51">
        <v>158028</v>
      </c>
      <c r="L51" t="s">
        <v>3972</v>
      </c>
      <c r="M51" t="s">
        <v>3909</v>
      </c>
      <c r="N51" t="s">
        <v>3906</v>
      </c>
      <c r="O51">
        <v>115</v>
      </c>
      <c r="P51" t="s">
        <v>3911</v>
      </c>
      <c r="Q51" t="s">
        <v>3973</v>
      </c>
      <c r="R51" t="s">
        <v>3408</v>
      </c>
      <c r="S51">
        <v>1024.4000000000001</v>
      </c>
      <c r="T51">
        <v>115</v>
      </c>
      <c r="V51">
        <v>158028</v>
      </c>
      <c r="W51" t="s">
        <v>3909</v>
      </c>
      <c r="X51" t="s">
        <v>3907</v>
      </c>
    </row>
    <row r="52" spans="1:24" x14ac:dyDescent="0.25">
      <c r="A52">
        <v>50</v>
      </c>
      <c r="B52" t="s">
        <v>917</v>
      </c>
      <c r="C52" t="s">
        <v>905</v>
      </c>
      <c r="D52">
        <v>31.754039280000001</v>
      </c>
      <c r="E52">
        <v>-96.649333920000004</v>
      </c>
      <c r="F52">
        <v>1455.9</v>
      </c>
      <c r="G52">
        <v>4777</v>
      </c>
      <c r="I52" t="s">
        <v>3908</v>
      </c>
      <c r="J52" t="s">
        <v>3908</v>
      </c>
      <c r="K52">
        <v>302299</v>
      </c>
      <c r="L52" t="s">
        <v>3972</v>
      </c>
      <c r="M52" t="s">
        <v>3913</v>
      </c>
      <c r="N52" t="s">
        <v>3906</v>
      </c>
      <c r="O52">
        <v>69</v>
      </c>
      <c r="P52" t="s">
        <v>3904</v>
      </c>
      <c r="Q52" t="s">
        <v>3973</v>
      </c>
      <c r="R52" t="s">
        <v>3967</v>
      </c>
      <c r="S52">
        <v>8105.3</v>
      </c>
      <c r="T52">
        <v>138</v>
      </c>
      <c r="V52">
        <v>300787</v>
      </c>
      <c r="W52" t="s">
        <v>3913</v>
      </c>
      <c r="X52" t="s">
        <v>3907</v>
      </c>
    </row>
    <row r="53" spans="1:24" hidden="1" x14ac:dyDescent="0.25">
      <c r="A53">
        <v>51</v>
      </c>
      <c r="B53" t="s">
        <v>181</v>
      </c>
      <c r="C53" t="s">
        <v>120</v>
      </c>
      <c r="D53">
        <v>34.514516209999897</v>
      </c>
      <c r="E53">
        <v>-83.528180030000001</v>
      </c>
      <c r="F53">
        <v>1438.5</v>
      </c>
      <c r="G53">
        <v>4719</v>
      </c>
      <c r="H53" t="s">
        <v>4004</v>
      </c>
      <c r="I53" t="s">
        <v>4005</v>
      </c>
      <c r="J53" t="s">
        <v>4004</v>
      </c>
      <c r="K53">
        <v>128010</v>
      </c>
      <c r="L53" t="s">
        <v>3972</v>
      </c>
      <c r="M53" t="s">
        <v>3909</v>
      </c>
      <c r="N53" t="s">
        <v>3906</v>
      </c>
      <c r="O53">
        <v>115</v>
      </c>
      <c r="P53" t="s">
        <v>3911</v>
      </c>
      <c r="Q53" t="s">
        <v>3973</v>
      </c>
      <c r="R53" t="s">
        <v>3408</v>
      </c>
      <c r="S53">
        <v>1438.5</v>
      </c>
      <c r="T53">
        <v>115</v>
      </c>
      <c r="U53" t="s">
        <v>4004</v>
      </c>
      <c r="V53">
        <v>128010</v>
      </c>
      <c r="W53" t="s">
        <v>3909</v>
      </c>
      <c r="X53" t="s">
        <v>3907</v>
      </c>
    </row>
    <row r="54" spans="1:24" hidden="1" x14ac:dyDescent="0.25">
      <c r="A54">
        <v>52</v>
      </c>
      <c r="B54" t="s">
        <v>863</v>
      </c>
      <c r="C54" t="s">
        <v>838</v>
      </c>
      <c r="D54">
        <v>35.950758270000001</v>
      </c>
      <c r="E54">
        <v>-95.651615809999896</v>
      </c>
      <c r="F54">
        <v>1461.1</v>
      </c>
      <c r="G54">
        <v>4794</v>
      </c>
      <c r="H54" t="s">
        <v>4085</v>
      </c>
      <c r="I54" t="s">
        <v>4033</v>
      </c>
      <c r="J54" t="s">
        <v>4086</v>
      </c>
      <c r="K54">
        <v>116139</v>
      </c>
      <c r="L54" t="s">
        <v>3972</v>
      </c>
      <c r="M54" t="s">
        <v>3921</v>
      </c>
      <c r="N54" t="s">
        <v>3906</v>
      </c>
      <c r="O54">
        <v>345</v>
      </c>
      <c r="P54">
        <v>345</v>
      </c>
      <c r="Q54" t="s">
        <v>3973</v>
      </c>
      <c r="R54" t="s">
        <v>3967</v>
      </c>
      <c r="S54">
        <v>1461.1</v>
      </c>
      <c r="T54">
        <v>345</v>
      </c>
      <c r="U54" t="s">
        <v>4085</v>
      </c>
      <c r="V54">
        <v>116139</v>
      </c>
      <c r="W54" t="s">
        <v>3921</v>
      </c>
      <c r="X54" t="s">
        <v>3907</v>
      </c>
    </row>
    <row r="55" spans="1:24" hidden="1" x14ac:dyDescent="0.25">
      <c r="A55">
        <v>53</v>
      </c>
      <c r="B55" t="s">
        <v>362</v>
      </c>
      <c r="C55" t="s">
        <v>328</v>
      </c>
      <c r="D55">
        <v>43.373960740000001</v>
      </c>
      <c r="E55">
        <v>-92.1173488499999</v>
      </c>
      <c r="F55">
        <v>186.9</v>
      </c>
      <c r="G55">
        <v>613</v>
      </c>
      <c r="H55" t="s">
        <v>4087</v>
      </c>
      <c r="I55" t="s">
        <v>4088</v>
      </c>
      <c r="J55" t="s">
        <v>4087</v>
      </c>
      <c r="K55">
        <v>169703</v>
      </c>
      <c r="L55" t="s">
        <v>3961</v>
      </c>
      <c r="M55" t="s">
        <v>3908</v>
      </c>
      <c r="N55" t="s">
        <v>3906</v>
      </c>
      <c r="O55">
        <v>-999999</v>
      </c>
      <c r="P55" t="s">
        <v>3908</v>
      </c>
      <c r="Q55" t="s">
        <v>3966</v>
      </c>
      <c r="R55" t="s">
        <v>3967</v>
      </c>
      <c r="X55" t="s">
        <v>3907</v>
      </c>
    </row>
    <row r="56" spans="1:24" hidden="1" x14ac:dyDescent="0.25">
      <c r="A56">
        <v>54</v>
      </c>
      <c r="B56" t="s">
        <v>367</v>
      </c>
      <c r="C56" t="s">
        <v>328</v>
      </c>
      <c r="D56">
        <v>41.058173009999898</v>
      </c>
      <c r="E56">
        <v>-94.363594460000002</v>
      </c>
      <c r="F56">
        <v>2980.5</v>
      </c>
      <c r="G56">
        <v>9778</v>
      </c>
      <c r="H56" t="s">
        <v>4089</v>
      </c>
      <c r="I56" t="s">
        <v>4090</v>
      </c>
      <c r="J56" t="s">
        <v>4089</v>
      </c>
      <c r="K56">
        <v>102969</v>
      </c>
      <c r="L56" t="s">
        <v>3972</v>
      </c>
      <c r="M56" t="s">
        <v>3928</v>
      </c>
      <c r="N56" t="s">
        <v>3906</v>
      </c>
      <c r="O56">
        <v>161</v>
      </c>
      <c r="P56" t="s">
        <v>3911</v>
      </c>
      <c r="Q56" t="s">
        <v>3973</v>
      </c>
      <c r="R56" t="s">
        <v>3408</v>
      </c>
      <c r="S56">
        <v>2980.5</v>
      </c>
      <c r="T56">
        <v>161</v>
      </c>
      <c r="U56" t="s">
        <v>4089</v>
      </c>
      <c r="V56">
        <v>102969</v>
      </c>
      <c r="W56" t="s">
        <v>3928</v>
      </c>
      <c r="X56" t="s">
        <v>3907</v>
      </c>
    </row>
    <row r="57" spans="1:24" x14ac:dyDescent="0.25">
      <c r="A57">
        <v>55</v>
      </c>
      <c r="B57" t="s">
        <v>39</v>
      </c>
      <c r="C57" t="s">
        <v>35</v>
      </c>
      <c r="D57">
        <v>33.128257429999898</v>
      </c>
      <c r="E57">
        <v>-91.96229117</v>
      </c>
      <c r="F57">
        <v>1262.0999999999999</v>
      </c>
      <c r="G57">
        <v>4141</v>
      </c>
      <c r="I57" t="s">
        <v>4091</v>
      </c>
      <c r="J57" t="s">
        <v>4092</v>
      </c>
      <c r="K57">
        <v>149369</v>
      </c>
      <c r="L57" t="s">
        <v>3972</v>
      </c>
      <c r="M57" t="s">
        <v>3929</v>
      </c>
      <c r="N57" t="s">
        <v>3906</v>
      </c>
      <c r="O57">
        <v>115</v>
      </c>
      <c r="P57" t="s">
        <v>3911</v>
      </c>
      <c r="Q57" t="s">
        <v>3973</v>
      </c>
      <c r="R57" t="s">
        <v>3408</v>
      </c>
      <c r="S57">
        <v>1262.0999999999999</v>
      </c>
      <c r="T57">
        <v>115</v>
      </c>
      <c r="V57">
        <v>149369</v>
      </c>
      <c r="W57" t="s">
        <v>3929</v>
      </c>
      <c r="X57" t="s">
        <v>3907</v>
      </c>
    </row>
    <row r="58" spans="1:24" hidden="1" x14ac:dyDescent="0.25">
      <c r="A58">
        <v>56</v>
      </c>
      <c r="B58" t="s">
        <v>561</v>
      </c>
      <c r="C58" t="s">
        <v>517</v>
      </c>
      <c r="D58">
        <v>36.977209029999898</v>
      </c>
      <c r="E58">
        <v>-82.990184020000001</v>
      </c>
      <c r="F58">
        <v>571.5</v>
      </c>
      <c r="G58">
        <v>1875</v>
      </c>
      <c r="H58" t="s">
        <v>4093</v>
      </c>
      <c r="I58" t="s">
        <v>4094</v>
      </c>
      <c r="J58" t="s">
        <v>4093</v>
      </c>
      <c r="K58">
        <v>164108</v>
      </c>
      <c r="L58" t="s">
        <v>3961</v>
      </c>
      <c r="M58" t="s">
        <v>3925</v>
      </c>
      <c r="N58" t="s">
        <v>3906</v>
      </c>
      <c r="O58">
        <v>-999999</v>
      </c>
      <c r="P58" t="s">
        <v>3911</v>
      </c>
      <c r="Q58" t="s">
        <v>3962</v>
      </c>
      <c r="R58" t="s">
        <v>3408</v>
      </c>
      <c r="S58">
        <v>2007.2</v>
      </c>
      <c r="T58">
        <v>161</v>
      </c>
      <c r="U58" t="s">
        <v>4095</v>
      </c>
      <c r="V58">
        <v>144519</v>
      </c>
      <c r="W58" t="s">
        <v>3908</v>
      </c>
      <c r="X58" t="s">
        <v>3907</v>
      </c>
    </row>
    <row r="59" spans="1:24" hidden="1" x14ac:dyDescent="0.25">
      <c r="A59">
        <v>57</v>
      </c>
      <c r="B59" t="s">
        <v>186</v>
      </c>
      <c r="C59" t="s">
        <v>120</v>
      </c>
      <c r="D59">
        <v>34.535423780000002</v>
      </c>
      <c r="E59">
        <v>-83.98251372</v>
      </c>
      <c r="F59">
        <v>747</v>
      </c>
      <c r="G59">
        <v>2451</v>
      </c>
      <c r="H59" t="s">
        <v>4096</v>
      </c>
      <c r="I59" t="s">
        <v>4097</v>
      </c>
      <c r="J59" t="s">
        <v>4096</v>
      </c>
      <c r="K59">
        <v>146268</v>
      </c>
      <c r="L59" t="s">
        <v>3961</v>
      </c>
      <c r="M59" t="s">
        <v>3909</v>
      </c>
      <c r="N59" t="s">
        <v>3906</v>
      </c>
      <c r="O59">
        <v>-999999</v>
      </c>
      <c r="P59" t="s">
        <v>3911</v>
      </c>
      <c r="Q59" t="s">
        <v>3962</v>
      </c>
      <c r="R59" t="s">
        <v>3408</v>
      </c>
      <c r="S59">
        <v>1799.4</v>
      </c>
      <c r="T59">
        <v>115</v>
      </c>
      <c r="U59" t="s">
        <v>4098</v>
      </c>
      <c r="V59">
        <v>112608</v>
      </c>
      <c r="W59" t="s">
        <v>3909</v>
      </c>
      <c r="X59" t="s">
        <v>3907</v>
      </c>
    </row>
    <row r="60" spans="1:24" x14ac:dyDescent="0.25">
      <c r="A60">
        <v>58</v>
      </c>
      <c r="B60" t="s">
        <v>44</v>
      </c>
      <c r="C60" t="s">
        <v>35</v>
      </c>
      <c r="D60">
        <v>34.038112460000001</v>
      </c>
      <c r="E60">
        <v>-92.887379060000001</v>
      </c>
      <c r="F60">
        <v>2465.1</v>
      </c>
      <c r="G60">
        <v>8088</v>
      </c>
      <c r="I60" t="s">
        <v>4099</v>
      </c>
      <c r="J60" t="s">
        <v>4100</v>
      </c>
      <c r="K60">
        <v>145131</v>
      </c>
      <c r="L60" t="s">
        <v>3972</v>
      </c>
      <c r="M60" t="s">
        <v>3929</v>
      </c>
      <c r="N60" t="s">
        <v>3906</v>
      </c>
      <c r="O60">
        <v>115</v>
      </c>
      <c r="P60" t="s">
        <v>3911</v>
      </c>
      <c r="Q60" t="s">
        <v>3973</v>
      </c>
      <c r="R60" t="s">
        <v>3408</v>
      </c>
      <c r="S60">
        <v>2465.1</v>
      </c>
      <c r="T60">
        <v>115</v>
      </c>
      <c r="V60">
        <v>145131</v>
      </c>
      <c r="W60" t="s">
        <v>3929</v>
      </c>
      <c r="X60" t="s">
        <v>3907</v>
      </c>
    </row>
    <row r="61" spans="1:24" hidden="1" x14ac:dyDescent="0.25">
      <c r="A61">
        <v>59</v>
      </c>
      <c r="B61" t="s">
        <v>922</v>
      </c>
      <c r="C61" t="s">
        <v>905</v>
      </c>
      <c r="D61">
        <v>36.060145509999899</v>
      </c>
      <c r="E61">
        <v>-102.52150330000001</v>
      </c>
      <c r="F61">
        <v>765.6</v>
      </c>
      <c r="G61">
        <v>2512</v>
      </c>
      <c r="H61" t="s">
        <v>4101</v>
      </c>
      <c r="I61" t="s">
        <v>4101</v>
      </c>
      <c r="J61" t="s">
        <v>3908</v>
      </c>
      <c r="K61">
        <v>309931</v>
      </c>
      <c r="L61" t="s">
        <v>3972</v>
      </c>
      <c r="M61" t="s">
        <v>3930</v>
      </c>
      <c r="N61" t="s">
        <v>3906</v>
      </c>
      <c r="O61">
        <v>69</v>
      </c>
      <c r="P61" t="s">
        <v>3904</v>
      </c>
      <c r="Q61" t="s">
        <v>3973</v>
      </c>
      <c r="R61" t="s">
        <v>3967</v>
      </c>
      <c r="S61">
        <v>836.2</v>
      </c>
      <c r="T61">
        <v>138</v>
      </c>
      <c r="U61" t="s">
        <v>4102</v>
      </c>
      <c r="V61">
        <v>310668</v>
      </c>
      <c r="W61" t="s">
        <v>3931</v>
      </c>
      <c r="X61" t="s">
        <v>3907</v>
      </c>
    </row>
    <row r="62" spans="1:24" hidden="1" x14ac:dyDescent="0.25">
      <c r="A62">
        <v>60</v>
      </c>
      <c r="B62" t="s">
        <v>191</v>
      </c>
      <c r="C62" t="s">
        <v>120</v>
      </c>
      <c r="D62">
        <v>34.675054719999899</v>
      </c>
      <c r="E62">
        <v>-84.966387839999896</v>
      </c>
      <c r="F62">
        <v>212.8</v>
      </c>
      <c r="G62">
        <v>698</v>
      </c>
      <c r="H62" t="s">
        <v>4103</v>
      </c>
      <c r="I62" t="s">
        <v>4104</v>
      </c>
      <c r="J62" t="s">
        <v>4105</v>
      </c>
      <c r="K62">
        <v>167560</v>
      </c>
      <c r="L62" t="s">
        <v>3972</v>
      </c>
      <c r="M62" t="s">
        <v>3909</v>
      </c>
      <c r="N62" t="s">
        <v>3906</v>
      </c>
      <c r="O62">
        <v>115</v>
      </c>
      <c r="P62" t="s">
        <v>3911</v>
      </c>
      <c r="Q62" t="s">
        <v>3973</v>
      </c>
      <c r="R62" t="s">
        <v>3408</v>
      </c>
      <c r="S62">
        <v>212.8</v>
      </c>
      <c r="T62">
        <v>115</v>
      </c>
      <c r="U62" t="s">
        <v>4103</v>
      </c>
      <c r="V62">
        <v>167560</v>
      </c>
      <c r="W62" t="s">
        <v>3909</v>
      </c>
      <c r="X62" t="s">
        <v>3907</v>
      </c>
    </row>
    <row r="63" spans="1:24" x14ac:dyDescent="0.25">
      <c r="A63">
        <v>61</v>
      </c>
      <c r="B63" t="s">
        <v>196</v>
      </c>
      <c r="C63" t="s">
        <v>120</v>
      </c>
      <c r="D63">
        <v>31.7742450299999</v>
      </c>
      <c r="E63">
        <v>-84.445643529999899</v>
      </c>
      <c r="F63">
        <v>726.7</v>
      </c>
      <c r="G63">
        <v>2384</v>
      </c>
      <c r="I63" t="s">
        <v>4106</v>
      </c>
      <c r="J63" t="s">
        <v>4107</v>
      </c>
      <c r="K63">
        <v>179240</v>
      </c>
      <c r="L63" t="s">
        <v>3972</v>
      </c>
      <c r="M63" t="s">
        <v>3909</v>
      </c>
      <c r="N63" t="s">
        <v>3906</v>
      </c>
      <c r="O63">
        <v>115</v>
      </c>
      <c r="P63" t="s">
        <v>3911</v>
      </c>
      <c r="Q63" t="s">
        <v>3973</v>
      </c>
      <c r="R63" t="s">
        <v>3408</v>
      </c>
      <c r="S63">
        <v>726.7</v>
      </c>
      <c r="T63">
        <v>115</v>
      </c>
      <c r="V63">
        <v>179240</v>
      </c>
      <c r="W63" t="s">
        <v>3909</v>
      </c>
      <c r="X63" t="s">
        <v>3907</v>
      </c>
    </row>
    <row r="64" spans="1:24" x14ac:dyDescent="0.25">
      <c r="A64">
        <v>62</v>
      </c>
      <c r="B64" t="s">
        <v>708</v>
      </c>
      <c r="C64" t="s">
        <v>675</v>
      </c>
      <c r="D64">
        <v>41.574908229999899</v>
      </c>
      <c r="E64">
        <v>-84.007658509999899</v>
      </c>
      <c r="F64">
        <v>1178.2</v>
      </c>
      <c r="G64">
        <v>3865</v>
      </c>
      <c r="I64" t="s">
        <v>4108</v>
      </c>
      <c r="J64" t="s">
        <v>4109</v>
      </c>
      <c r="K64">
        <v>173698</v>
      </c>
      <c r="L64" t="s">
        <v>3972</v>
      </c>
      <c r="M64" t="s">
        <v>3908</v>
      </c>
      <c r="N64" t="s">
        <v>3906</v>
      </c>
      <c r="O64">
        <v>-999999</v>
      </c>
      <c r="P64" t="s">
        <v>3908</v>
      </c>
      <c r="Q64" t="s">
        <v>3966</v>
      </c>
      <c r="R64" t="s">
        <v>3967</v>
      </c>
      <c r="S64">
        <v>2527.1</v>
      </c>
      <c r="T64">
        <v>345</v>
      </c>
      <c r="V64">
        <v>105659</v>
      </c>
      <c r="W64" t="s">
        <v>3915</v>
      </c>
      <c r="X64" t="s">
        <v>3907</v>
      </c>
    </row>
    <row r="65" spans="1:24" x14ac:dyDescent="0.25">
      <c r="A65">
        <v>63</v>
      </c>
      <c r="B65" t="s">
        <v>927</v>
      </c>
      <c r="C65" t="s">
        <v>905</v>
      </c>
      <c r="D65">
        <v>34.551706009999897</v>
      </c>
      <c r="E65">
        <v>-102.311284299999</v>
      </c>
      <c r="F65">
        <v>503.4</v>
      </c>
      <c r="G65">
        <v>1652</v>
      </c>
      <c r="I65" t="s">
        <v>3908</v>
      </c>
      <c r="J65" t="s">
        <v>3908</v>
      </c>
      <c r="K65">
        <v>300011</v>
      </c>
      <c r="L65" t="s">
        <v>3972</v>
      </c>
      <c r="M65" t="s">
        <v>3908</v>
      </c>
      <c r="N65" t="s">
        <v>3906</v>
      </c>
      <c r="O65">
        <v>138</v>
      </c>
      <c r="P65" t="s">
        <v>3911</v>
      </c>
      <c r="Q65" t="s">
        <v>3973</v>
      </c>
      <c r="R65" t="s">
        <v>3967</v>
      </c>
      <c r="S65">
        <v>503.4</v>
      </c>
      <c r="T65">
        <v>138</v>
      </c>
      <c r="V65">
        <v>300011</v>
      </c>
      <c r="W65" t="s">
        <v>3908</v>
      </c>
      <c r="X65" t="s">
        <v>3907</v>
      </c>
    </row>
    <row r="66" spans="1:24" x14ac:dyDescent="0.25">
      <c r="A66">
        <v>64</v>
      </c>
      <c r="B66" t="s">
        <v>201</v>
      </c>
      <c r="C66" t="s">
        <v>120</v>
      </c>
      <c r="D66">
        <v>31.0413469699999</v>
      </c>
      <c r="E66">
        <v>-84.884543500000007</v>
      </c>
      <c r="F66">
        <v>40.1</v>
      </c>
      <c r="G66">
        <v>132</v>
      </c>
      <c r="I66" t="s">
        <v>4110</v>
      </c>
      <c r="J66" t="s">
        <v>4111</v>
      </c>
      <c r="K66">
        <v>100832</v>
      </c>
      <c r="L66" t="s">
        <v>3972</v>
      </c>
      <c r="M66" t="s">
        <v>3909</v>
      </c>
      <c r="N66" t="s">
        <v>3906</v>
      </c>
      <c r="O66">
        <v>115</v>
      </c>
      <c r="P66" t="s">
        <v>3911</v>
      </c>
      <c r="Q66" t="s">
        <v>3973</v>
      </c>
      <c r="R66" t="s">
        <v>3408</v>
      </c>
      <c r="S66">
        <v>40.1</v>
      </c>
      <c r="T66">
        <v>115</v>
      </c>
      <c r="V66">
        <v>100832</v>
      </c>
      <c r="W66" t="s">
        <v>3909</v>
      </c>
      <c r="X66" t="s">
        <v>3907</v>
      </c>
    </row>
    <row r="67" spans="1:24" hidden="1" x14ac:dyDescent="0.25">
      <c r="A67">
        <v>65</v>
      </c>
      <c r="B67" t="s">
        <v>373</v>
      </c>
      <c r="C67" t="s">
        <v>328</v>
      </c>
      <c r="D67">
        <v>40.642822199999898</v>
      </c>
      <c r="E67">
        <v>-91.565324930000003</v>
      </c>
      <c r="F67">
        <v>6815.9</v>
      </c>
      <c r="G67">
        <v>22362</v>
      </c>
      <c r="H67" t="s">
        <v>4112</v>
      </c>
      <c r="I67" t="s">
        <v>4112</v>
      </c>
      <c r="J67" t="s">
        <v>4113</v>
      </c>
      <c r="K67">
        <v>160544</v>
      </c>
      <c r="L67" t="s">
        <v>3972</v>
      </c>
      <c r="M67" t="s">
        <v>3908</v>
      </c>
      <c r="N67" t="s">
        <v>3906</v>
      </c>
      <c r="O67">
        <v>69</v>
      </c>
      <c r="P67" t="s">
        <v>3904</v>
      </c>
      <c r="Q67" t="s">
        <v>3973</v>
      </c>
      <c r="R67" t="s">
        <v>3408</v>
      </c>
      <c r="S67">
        <v>6856.4</v>
      </c>
      <c r="T67">
        <v>345</v>
      </c>
      <c r="U67" t="s">
        <v>3969</v>
      </c>
      <c r="V67">
        <v>126581</v>
      </c>
      <c r="W67" t="s">
        <v>3908</v>
      </c>
      <c r="X67" t="s">
        <v>3907</v>
      </c>
    </row>
    <row r="68" spans="1:24" hidden="1" x14ac:dyDescent="0.25">
      <c r="A68">
        <v>66</v>
      </c>
      <c r="B68" t="s">
        <v>932</v>
      </c>
      <c r="C68" t="s">
        <v>905</v>
      </c>
      <c r="D68">
        <v>35.85904172</v>
      </c>
      <c r="E68">
        <v>-101.974124399999</v>
      </c>
      <c r="F68">
        <v>925.7</v>
      </c>
      <c r="G68">
        <v>3037</v>
      </c>
      <c r="H68" t="s">
        <v>4114</v>
      </c>
      <c r="I68" t="s">
        <v>4115</v>
      </c>
      <c r="J68" t="s">
        <v>4114</v>
      </c>
      <c r="K68">
        <v>313684</v>
      </c>
      <c r="L68" t="s">
        <v>3972</v>
      </c>
      <c r="M68" t="s">
        <v>3931</v>
      </c>
      <c r="N68" t="s">
        <v>3906</v>
      </c>
      <c r="O68">
        <v>69</v>
      </c>
      <c r="P68" t="s">
        <v>3904</v>
      </c>
      <c r="Q68" t="s">
        <v>3973</v>
      </c>
      <c r="R68" t="s">
        <v>3967</v>
      </c>
      <c r="S68">
        <v>2252.8000000000002</v>
      </c>
      <c r="T68">
        <v>115</v>
      </c>
      <c r="U68" t="s">
        <v>4114</v>
      </c>
      <c r="V68">
        <v>311508</v>
      </c>
      <c r="W68" t="s">
        <v>3930</v>
      </c>
      <c r="X68" t="s">
        <v>3907</v>
      </c>
    </row>
    <row r="69" spans="1:24" x14ac:dyDescent="0.25">
      <c r="A69">
        <v>67</v>
      </c>
      <c r="B69" t="s">
        <v>378</v>
      </c>
      <c r="C69" t="s">
        <v>328</v>
      </c>
      <c r="D69">
        <v>42.484060739999897</v>
      </c>
      <c r="E69">
        <v>-91.123057189999898</v>
      </c>
      <c r="F69">
        <v>968.4</v>
      </c>
      <c r="G69">
        <v>3177</v>
      </c>
      <c r="I69" t="s">
        <v>4116</v>
      </c>
      <c r="J69" t="s">
        <v>4117</v>
      </c>
      <c r="K69">
        <v>160587</v>
      </c>
      <c r="L69" t="s">
        <v>3972</v>
      </c>
      <c r="M69" t="s">
        <v>3908</v>
      </c>
      <c r="N69" t="s">
        <v>3906</v>
      </c>
      <c r="O69">
        <v>69</v>
      </c>
      <c r="P69" t="s">
        <v>3904</v>
      </c>
      <c r="Q69" t="s">
        <v>3973</v>
      </c>
      <c r="R69" t="s">
        <v>3408</v>
      </c>
      <c r="S69">
        <v>6659.3</v>
      </c>
      <c r="T69">
        <v>161</v>
      </c>
      <c r="U69" t="s">
        <v>4118</v>
      </c>
      <c r="V69">
        <v>120017</v>
      </c>
      <c r="W69" t="s">
        <v>3908</v>
      </c>
      <c r="X69" t="s">
        <v>3907</v>
      </c>
    </row>
    <row r="70" spans="1:24" hidden="1" x14ac:dyDescent="0.25">
      <c r="A70">
        <v>68</v>
      </c>
      <c r="B70" t="s">
        <v>383</v>
      </c>
      <c r="C70" t="s">
        <v>328</v>
      </c>
      <c r="D70">
        <v>42.645185599999898</v>
      </c>
      <c r="E70">
        <v>-91.400567710000004</v>
      </c>
      <c r="F70">
        <v>7016.1</v>
      </c>
      <c r="G70">
        <v>23019</v>
      </c>
      <c r="H70" t="s">
        <v>4119</v>
      </c>
      <c r="I70" t="s">
        <v>4119</v>
      </c>
      <c r="J70" t="s">
        <v>3908</v>
      </c>
      <c r="K70">
        <v>143054</v>
      </c>
      <c r="L70" t="s">
        <v>3961</v>
      </c>
      <c r="M70" t="s">
        <v>3908</v>
      </c>
      <c r="N70" t="s">
        <v>3908</v>
      </c>
      <c r="O70">
        <v>-999999</v>
      </c>
      <c r="P70" t="s">
        <v>3908</v>
      </c>
      <c r="Q70" t="s">
        <v>3966</v>
      </c>
      <c r="R70" t="s">
        <v>3967</v>
      </c>
      <c r="S70">
        <v>10102.200000000001</v>
      </c>
      <c r="T70">
        <v>345</v>
      </c>
      <c r="U70" t="s">
        <v>4120</v>
      </c>
      <c r="V70">
        <v>158094</v>
      </c>
      <c r="W70" t="s">
        <v>3912</v>
      </c>
      <c r="X70" t="s">
        <v>3907</v>
      </c>
    </row>
    <row r="71" spans="1:24" x14ac:dyDescent="0.25">
      <c r="A71">
        <v>69</v>
      </c>
      <c r="B71" t="s">
        <v>712</v>
      </c>
      <c r="C71" t="s">
        <v>675</v>
      </c>
      <c r="D71">
        <v>41.36574092</v>
      </c>
      <c r="E71">
        <v>-82.109992779999899</v>
      </c>
      <c r="F71">
        <v>1509.3</v>
      </c>
      <c r="G71">
        <v>4952</v>
      </c>
      <c r="I71" t="s">
        <v>4121</v>
      </c>
      <c r="J71" t="s">
        <v>4122</v>
      </c>
      <c r="K71">
        <v>173755</v>
      </c>
      <c r="L71" t="s">
        <v>3972</v>
      </c>
      <c r="M71" t="s">
        <v>3908</v>
      </c>
      <c r="N71" t="s">
        <v>3906</v>
      </c>
      <c r="O71">
        <v>138</v>
      </c>
      <c r="P71" t="s">
        <v>3911</v>
      </c>
      <c r="Q71" t="s">
        <v>3973</v>
      </c>
      <c r="R71" t="s">
        <v>3408</v>
      </c>
      <c r="S71">
        <v>1509.3</v>
      </c>
      <c r="T71">
        <v>138</v>
      </c>
      <c r="V71">
        <v>173755</v>
      </c>
      <c r="W71" t="s">
        <v>3908</v>
      </c>
      <c r="X71" t="s">
        <v>3907</v>
      </c>
    </row>
    <row r="72" spans="1:24" hidden="1" x14ac:dyDescent="0.25">
      <c r="A72">
        <v>70</v>
      </c>
      <c r="B72" t="s">
        <v>717</v>
      </c>
      <c r="C72" t="s">
        <v>675</v>
      </c>
      <c r="D72">
        <v>41.384640089999898</v>
      </c>
      <c r="E72">
        <v>-82.077995580000007</v>
      </c>
      <c r="F72">
        <v>795.6</v>
      </c>
      <c r="G72">
        <v>2610</v>
      </c>
      <c r="H72" t="s">
        <v>4123</v>
      </c>
      <c r="I72" t="s">
        <v>4124</v>
      </c>
      <c r="J72" t="s">
        <v>4125</v>
      </c>
      <c r="K72">
        <v>173759</v>
      </c>
      <c r="L72" t="s">
        <v>3972</v>
      </c>
      <c r="M72" t="s">
        <v>3908</v>
      </c>
      <c r="N72" t="s">
        <v>3906</v>
      </c>
      <c r="O72">
        <v>-999999</v>
      </c>
      <c r="P72" t="s">
        <v>3908</v>
      </c>
      <c r="Q72" t="s">
        <v>3966</v>
      </c>
      <c r="R72" t="s">
        <v>3967</v>
      </c>
      <c r="S72">
        <v>3645.4</v>
      </c>
      <c r="T72">
        <v>138</v>
      </c>
      <c r="V72">
        <v>159619</v>
      </c>
      <c r="W72" t="s">
        <v>3908</v>
      </c>
      <c r="X72" t="s">
        <v>3907</v>
      </c>
    </row>
    <row r="73" spans="1:24" x14ac:dyDescent="0.25">
      <c r="A73">
        <v>71</v>
      </c>
      <c r="B73" t="s">
        <v>721</v>
      </c>
      <c r="C73" t="s">
        <v>675</v>
      </c>
      <c r="D73">
        <v>41.399902419999897</v>
      </c>
      <c r="E73">
        <v>-82.132505379999898</v>
      </c>
      <c r="F73">
        <v>260.3</v>
      </c>
      <c r="G73">
        <v>854</v>
      </c>
      <c r="I73" t="s">
        <v>4126</v>
      </c>
      <c r="J73" t="s">
        <v>4127</v>
      </c>
      <c r="K73">
        <v>159619</v>
      </c>
      <c r="L73" t="s">
        <v>3972</v>
      </c>
      <c r="M73" t="s">
        <v>3908</v>
      </c>
      <c r="N73" t="s">
        <v>3906</v>
      </c>
      <c r="O73">
        <v>138</v>
      </c>
      <c r="P73" t="s">
        <v>3911</v>
      </c>
      <c r="Q73" t="s">
        <v>3973</v>
      </c>
      <c r="R73" t="s">
        <v>3408</v>
      </c>
      <c r="S73">
        <v>260.3</v>
      </c>
      <c r="T73">
        <v>138</v>
      </c>
      <c r="V73">
        <v>159619</v>
      </c>
      <c r="W73" t="s">
        <v>3908</v>
      </c>
      <c r="X73" t="s">
        <v>3907</v>
      </c>
    </row>
    <row r="74" spans="1:24" x14ac:dyDescent="0.25">
      <c r="A74">
        <v>72</v>
      </c>
      <c r="B74" t="s">
        <v>387</v>
      </c>
      <c r="C74" t="s">
        <v>328</v>
      </c>
      <c r="D74">
        <v>43.110805620000001</v>
      </c>
      <c r="E74">
        <v>-94.6673863299999</v>
      </c>
      <c r="F74">
        <v>8856.7000000000007</v>
      </c>
      <c r="G74">
        <v>29058</v>
      </c>
      <c r="I74" t="s">
        <v>4128</v>
      </c>
      <c r="J74" t="s">
        <v>4129</v>
      </c>
      <c r="K74">
        <v>104889</v>
      </c>
      <c r="L74" t="s">
        <v>3972</v>
      </c>
      <c r="M74" t="s">
        <v>3912</v>
      </c>
      <c r="N74" t="s">
        <v>3906</v>
      </c>
      <c r="O74">
        <v>161</v>
      </c>
      <c r="P74" t="s">
        <v>3911</v>
      </c>
      <c r="Q74" t="s">
        <v>3973</v>
      </c>
      <c r="R74" t="s">
        <v>3967</v>
      </c>
      <c r="S74">
        <v>8856.7000000000007</v>
      </c>
      <c r="T74">
        <v>161</v>
      </c>
      <c r="V74">
        <v>104889</v>
      </c>
      <c r="W74" t="s">
        <v>3912</v>
      </c>
      <c r="X74" t="s">
        <v>3907</v>
      </c>
    </row>
    <row r="75" spans="1:24" hidden="1" x14ac:dyDescent="0.25">
      <c r="A75">
        <v>73</v>
      </c>
      <c r="B75" t="s">
        <v>566</v>
      </c>
      <c r="C75" t="s">
        <v>517</v>
      </c>
      <c r="D75">
        <v>36.861869069999898</v>
      </c>
      <c r="E75">
        <v>-83.1824016099999</v>
      </c>
      <c r="F75">
        <v>471.2</v>
      </c>
      <c r="G75">
        <v>1546</v>
      </c>
      <c r="H75" t="s">
        <v>4130</v>
      </c>
      <c r="I75" t="s">
        <v>4131</v>
      </c>
      <c r="J75" t="s">
        <v>4132</v>
      </c>
      <c r="K75">
        <v>164291</v>
      </c>
      <c r="L75" t="s">
        <v>3972</v>
      </c>
      <c r="M75" t="s">
        <v>3925</v>
      </c>
      <c r="N75" t="s">
        <v>3906</v>
      </c>
      <c r="O75">
        <v>69</v>
      </c>
      <c r="P75" t="s">
        <v>3904</v>
      </c>
      <c r="Q75" t="s">
        <v>3973</v>
      </c>
      <c r="R75" t="s">
        <v>3408</v>
      </c>
      <c r="S75">
        <v>2347.1</v>
      </c>
      <c r="T75">
        <v>161</v>
      </c>
      <c r="U75" t="s">
        <v>4133</v>
      </c>
      <c r="V75">
        <v>128143</v>
      </c>
      <c r="W75" t="s">
        <v>3925</v>
      </c>
      <c r="X75" t="s">
        <v>3907</v>
      </c>
    </row>
    <row r="76" spans="1:24" hidden="1" x14ac:dyDescent="0.25">
      <c r="A76">
        <v>74</v>
      </c>
      <c r="B76" t="s">
        <v>392</v>
      </c>
      <c r="C76" t="s">
        <v>328</v>
      </c>
      <c r="D76">
        <v>41.007422910000003</v>
      </c>
      <c r="E76">
        <v>-91.9658781199999</v>
      </c>
      <c r="F76">
        <v>549</v>
      </c>
      <c r="G76">
        <v>1801</v>
      </c>
      <c r="H76" t="s">
        <v>4134</v>
      </c>
      <c r="I76" t="s">
        <v>4135</v>
      </c>
      <c r="J76" t="s">
        <v>4134</v>
      </c>
      <c r="K76">
        <v>105699</v>
      </c>
      <c r="L76" t="s">
        <v>3961</v>
      </c>
      <c r="M76" t="s">
        <v>3908</v>
      </c>
      <c r="N76" t="s">
        <v>3906</v>
      </c>
      <c r="O76">
        <v>-999999</v>
      </c>
      <c r="P76" t="s">
        <v>3908</v>
      </c>
      <c r="Q76" t="s">
        <v>3966</v>
      </c>
      <c r="R76" t="s">
        <v>3967</v>
      </c>
      <c r="S76">
        <v>3120.3</v>
      </c>
      <c r="T76">
        <v>161</v>
      </c>
      <c r="U76" t="s">
        <v>4136</v>
      </c>
      <c r="V76">
        <v>140001</v>
      </c>
      <c r="W76" t="s">
        <v>3908</v>
      </c>
      <c r="X76" t="s">
        <v>3907</v>
      </c>
    </row>
    <row r="77" spans="1:24" x14ac:dyDescent="0.25">
      <c r="A77">
        <v>75</v>
      </c>
      <c r="B77" t="s">
        <v>207</v>
      </c>
      <c r="C77" t="s">
        <v>120</v>
      </c>
      <c r="D77">
        <v>31.715143520000002</v>
      </c>
      <c r="E77">
        <v>-83.253794409999898</v>
      </c>
      <c r="F77">
        <v>614.70000000000005</v>
      </c>
      <c r="G77">
        <v>2017</v>
      </c>
      <c r="I77" t="s">
        <v>4137</v>
      </c>
      <c r="J77" t="s">
        <v>4138</v>
      </c>
      <c r="K77">
        <v>123984</v>
      </c>
      <c r="L77" t="s">
        <v>3972</v>
      </c>
      <c r="M77" t="s">
        <v>3909</v>
      </c>
      <c r="N77" t="s">
        <v>3906</v>
      </c>
      <c r="O77">
        <v>115</v>
      </c>
      <c r="P77" t="s">
        <v>3911</v>
      </c>
      <c r="Q77" t="s">
        <v>3973</v>
      </c>
      <c r="R77" t="s">
        <v>3408</v>
      </c>
      <c r="S77">
        <v>614.70000000000005</v>
      </c>
      <c r="T77">
        <v>115</v>
      </c>
      <c r="V77">
        <v>123984</v>
      </c>
      <c r="W77" t="s">
        <v>3909</v>
      </c>
      <c r="X77" t="s">
        <v>3907</v>
      </c>
    </row>
    <row r="78" spans="1:24" hidden="1" x14ac:dyDescent="0.25">
      <c r="A78">
        <v>76</v>
      </c>
      <c r="B78" t="s">
        <v>571</v>
      </c>
      <c r="C78" t="s">
        <v>517</v>
      </c>
      <c r="D78">
        <v>38.517180430000003</v>
      </c>
      <c r="E78">
        <v>-82.722060619999894</v>
      </c>
      <c r="F78">
        <v>1627.8</v>
      </c>
      <c r="G78">
        <v>5341</v>
      </c>
      <c r="H78" t="s">
        <v>4139</v>
      </c>
      <c r="I78" t="s">
        <v>3989</v>
      </c>
      <c r="J78" t="s">
        <v>4140</v>
      </c>
      <c r="K78">
        <v>145174</v>
      </c>
      <c r="L78" t="s">
        <v>3972</v>
      </c>
      <c r="M78" t="s">
        <v>3914</v>
      </c>
      <c r="N78" t="s">
        <v>3906</v>
      </c>
      <c r="O78">
        <v>69</v>
      </c>
      <c r="P78" t="s">
        <v>3904</v>
      </c>
      <c r="Q78" t="s">
        <v>3973</v>
      </c>
      <c r="R78" t="s">
        <v>3408</v>
      </c>
      <c r="S78">
        <v>1627.8</v>
      </c>
      <c r="T78">
        <v>138</v>
      </c>
      <c r="U78" t="s">
        <v>4141</v>
      </c>
      <c r="V78">
        <v>106983</v>
      </c>
      <c r="W78" t="s">
        <v>3914</v>
      </c>
      <c r="X78" t="s">
        <v>3907</v>
      </c>
    </row>
    <row r="79" spans="1:24" hidden="1" x14ac:dyDescent="0.25">
      <c r="A79">
        <v>77</v>
      </c>
      <c r="B79" t="s">
        <v>576</v>
      </c>
      <c r="C79" t="s">
        <v>517</v>
      </c>
      <c r="D79">
        <v>38.424915679999899</v>
      </c>
      <c r="E79">
        <v>-83.736665970000004</v>
      </c>
      <c r="F79">
        <v>556.5</v>
      </c>
      <c r="G79">
        <v>1826</v>
      </c>
      <c r="H79" t="s">
        <v>4142</v>
      </c>
      <c r="I79" t="s">
        <v>4143</v>
      </c>
      <c r="J79" t="s">
        <v>4142</v>
      </c>
      <c r="K79">
        <v>114939</v>
      </c>
      <c r="L79" t="s">
        <v>3972</v>
      </c>
      <c r="M79" t="s">
        <v>3908</v>
      </c>
      <c r="N79" t="s">
        <v>3906</v>
      </c>
      <c r="O79">
        <v>138</v>
      </c>
      <c r="P79" t="s">
        <v>3911</v>
      </c>
      <c r="Q79" t="s">
        <v>3973</v>
      </c>
      <c r="R79" t="s">
        <v>3408</v>
      </c>
      <c r="S79">
        <v>556.5</v>
      </c>
      <c r="T79">
        <v>138</v>
      </c>
      <c r="U79" t="s">
        <v>4142</v>
      </c>
      <c r="V79">
        <v>114939</v>
      </c>
      <c r="W79" t="s">
        <v>3908</v>
      </c>
      <c r="X79" t="s">
        <v>3907</v>
      </c>
    </row>
    <row r="80" spans="1:24" x14ac:dyDescent="0.25">
      <c r="A80">
        <v>78</v>
      </c>
      <c r="B80" t="s">
        <v>212</v>
      </c>
      <c r="C80" t="s">
        <v>120</v>
      </c>
      <c r="D80">
        <v>30.8294520799999</v>
      </c>
      <c r="E80">
        <v>-82.005217450000004</v>
      </c>
      <c r="F80">
        <v>2022.9</v>
      </c>
      <c r="G80">
        <v>6637</v>
      </c>
      <c r="I80" t="s">
        <v>4144</v>
      </c>
      <c r="J80" t="s">
        <v>4145</v>
      </c>
      <c r="K80">
        <v>115544</v>
      </c>
      <c r="L80" t="s">
        <v>3972</v>
      </c>
      <c r="M80" t="s">
        <v>3909</v>
      </c>
      <c r="N80" t="s">
        <v>3906</v>
      </c>
      <c r="O80">
        <v>115</v>
      </c>
      <c r="P80" t="s">
        <v>3911</v>
      </c>
      <c r="Q80" t="s">
        <v>3973</v>
      </c>
      <c r="R80" t="s">
        <v>3408</v>
      </c>
      <c r="S80">
        <v>2022.9</v>
      </c>
      <c r="T80">
        <v>115</v>
      </c>
      <c r="V80">
        <v>115544</v>
      </c>
      <c r="W80" t="s">
        <v>3909</v>
      </c>
      <c r="X80" t="s">
        <v>3907</v>
      </c>
    </row>
    <row r="81" spans="1:24" x14ac:dyDescent="0.25">
      <c r="A81">
        <v>79</v>
      </c>
      <c r="B81" t="s">
        <v>51</v>
      </c>
      <c r="C81" t="s">
        <v>35</v>
      </c>
      <c r="D81">
        <v>33.812874360000002</v>
      </c>
      <c r="E81">
        <v>-92.413512909999895</v>
      </c>
      <c r="F81">
        <v>445</v>
      </c>
      <c r="G81">
        <v>1460</v>
      </c>
      <c r="I81" t="s">
        <v>4146</v>
      </c>
      <c r="J81" t="s">
        <v>4147</v>
      </c>
      <c r="K81">
        <v>159394</v>
      </c>
      <c r="L81" t="s">
        <v>3972</v>
      </c>
      <c r="M81" t="s">
        <v>3929</v>
      </c>
      <c r="N81" t="s">
        <v>3906</v>
      </c>
      <c r="O81">
        <v>115</v>
      </c>
      <c r="P81" t="s">
        <v>3911</v>
      </c>
      <c r="Q81" t="s">
        <v>3973</v>
      </c>
      <c r="R81" t="s">
        <v>3408</v>
      </c>
      <c r="S81">
        <v>445</v>
      </c>
      <c r="T81">
        <v>115</v>
      </c>
      <c r="V81">
        <v>159394</v>
      </c>
      <c r="W81" t="s">
        <v>3929</v>
      </c>
      <c r="X81" t="s">
        <v>3907</v>
      </c>
    </row>
    <row r="82" spans="1:24" hidden="1" x14ac:dyDescent="0.25">
      <c r="A82">
        <v>80</v>
      </c>
      <c r="B82" t="s">
        <v>397</v>
      </c>
      <c r="C82" t="s">
        <v>328</v>
      </c>
      <c r="D82">
        <v>43.265765469999899</v>
      </c>
      <c r="E82">
        <v>-93.63893779</v>
      </c>
      <c r="F82">
        <v>418.6</v>
      </c>
      <c r="G82">
        <v>1373</v>
      </c>
      <c r="H82" t="s">
        <v>4148</v>
      </c>
      <c r="I82" t="s">
        <v>4148</v>
      </c>
      <c r="J82" t="s">
        <v>3908</v>
      </c>
      <c r="K82">
        <v>147814</v>
      </c>
      <c r="L82" t="s">
        <v>3961</v>
      </c>
      <c r="M82" t="s">
        <v>3908</v>
      </c>
      <c r="N82" t="s">
        <v>3908</v>
      </c>
      <c r="O82">
        <v>69</v>
      </c>
      <c r="P82" t="s">
        <v>3904</v>
      </c>
      <c r="Q82" t="s">
        <v>3973</v>
      </c>
      <c r="R82" t="s">
        <v>3408</v>
      </c>
      <c r="S82">
        <v>5862.8</v>
      </c>
      <c r="T82">
        <v>161</v>
      </c>
      <c r="U82" t="s">
        <v>4149</v>
      </c>
      <c r="V82">
        <v>166620</v>
      </c>
      <c r="W82" t="s">
        <v>3908</v>
      </c>
      <c r="X82" t="s">
        <v>3907</v>
      </c>
    </row>
    <row r="83" spans="1:24" hidden="1" x14ac:dyDescent="0.25">
      <c r="A83">
        <v>81</v>
      </c>
      <c r="B83" t="s">
        <v>725</v>
      </c>
      <c r="C83" t="s">
        <v>675</v>
      </c>
      <c r="D83">
        <v>41.805316920000003</v>
      </c>
      <c r="E83">
        <v>-80.945671630000007</v>
      </c>
      <c r="F83">
        <v>4136.8999999999996</v>
      </c>
      <c r="G83">
        <v>13572</v>
      </c>
      <c r="H83" t="s">
        <v>4150</v>
      </c>
      <c r="I83" t="s">
        <v>4151</v>
      </c>
      <c r="J83" t="s">
        <v>813</v>
      </c>
      <c r="K83">
        <v>103658</v>
      </c>
      <c r="L83" t="s">
        <v>3972</v>
      </c>
      <c r="M83" t="s">
        <v>3915</v>
      </c>
      <c r="N83" t="s">
        <v>3906</v>
      </c>
      <c r="O83">
        <v>345</v>
      </c>
      <c r="P83">
        <v>345</v>
      </c>
      <c r="Q83" t="s">
        <v>3973</v>
      </c>
      <c r="R83" t="s">
        <v>3967</v>
      </c>
      <c r="S83">
        <v>4136.8999999999996</v>
      </c>
      <c r="T83">
        <v>345</v>
      </c>
      <c r="U83" t="s">
        <v>4150</v>
      </c>
      <c r="V83">
        <v>103658</v>
      </c>
      <c r="W83" t="s">
        <v>3915</v>
      </c>
      <c r="X83" t="s">
        <v>3907</v>
      </c>
    </row>
    <row r="84" spans="1:24" hidden="1" x14ac:dyDescent="0.25">
      <c r="A84">
        <v>82</v>
      </c>
      <c r="B84" t="s">
        <v>730</v>
      </c>
      <c r="C84" t="s">
        <v>675</v>
      </c>
      <c r="D84">
        <v>40.067560120000003</v>
      </c>
      <c r="E84">
        <v>-82.518978469999894</v>
      </c>
      <c r="F84">
        <v>851.3</v>
      </c>
      <c r="G84">
        <v>2793</v>
      </c>
      <c r="H84" t="s">
        <v>4152</v>
      </c>
      <c r="I84" t="s">
        <v>4153</v>
      </c>
      <c r="J84" t="s">
        <v>4152</v>
      </c>
      <c r="K84">
        <v>173735</v>
      </c>
      <c r="L84" t="s">
        <v>3972</v>
      </c>
      <c r="M84" t="s">
        <v>3917</v>
      </c>
      <c r="N84" t="s">
        <v>3906</v>
      </c>
      <c r="O84">
        <v>69</v>
      </c>
      <c r="P84" t="s">
        <v>3904</v>
      </c>
      <c r="Q84" t="s">
        <v>3973</v>
      </c>
      <c r="R84" t="s">
        <v>3408</v>
      </c>
      <c r="S84">
        <v>2965.4</v>
      </c>
      <c r="T84">
        <v>138</v>
      </c>
      <c r="U84" t="s">
        <v>4154</v>
      </c>
      <c r="V84">
        <v>116448</v>
      </c>
      <c r="W84" t="s">
        <v>3917</v>
      </c>
      <c r="X84" t="s">
        <v>3907</v>
      </c>
    </row>
    <row r="85" spans="1:24" hidden="1" x14ac:dyDescent="0.25">
      <c r="A85">
        <v>83</v>
      </c>
      <c r="B85" t="s">
        <v>57</v>
      </c>
      <c r="C85" t="s">
        <v>35</v>
      </c>
      <c r="D85">
        <v>35.232662769999898</v>
      </c>
      <c r="E85">
        <v>-92.388350840000001</v>
      </c>
      <c r="F85">
        <v>1071.2</v>
      </c>
      <c r="G85">
        <v>3514</v>
      </c>
      <c r="H85" t="s">
        <v>4155</v>
      </c>
      <c r="I85" t="s">
        <v>4156</v>
      </c>
      <c r="J85" t="s">
        <v>4155</v>
      </c>
      <c r="K85">
        <v>120252</v>
      </c>
      <c r="L85" t="s">
        <v>3972</v>
      </c>
      <c r="M85" t="s">
        <v>3929</v>
      </c>
      <c r="N85" t="s">
        <v>3906</v>
      </c>
      <c r="O85">
        <v>161</v>
      </c>
      <c r="P85" t="s">
        <v>3911</v>
      </c>
      <c r="Q85" t="s">
        <v>3973</v>
      </c>
      <c r="R85" t="s">
        <v>3408</v>
      </c>
      <c r="S85">
        <v>1071.2</v>
      </c>
      <c r="T85">
        <v>161</v>
      </c>
      <c r="U85" t="s">
        <v>4155</v>
      </c>
      <c r="V85">
        <v>120252</v>
      </c>
      <c r="W85" t="s">
        <v>3929</v>
      </c>
      <c r="X85" t="s">
        <v>3907</v>
      </c>
    </row>
    <row r="86" spans="1:24" hidden="1" x14ac:dyDescent="0.25">
      <c r="A86">
        <v>84</v>
      </c>
      <c r="B86" t="s">
        <v>3402</v>
      </c>
      <c r="C86" t="s">
        <v>328</v>
      </c>
      <c r="D86">
        <v>41.294820809999898</v>
      </c>
      <c r="E86">
        <v>-94.460171610000003</v>
      </c>
      <c r="F86">
        <v>2359.8000000000002</v>
      </c>
      <c r="G86">
        <v>7742</v>
      </c>
      <c r="H86" t="s">
        <v>4157</v>
      </c>
      <c r="I86" t="s">
        <v>4158</v>
      </c>
      <c r="J86" t="s">
        <v>4159</v>
      </c>
      <c r="K86">
        <v>180295</v>
      </c>
      <c r="L86" t="s">
        <v>3908</v>
      </c>
      <c r="M86" t="s">
        <v>3908</v>
      </c>
      <c r="N86" t="s">
        <v>3906</v>
      </c>
      <c r="O86">
        <v>-999999</v>
      </c>
      <c r="P86" t="s">
        <v>3908</v>
      </c>
      <c r="Q86" t="s">
        <v>3966</v>
      </c>
      <c r="R86" t="s">
        <v>3908</v>
      </c>
      <c r="S86">
        <v>8594.4</v>
      </c>
      <c r="T86">
        <v>161</v>
      </c>
      <c r="U86" t="s">
        <v>4160</v>
      </c>
      <c r="V86">
        <v>111700</v>
      </c>
      <c r="W86" t="s">
        <v>3928</v>
      </c>
      <c r="X86" t="s">
        <v>3907</v>
      </c>
    </row>
    <row r="87" spans="1:24" x14ac:dyDescent="0.25">
      <c r="A87">
        <v>85</v>
      </c>
      <c r="B87" t="s">
        <v>581</v>
      </c>
      <c r="C87" t="s">
        <v>517</v>
      </c>
      <c r="D87">
        <v>38.5734244699999</v>
      </c>
      <c r="E87">
        <v>-82.839626730000006</v>
      </c>
      <c r="F87">
        <v>2736.3</v>
      </c>
      <c r="G87">
        <v>8978</v>
      </c>
      <c r="I87" t="s">
        <v>4161</v>
      </c>
      <c r="J87" t="s">
        <v>3908</v>
      </c>
      <c r="K87">
        <v>139308</v>
      </c>
      <c r="L87" t="s">
        <v>3972</v>
      </c>
      <c r="M87" t="s">
        <v>3917</v>
      </c>
      <c r="N87" t="s">
        <v>3908</v>
      </c>
      <c r="O87">
        <v>69</v>
      </c>
      <c r="P87" t="s">
        <v>3904</v>
      </c>
      <c r="Q87" t="s">
        <v>3973</v>
      </c>
      <c r="R87" t="s">
        <v>3408</v>
      </c>
      <c r="S87">
        <v>3685.9</v>
      </c>
      <c r="T87">
        <v>765</v>
      </c>
      <c r="U87" t="s">
        <v>4162</v>
      </c>
      <c r="V87">
        <v>114236</v>
      </c>
      <c r="W87" t="s">
        <v>3908</v>
      </c>
      <c r="X87" t="s">
        <v>3907</v>
      </c>
    </row>
    <row r="88" spans="1:24" x14ac:dyDescent="0.25">
      <c r="A88">
        <v>86</v>
      </c>
      <c r="B88" t="s">
        <v>406</v>
      </c>
      <c r="C88" t="s">
        <v>328</v>
      </c>
      <c r="D88">
        <v>41.745169820000001</v>
      </c>
      <c r="E88">
        <v>-92.725415130000002</v>
      </c>
      <c r="F88">
        <v>440.5</v>
      </c>
      <c r="G88">
        <v>1445</v>
      </c>
      <c r="I88" t="s">
        <v>4163</v>
      </c>
      <c r="J88" t="s">
        <v>4164</v>
      </c>
      <c r="K88">
        <v>175805</v>
      </c>
      <c r="L88" t="s">
        <v>3961</v>
      </c>
      <c r="M88" t="s">
        <v>3932</v>
      </c>
      <c r="N88" t="s">
        <v>3908</v>
      </c>
      <c r="O88">
        <v>-999999</v>
      </c>
      <c r="P88" t="s">
        <v>3908</v>
      </c>
      <c r="Q88" t="s">
        <v>3966</v>
      </c>
      <c r="R88" t="s">
        <v>3967</v>
      </c>
      <c r="S88">
        <v>14598.5</v>
      </c>
      <c r="T88">
        <v>345</v>
      </c>
      <c r="U88" t="s">
        <v>4165</v>
      </c>
      <c r="V88">
        <v>139793</v>
      </c>
      <c r="W88" t="s">
        <v>3912</v>
      </c>
      <c r="X88" t="s">
        <v>3907</v>
      </c>
    </row>
    <row r="89" spans="1:24" x14ac:dyDescent="0.25">
      <c r="A89">
        <v>87</v>
      </c>
      <c r="B89" t="s">
        <v>62</v>
      </c>
      <c r="C89" t="s">
        <v>35</v>
      </c>
      <c r="D89">
        <v>36.214283000000002</v>
      </c>
      <c r="E89">
        <v>-93.079052000000004</v>
      </c>
      <c r="F89">
        <v>957.9</v>
      </c>
      <c r="G89">
        <v>3143</v>
      </c>
      <c r="I89" t="s">
        <v>4166</v>
      </c>
      <c r="J89" t="s">
        <v>4167</v>
      </c>
      <c r="K89">
        <v>103259</v>
      </c>
      <c r="L89" t="s">
        <v>3972</v>
      </c>
      <c r="M89" t="s">
        <v>3929</v>
      </c>
      <c r="N89" t="s">
        <v>3906</v>
      </c>
      <c r="O89">
        <v>161</v>
      </c>
      <c r="P89" t="s">
        <v>3911</v>
      </c>
      <c r="Q89" t="s">
        <v>3973</v>
      </c>
      <c r="R89" t="s">
        <v>3408</v>
      </c>
      <c r="S89">
        <v>957.9</v>
      </c>
      <c r="T89">
        <v>161</v>
      </c>
      <c r="V89">
        <v>103259</v>
      </c>
      <c r="W89" t="s">
        <v>3929</v>
      </c>
      <c r="X89" t="s">
        <v>3907</v>
      </c>
    </row>
    <row r="90" spans="1:24" hidden="1" x14ac:dyDescent="0.25">
      <c r="A90">
        <v>88</v>
      </c>
      <c r="B90" t="s">
        <v>586</v>
      </c>
      <c r="C90" t="s">
        <v>517</v>
      </c>
      <c r="D90">
        <v>37.249865020000001</v>
      </c>
      <c r="E90">
        <v>-83.193920239999898</v>
      </c>
      <c r="F90">
        <v>518.20000000000005</v>
      </c>
      <c r="G90">
        <v>1700</v>
      </c>
      <c r="H90" t="s">
        <v>4168</v>
      </c>
      <c r="I90" t="s">
        <v>4168</v>
      </c>
      <c r="J90" t="s">
        <v>4169</v>
      </c>
      <c r="K90">
        <v>108992</v>
      </c>
      <c r="L90" t="s">
        <v>3972</v>
      </c>
      <c r="M90" t="s">
        <v>3914</v>
      </c>
      <c r="N90" t="s">
        <v>3906</v>
      </c>
      <c r="O90">
        <v>69</v>
      </c>
      <c r="P90" t="s">
        <v>3904</v>
      </c>
      <c r="Q90" t="s">
        <v>3973</v>
      </c>
      <c r="R90" t="s">
        <v>3408</v>
      </c>
      <c r="S90">
        <v>1044.4000000000001</v>
      </c>
      <c r="T90">
        <v>161</v>
      </c>
      <c r="U90" t="s">
        <v>4170</v>
      </c>
      <c r="V90">
        <v>129211</v>
      </c>
      <c r="W90" t="s">
        <v>3914</v>
      </c>
      <c r="X90" t="s">
        <v>3907</v>
      </c>
    </row>
    <row r="91" spans="1:24" hidden="1" x14ac:dyDescent="0.25">
      <c r="A91">
        <v>89</v>
      </c>
      <c r="B91" t="s">
        <v>218</v>
      </c>
      <c r="C91" t="s">
        <v>120</v>
      </c>
      <c r="D91">
        <v>34.951738210000002</v>
      </c>
      <c r="E91">
        <v>-83.758305739999898</v>
      </c>
      <c r="F91">
        <v>25.5</v>
      </c>
      <c r="G91">
        <v>84</v>
      </c>
      <c r="H91" t="s">
        <v>4171</v>
      </c>
      <c r="I91" t="s">
        <v>4172</v>
      </c>
      <c r="J91" t="s">
        <v>4171</v>
      </c>
      <c r="K91">
        <v>118904</v>
      </c>
      <c r="L91" t="s">
        <v>3972</v>
      </c>
      <c r="M91" t="s">
        <v>3919</v>
      </c>
      <c r="N91" t="s">
        <v>3906</v>
      </c>
      <c r="O91">
        <v>69</v>
      </c>
      <c r="P91" t="s">
        <v>3904</v>
      </c>
      <c r="Q91" t="s">
        <v>3973</v>
      </c>
      <c r="R91" t="s">
        <v>3408</v>
      </c>
      <c r="S91">
        <v>10248.700000000001</v>
      </c>
      <c r="T91">
        <v>161</v>
      </c>
      <c r="U91" t="s">
        <v>4173</v>
      </c>
      <c r="V91">
        <v>130347</v>
      </c>
      <c r="W91" t="s">
        <v>3927</v>
      </c>
      <c r="X91" t="s">
        <v>3907</v>
      </c>
    </row>
    <row r="92" spans="1:24" hidden="1" x14ac:dyDescent="0.25">
      <c r="A92">
        <v>90</v>
      </c>
      <c r="B92" t="s">
        <v>102</v>
      </c>
      <c r="C92" t="s">
        <v>81</v>
      </c>
      <c r="D92">
        <v>30.689733010000001</v>
      </c>
      <c r="E92">
        <v>-81.918661459999896</v>
      </c>
      <c r="F92">
        <v>3516.3</v>
      </c>
      <c r="G92">
        <v>11537</v>
      </c>
      <c r="H92" t="s">
        <v>4174</v>
      </c>
      <c r="I92" t="s">
        <v>4175</v>
      </c>
      <c r="J92" t="s">
        <v>4176</v>
      </c>
      <c r="K92">
        <v>120977</v>
      </c>
      <c r="L92" t="s">
        <v>3972</v>
      </c>
      <c r="M92" t="s">
        <v>3908</v>
      </c>
      <c r="N92" t="s">
        <v>3906</v>
      </c>
      <c r="O92">
        <v>500</v>
      </c>
      <c r="P92">
        <v>500</v>
      </c>
      <c r="Q92" t="s">
        <v>3973</v>
      </c>
      <c r="R92" t="s">
        <v>3967</v>
      </c>
      <c r="S92">
        <v>3516.3</v>
      </c>
      <c r="T92">
        <v>500</v>
      </c>
      <c r="U92" t="s">
        <v>4174</v>
      </c>
      <c r="V92">
        <v>120977</v>
      </c>
      <c r="W92" t="s">
        <v>3908</v>
      </c>
      <c r="X92" t="s">
        <v>3907</v>
      </c>
    </row>
    <row r="93" spans="1:24" hidden="1" x14ac:dyDescent="0.25">
      <c r="A93">
        <v>91</v>
      </c>
      <c r="B93" t="s">
        <v>735</v>
      </c>
      <c r="C93" t="s">
        <v>675</v>
      </c>
      <c r="D93">
        <v>41.310006440000002</v>
      </c>
      <c r="E93">
        <v>-81.146041190000005</v>
      </c>
      <c r="F93">
        <v>7491.5</v>
      </c>
      <c r="G93">
        <v>24578</v>
      </c>
      <c r="H93" t="s">
        <v>4177</v>
      </c>
      <c r="I93" t="s">
        <v>4178</v>
      </c>
      <c r="J93" t="s">
        <v>4179</v>
      </c>
      <c r="K93">
        <v>124079</v>
      </c>
      <c r="L93" t="s">
        <v>3972</v>
      </c>
      <c r="M93" t="s">
        <v>3915</v>
      </c>
      <c r="N93" t="s">
        <v>3906</v>
      </c>
      <c r="O93">
        <v>345</v>
      </c>
      <c r="P93">
        <v>345</v>
      </c>
      <c r="Q93" t="s">
        <v>3973</v>
      </c>
      <c r="R93" t="s">
        <v>3967</v>
      </c>
      <c r="S93">
        <v>7491.5</v>
      </c>
      <c r="T93">
        <v>345</v>
      </c>
      <c r="U93" t="s">
        <v>4177</v>
      </c>
      <c r="V93">
        <v>124079</v>
      </c>
      <c r="W93" t="s">
        <v>3915</v>
      </c>
      <c r="X93" t="s">
        <v>3907</v>
      </c>
    </row>
    <row r="94" spans="1:24" hidden="1" x14ac:dyDescent="0.25">
      <c r="A94">
        <v>92</v>
      </c>
      <c r="B94" t="s">
        <v>411</v>
      </c>
      <c r="C94" t="s">
        <v>328</v>
      </c>
      <c r="D94">
        <v>42.599216339999899</v>
      </c>
      <c r="E94">
        <v>-90.992189199999899</v>
      </c>
      <c r="F94">
        <v>392.3</v>
      </c>
      <c r="G94">
        <v>1287</v>
      </c>
      <c r="H94" t="s">
        <v>4180</v>
      </c>
      <c r="I94" t="s">
        <v>4181</v>
      </c>
      <c r="J94" t="s">
        <v>4182</v>
      </c>
      <c r="K94">
        <v>160468</v>
      </c>
      <c r="L94" t="s">
        <v>3972</v>
      </c>
      <c r="M94" t="s">
        <v>3908</v>
      </c>
      <c r="N94" t="s">
        <v>3906</v>
      </c>
      <c r="O94">
        <v>69</v>
      </c>
      <c r="P94" t="s">
        <v>3904</v>
      </c>
      <c r="Q94" t="s">
        <v>3973</v>
      </c>
      <c r="R94" t="s">
        <v>3408</v>
      </c>
      <c r="S94">
        <v>3515.3</v>
      </c>
      <c r="T94">
        <v>345</v>
      </c>
      <c r="U94" t="s">
        <v>4183</v>
      </c>
      <c r="V94">
        <v>400396</v>
      </c>
      <c r="W94" t="s">
        <v>3933</v>
      </c>
      <c r="X94" t="s">
        <v>3907</v>
      </c>
    </row>
    <row r="95" spans="1:24" hidden="1" x14ac:dyDescent="0.25">
      <c r="A95">
        <v>93</v>
      </c>
      <c r="B95" t="s">
        <v>745</v>
      </c>
      <c r="C95" t="s">
        <v>675</v>
      </c>
      <c r="D95">
        <v>41.217063090000003</v>
      </c>
      <c r="E95">
        <v>-81.442508169999897</v>
      </c>
      <c r="F95">
        <v>810.4</v>
      </c>
      <c r="G95">
        <v>2659</v>
      </c>
      <c r="H95" t="s">
        <v>4184</v>
      </c>
      <c r="I95" t="s">
        <v>4185</v>
      </c>
      <c r="J95" t="s">
        <v>4186</v>
      </c>
      <c r="K95">
        <v>113504</v>
      </c>
      <c r="L95" t="s">
        <v>3961</v>
      </c>
      <c r="M95" t="s">
        <v>3908</v>
      </c>
      <c r="N95" t="s">
        <v>3906</v>
      </c>
      <c r="O95">
        <v>-999999</v>
      </c>
      <c r="P95" t="s">
        <v>3908</v>
      </c>
      <c r="Q95" t="s">
        <v>3966</v>
      </c>
      <c r="R95" t="s">
        <v>3967</v>
      </c>
      <c r="S95">
        <v>1050.5999999999999</v>
      </c>
      <c r="T95">
        <v>138</v>
      </c>
      <c r="U95" t="s">
        <v>4187</v>
      </c>
      <c r="V95">
        <v>125569</v>
      </c>
      <c r="W95" t="s">
        <v>3908</v>
      </c>
      <c r="X95" t="s">
        <v>3907</v>
      </c>
    </row>
    <row r="96" spans="1:24" hidden="1" x14ac:dyDescent="0.25">
      <c r="A96">
        <v>94</v>
      </c>
      <c r="B96" t="s">
        <v>740</v>
      </c>
      <c r="C96" t="s">
        <v>675</v>
      </c>
      <c r="D96">
        <v>41.243414350000002</v>
      </c>
      <c r="E96">
        <v>-81.440034249999897</v>
      </c>
      <c r="F96">
        <v>1297.5</v>
      </c>
      <c r="G96">
        <v>4257</v>
      </c>
      <c r="H96" t="s">
        <v>4179</v>
      </c>
      <c r="I96" t="s">
        <v>4188</v>
      </c>
      <c r="J96" t="s">
        <v>4179</v>
      </c>
      <c r="K96">
        <v>133350</v>
      </c>
      <c r="L96" t="s">
        <v>3961</v>
      </c>
      <c r="M96" t="s">
        <v>3908</v>
      </c>
      <c r="N96" t="s">
        <v>3906</v>
      </c>
      <c r="O96">
        <v>-999999</v>
      </c>
      <c r="P96" t="s">
        <v>3908</v>
      </c>
      <c r="Q96" t="s">
        <v>3966</v>
      </c>
      <c r="R96" t="s">
        <v>3967</v>
      </c>
      <c r="S96">
        <v>3274.9</v>
      </c>
      <c r="T96">
        <v>138</v>
      </c>
      <c r="U96" t="s">
        <v>4187</v>
      </c>
      <c r="V96">
        <v>125569</v>
      </c>
      <c r="W96" t="s">
        <v>3908</v>
      </c>
      <c r="X96" t="s">
        <v>3907</v>
      </c>
    </row>
    <row r="97" spans="1:24" x14ac:dyDescent="0.25">
      <c r="A97">
        <v>95</v>
      </c>
      <c r="B97" t="s">
        <v>937</v>
      </c>
      <c r="C97" t="s">
        <v>905</v>
      </c>
      <c r="D97">
        <v>30.811592310000002</v>
      </c>
      <c r="E97">
        <v>-95.259737709999897</v>
      </c>
      <c r="F97">
        <v>1311.5</v>
      </c>
      <c r="G97">
        <v>4303</v>
      </c>
      <c r="I97" t="s">
        <v>4189</v>
      </c>
      <c r="J97" t="s">
        <v>4190</v>
      </c>
      <c r="K97">
        <v>313701</v>
      </c>
      <c r="L97" t="s">
        <v>3972</v>
      </c>
      <c r="M97" t="s">
        <v>3908</v>
      </c>
      <c r="N97" t="s">
        <v>3906</v>
      </c>
      <c r="O97">
        <v>69</v>
      </c>
      <c r="P97" t="s">
        <v>3904</v>
      </c>
      <c r="Q97" t="s">
        <v>3973</v>
      </c>
      <c r="R97" t="s">
        <v>3408</v>
      </c>
      <c r="S97">
        <v>3694</v>
      </c>
      <c r="T97">
        <v>138</v>
      </c>
      <c r="V97">
        <v>304605</v>
      </c>
      <c r="W97" t="s">
        <v>3934</v>
      </c>
      <c r="X97" t="s">
        <v>3907</v>
      </c>
    </row>
    <row r="98" spans="1:24" hidden="1" x14ac:dyDescent="0.25">
      <c r="A98">
        <v>96</v>
      </c>
      <c r="B98" t="s">
        <v>223</v>
      </c>
      <c r="C98" t="s">
        <v>120</v>
      </c>
      <c r="D98">
        <v>32.8202546099999</v>
      </c>
      <c r="E98">
        <v>-83.167825629999896</v>
      </c>
      <c r="F98">
        <v>1270.0999999999999</v>
      </c>
      <c r="G98">
        <v>4167</v>
      </c>
      <c r="H98" t="s">
        <v>4191</v>
      </c>
      <c r="I98" t="s">
        <v>4192</v>
      </c>
      <c r="J98" t="s">
        <v>4191</v>
      </c>
      <c r="K98">
        <v>104278</v>
      </c>
      <c r="L98" t="s">
        <v>3961</v>
      </c>
      <c r="M98" t="s">
        <v>3909</v>
      </c>
      <c r="N98" t="s">
        <v>3906</v>
      </c>
      <c r="O98">
        <v>-999999</v>
      </c>
      <c r="P98" t="s">
        <v>3911</v>
      </c>
      <c r="Q98" t="s">
        <v>3962</v>
      </c>
      <c r="R98" t="s">
        <v>3408</v>
      </c>
      <c r="S98">
        <v>3603</v>
      </c>
      <c r="T98">
        <v>115</v>
      </c>
      <c r="V98">
        <v>148195</v>
      </c>
      <c r="W98" t="s">
        <v>3909</v>
      </c>
      <c r="X98" t="s">
        <v>3907</v>
      </c>
    </row>
    <row r="99" spans="1:24" hidden="1" x14ac:dyDescent="0.25">
      <c r="A99">
        <v>97</v>
      </c>
      <c r="B99" t="s">
        <v>228</v>
      </c>
      <c r="C99" t="s">
        <v>120</v>
      </c>
      <c r="D99">
        <v>34.468178790000003</v>
      </c>
      <c r="E99">
        <v>-84.431445010000004</v>
      </c>
      <c r="F99">
        <v>891.1</v>
      </c>
      <c r="G99">
        <v>2924</v>
      </c>
      <c r="H99" t="s">
        <v>4193</v>
      </c>
      <c r="I99" t="s">
        <v>4194</v>
      </c>
      <c r="J99" t="s">
        <v>4193</v>
      </c>
      <c r="K99">
        <v>170609</v>
      </c>
      <c r="L99" t="s">
        <v>3961</v>
      </c>
      <c r="M99" t="s">
        <v>3909</v>
      </c>
      <c r="N99" t="s">
        <v>3906</v>
      </c>
      <c r="O99">
        <v>-999999</v>
      </c>
      <c r="P99" t="s">
        <v>3908</v>
      </c>
      <c r="Q99" t="s">
        <v>3966</v>
      </c>
      <c r="R99" t="s">
        <v>3967</v>
      </c>
      <c r="S99">
        <v>1667.1</v>
      </c>
      <c r="T99">
        <v>230</v>
      </c>
      <c r="V99">
        <v>115545</v>
      </c>
      <c r="W99" t="s">
        <v>3909</v>
      </c>
      <c r="X99" t="s">
        <v>3907</v>
      </c>
    </row>
    <row r="100" spans="1:24" x14ac:dyDescent="0.25">
      <c r="A100">
        <v>98</v>
      </c>
      <c r="B100" t="s">
        <v>1202</v>
      </c>
      <c r="C100" t="s">
        <v>328</v>
      </c>
      <c r="D100">
        <v>42.478421320000002</v>
      </c>
      <c r="E100">
        <v>-94.718465559999899</v>
      </c>
      <c r="F100">
        <v>4069.2</v>
      </c>
      <c r="G100">
        <v>13350</v>
      </c>
      <c r="I100" t="s">
        <v>4195</v>
      </c>
      <c r="J100" t="s">
        <v>4196</v>
      </c>
      <c r="K100">
        <v>169417</v>
      </c>
      <c r="L100" t="s">
        <v>3972</v>
      </c>
      <c r="M100" t="s">
        <v>3912</v>
      </c>
      <c r="N100" t="s">
        <v>3906</v>
      </c>
      <c r="O100">
        <v>69</v>
      </c>
      <c r="P100" t="s">
        <v>3904</v>
      </c>
      <c r="Q100" t="s">
        <v>3973</v>
      </c>
      <c r="R100" t="s">
        <v>3408</v>
      </c>
      <c r="S100">
        <v>9729.2999999999993</v>
      </c>
      <c r="T100">
        <v>161</v>
      </c>
      <c r="V100">
        <v>104460</v>
      </c>
      <c r="W100" t="s">
        <v>3912</v>
      </c>
      <c r="X100" t="s">
        <v>3907</v>
      </c>
    </row>
    <row r="101" spans="1:24" hidden="1" x14ac:dyDescent="0.25">
      <c r="A101">
        <v>99</v>
      </c>
      <c r="B101" t="s">
        <v>749</v>
      </c>
      <c r="C101" t="s">
        <v>675</v>
      </c>
      <c r="D101">
        <v>40.647896369999899</v>
      </c>
      <c r="E101">
        <v>-83.610298659999899</v>
      </c>
      <c r="F101">
        <v>2541.6999999999998</v>
      </c>
      <c r="G101">
        <v>8339</v>
      </c>
      <c r="H101" t="s">
        <v>4197</v>
      </c>
      <c r="I101" t="s">
        <v>4198</v>
      </c>
      <c r="J101" t="s">
        <v>4197</v>
      </c>
      <c r="K101">
        <v>148375</v>
      </c>
      <c r="L101" t="s">
        <v>3972</v>
      </c>
      <c r="M101" t="s">
        <v>3917</v>
      </c>
      <c r="N101" t="s">
        <v>3906</v>
      </c>
      <c r="O101">
        <v>138</v>
      </c>
      <c r="P101" t="s">
        <v>3911</v>
      </c>
      <c r="Q101" t="s">
        <v>3973</v>
      </c>
      <c r="R101" t="s">
        <v>3408</v>
      </c>
      <c r="S101">
        <v>2541.6999999999998</v>
      </c>
      <c r="T101">
        <v>138</v>
      </c>
      <c r="U101" t="s">
        <v>4197</v>
      </c>
      <c r="V101">
        <v>148375</v>
      </c>
      <c r="W101" t="s">
        <v>3917</v>
      </c>
      <c r="X101" t="s">
        <v>3907</v>
      </c>
    </row>
    <row r="102" spans="1:24" hidden="1" x14ac:dyDescent="0.25">
      <c r="A102">
        <v>100</v>
      </c>
      <c r="B102" t="s">
        <v>943</v>
      </c>
      <c r="C102" t="s">
        <v>905</v>
      </c>
      <c r="D102">
        <v>30.045347589999899</v>
      </c>
      <c r="E102">
        <v>-99.13997664</v>
      </c>
      <c r="F102">
        <v>1314.2</v>
      </c>
      <c r="G102">
        <v>4312</v>
      </c>
      <c r="H102" t="s">
        <v>4199</v>
      </c>
      <c r="I102" t="s">
        <v>4200</v>
      </c>
      <c r="J102" t="s">
        <v>4199</v>
      </c>
      <c r="K102">
        <v>307601</v>
      </c>
      <c r="L102" t="s">
        <v>3972</v>
      </c>
      <c r="M102" t="s">
        <v>3935</v>
      </c>
      <c r="N102" t="s">
        <v>3908</v>
      </c>
      <c r="O102">
        <v>69</v>
      </c>
      <c r="P102" t="s">
        <v>3904</v>
      </c>
      <c r="Q102" t="s">
        <v>3973</v>
      </c>
      <c r="R102" t="s">
        <v>3967</v>
      </c>
      <c r="S102">
        <v>1431.9</v>
      </c>
      <c r="T102">
        <v>138</v>
      </c>
      <c r="V102">
        <v>309918</v>
      </c>
      <c r="W102" t="s">
        <v>3935</v>
      </c>
      <c r="X102" t="s">
        <v>3907</v>
      </c>
    </row>
    <row r="103" spans="1:24" hidden="1" x14ac:dyDescent="0.25">
      <c r="A103">
        <v>101</v>
      </c>
      <c r="B103" t="s">
        <v>754</v>
      </c>
      <c r="C103" t="s">
        <v>675</v>
      </c>
      <c r="D103">
        <v>41.889403280000003</v>
      </c>
      <c r="E103">
        <v>-80.67476628</v>
      </c>
      <c r="F103">
        <v>1472.8</v>
      </c>
      <c r="G103">
        <v>4832</v>
      </c>
      <c r="H103" t="s">
        <v>4201</v>
      </c>
      <c r="I103" t="s">
        <v>4202</v>
      </c>
      <c r="J103" t="s">
        <v>4201</v>
      </c>
      <c r="K103">
        <v>129721</v>
      </c>
      <c r="L103" t="s">
        <v>3972</v>
      </c>
      <c r="M103" t="s">
        <v>3908</v>
      </c>
      <c r="N103" t="s">
        <v>3906</v>
      </c>
      <c r="O103">
        <v>138</v>
      </c>
      <c r="P103" t="s">
        <v>3911</v>
      </c>
      <c r="Q103" t="s">
        <v>3973</v>
      </c>
      <c r="R103" t="s">
        <v>3408</v>
      </c>
      <c r="S103">
        <v>1472.8</v>
      </c>
      <c r="T103">
        <v>138</v>
      </c>
      <c r="U103" t="s">
        <v>4201</v>
      </c>
      <c r="V103">
        <v>129721</v>
      </c>
      <c r="W103" t="s">
        <v>3908</v>
      </c>
      <c r="X103" t="s">
        <v>3907</v>
      </c>
    </row>
    <row r="104" spans="1:24" hidden="1" x14ac:dyDescent="0.25">
      <c r="A104">
        <v>102</v>
      </c>
      <c r="B104" t="s">
        <v>1203</v>
      </c>
      <c r="C104" t="s">
        <v>328</v>
      </c>
      <c r="D104">
        <v>41.34934878</v>
      </c>
      <c r="E104">
        <v>-93.025588139999897</v>
      </c>
      <c r="F104">
        <v>3885.7</v>
      </c>
      <c r="G104">
        <v>12748</v>
      </c>
      <c r="H104" t="s">
        <v>4203</v>
      </c>
      <c r="I104" t="s">
        <v>4203</v>
      </c>
      <c r="J104" t="s">
        <v>4204</v>
      </c>
      <c r="K104">
        <v>160875</v>
      </c>
      <c r="L104" t="s">
        <v>3972</v>
      </c>
      <c r="M104" t="s">
        <v>3912</v>
      </c>
      <c r="N104" t="s">
        <v>3906</v>
      </c>
      <c r="O104">
        <v>69</v>
      </c>
      <c r="P104" t="s">
        <v>3904</v>
      </c>
      <c r="Q104" t="s">
        <v>3973</v>
      </c>
      <c r="R104" t="s">
        <v>3408</v>
      </c>
      <c r="X104" t="s">
        <v>3907</v>
      </c>
    </row>
    <row r="105" spans="1:24" hidden="1" x14ac:dyDescent="0.25">
      <c r="A105">
        <v>103</v>
      </c>
      <c r="B105" t="s">
        <v>2391</v>
      </c>
      <c r="C105" t="s">
        <v>328</v>
      </c>
      <c r="D105">
        <v>41.320268200000001</v>
      </c>
      <c r="E105">
        <v>-93.06150375</v>
      </c>
      <c r="F105">
        <v>98.6</v>
      </c>
      <c r="G105">
        <v>324</v>
      </c>
      <c r="H105" t="s">
        <v>4203</v>
      </c>
      <c r="I105" t="s">
        <v>4203</v>
      </c>
      <c r="J105" t="s">
        <v>4204</v>
      </c>
      <c r="K105">
        <v>160875</v>
      </c>
      <c r="L105" t="s">
        <v>3972</v>
      </c>
      <c r="M105" t="s">
        <v>3912</v>
      </c>
      <c r="N105" t="s">
        <v>3906</v>
      </c>
      <c r="O105">
        <v>69</v>
      </c>
      <c r="P105" t="s">
        <v>3904</v>
      </c>
      <c r="Q105" t="s">
        <v>3973</v>
      </c>
      <c r="R105" t="s">
        <v>3408</v>
      </c>
      <c r="X105" t="s">
        <v>3907</v>
      </c>
    </row>
    <row r="106" spans="1:24" hidden="1" x14ac:dyDescent="0.25">
      <c r="A106">
        <v>104</v>
      </c>
      <c r="B106" t="s">
        <v>422</v>
      </c>
      <c r="C106" t="s">
        <v>328</v>
      </c>
      <c r="D106">
        <v>41.319551429999898</v>
      </c>
      <c r="E106">
        <v>-93.0983319999999</v>
      </c>
      <c r="F106">
        <v>935.6</v>
      </c>
      <c r="G106">
        <v>3069</v>
      </c>
      <c r="H106" t="s">
        <v>4203</v>
      </c>
      <c r="I106" t="s">
        <v>4203</v>
      </c>
      <c r="J106" t="s">
        <v>4204</v>
      </c>
      <c r="K106">
        <v>160875</v>
      </c>
      <c r="L106" t="s">
        <v>3972</v>
      </c>
      <c r="M106" t="s">
        <v>3912</v>
      </c>
      <c r="N106" t="s">
        <v>3906</v>
      </c>
      <c r="O106">
        <v>69</v>
      </c>
      <c r="P106" t="s">
        <v>3904</v>
      </c>
      <c r="Q106" t="s">
        <v>3973</v>
      </c>
      <c r="R106" t="s">
        <v>3408</v>
      </c>
      <c r="X106" t="s">
        <v>3907</v>
      </c>
    </row>
    <row r="107" spans="1:24" hidden="1" x14ac:dyDescent="0.25">
      <c r="A107">
        <v>105</v>
      </c>
      <c r="B107" t="s">
        <v>232</v>
      </c>
      <c r="C107" t="s">
        <v>120</v>
      </c>
      <c r="D107">
        <v>34.706652550000001</v>
      </c>
      <c r="E107">
        <v>-85.282740489999895</v>
      </c>
      <c r="F107">
        <v>954</v>
      </c>
      <c r="G107">
        <v>3130</v>
      </c>
      <c r="H107" t="s">
        <v>4205</v>
      </c>
      <c r="I107" t="s">
        <v>4206</v>
      </c>
      <c r="J107" t="s">
        <v>4205</v>
      </c>
      <c r="K107">
        <v>118758</v>
      </c>
      <c r="L107" t="s">
        <v>3972</v>
      </c>
      <c r="M107" t="s">
        <v>3909</v>
      </c>
      <c r="N107" t="s">
        <v>3906</v>
      </c>
      <c r="O107">
        <v>115</v>
      </c>
      <c r="P107" t="s">
        <v>3911</v>
      </c>
      <c r="Q107" t="s">
        <v>3973</v>
      </c>
      <c r="R107" t="s">
        <v>3408</v>
      </c>
      <c r="S107">
        <v>954</v>
      </c>
      <c r="T107">
        <v>115</v>
      </c>
      <c r="U107" t="s">
        <v>4205</v>
      </c>
      <c r="V107">
        <v>118758</v>
      </c>
      <c r="W107" t="s">
        <v>3909</v>
      </c>
      <c r="X107" t="s">
        <v>3907</v>
      </c>
    </row>
    <row r="108" spans="1:24" hidden="1" x14ac:dyDescent="0.25">
      <c r="A108">
        <v>106</v>
      </c>
      <c r="B108" t="s">
        <v>759</v>
      </c>
      <c r="C108" t="s">
        <v>675</v>
      </c>
      <c r="D108">
        <v>41.3125910199999</v>
      </c>
      <c r="E108">
        <v>-82.1173181099999</v>
      </c>
      <c r="F108">
        <v>345.7</v>
      </c>
      <c r="G108">
        <v>1134</v>
      </c>
      <c r="H108" t="s">
        <v>4207</v>
      </c>
      <c r="I108" t="s">
        <v>4121</v>
      </c>
      <c r="J108" t="s">
        <v>4207</v>
      </c>
      <c r="K108">
        <v>167799</v>
      </c>
      <c r="L108" t="s">
        <v>3972</v>
      </c>
      <c r="M108" t="s">
        <v>3908</v>
      </c>
      <c r="N108" t="s">
        <v>3906</v>
      </c>
      <c r="O108">
        <v>138</v>
      </c>
      <c r="P108" t="s">
        <v>3911</v>
      </c>
      <c r="Q108" t="s">
        <v>3973</v>
      </c>
      <c r="R108" t="s">
        <v>3408</v>
      </c>
      <c r="S108">
        <v>345.7</v>
      </c>
      <c r="T108">
        <v>138</v>
      </c>
      <c r="U108" t="s">
        <v>4207</v>
      </c>
      <c r="V108">
        <v>167799</v>
      </c>
      <c r="W108" t="s">
        <v>3908</v>
      </c>
      <c r="X108" t="s">
        <v>3907</v>
      </c>
    </row>
    <row r="109" spans="1:24" x14ac:dyDescent="0.25">
      <c r="A109">
        <v>107</v>
      </c>
      <c r="B109" t="s">
        <v>430</v>
      </c>
      <c r="C109" t="s">
        <v>328</v>
      </c>
      <c r="D109">
        <v>42.26849988</v>
      </c>
      <c r="E109">
        <v>-94.733615580000006</v>
      </c>
      <c r="F109">
        <v>8592</v>
      </c>
      <c r="G109">
        <v>28189</v>
      </c>
      <c r="I109" t="s">
        <v>4195</v>
      </c>
      <c r="J109" t="s">
        <v>4196</v>
      </c>
      <c r="K109">
        <v>169417</v>
      </c>
      <c r="L109" t="s">
        <v>3972</v>
      </c>
      <c r="M109" t="s">
        <v>3912</v>
      </c>
      <c r="N109" t="s">
        <v>3906</v>
      </c>
      <c r="O109">
        <v>69</v>
      </c>
      <c r="P109" t="s">
        <v>3904</v>
      </c>
      <c r="Q109" t="s">
        <v>3973</v>
      </c>
      <c r="R109" t="s">
        <v>3408</v>
      </c>
      <c r="S109">
        <v>10289.1</v>
      </c>
      <c r="T109">
        <v>345</v>
      </c>
      <c r="U109" t="s">
        <v>4208</v>
      </c>
      <c r="V109">
        <v>109217</v>
      </c>
      <c r="W109" t="s">
        <v>3912</v>
      </c>
      <c r="X109" t="s">
        <v>3907</v>
      </c>
    </row>
    <row r="110" spans="1:24" x14ac:dyDescent="0.25">
      <c r="A110">
        <v>108</v>
      </c>
      <c r="B110" t="s">
        <v>947</v>
      </c>
      <c r="C110" t="s">
        <v>905</v>
      </c>
      <c r="D110">
        <v>32.732097170000003</v>
      </c>
      <c r="E110">
        <v>-101.9508835</v>
      </c>
      <c r="F110">
        <v>737.5</v>
      </c>
      <c r="G110">
        <v>2420</v>
      </c>
      <c r="I110" t="s">
        <v>4209</v>
      </c>
      <c r="J110" t="s">
        <v>4210</v>
      </c>
      <c r="K110">
        <v>313735</v>
      </c>
      <c r="L110" t="s">
        <v>3972</v>
      </c>
      <c r="M110" t="s">
        <v>3913</v>
      </c>
      <c r="N110" t="s">
        <v>3906</v>
      </c>
      <c r="O110">
        <v>69</v>
      </c>
      <c r="P110" t="s">
        <v>3904</v>
      </c>
      <c r="Q110" t="s">
        <v>3973</v>
      </c>
      <c r="R110" t="s">
        <v>3967</v>
      </c>
      <c r="S110">
        <v>1830</v>
      </c>
      <c r="T110">
        <v>138</v>
      </c>
      <c r="V110">
        <v>311541</v>
      </c>
      <c r="W110" t="s">
        <v>3913</v>
      </c>
      <c r="X110" t="s">
        <v>3907</v>
      </c>
    </row>
    <row r="111" spans="1:24" hidden="1" x14ac:dyDescent="0.25">
      <c r="A111">
        <v>109</v>
      </c>
      <c r="B111" t="s">
        <v>237</v>
      </c>
      <c r="C111" t="s">
        <v>120</v>
      </c>
      <c r="D111">
        <v>34.435933560000002</v>
      </c>
      <c r="E111">
        <v>-83.104404579999894</v>
      </c>
      <c r="F111">
        <v>1142.3</v>
      </c>
      <c r="G111">
        <v>3748</v>
      </c>
      <c r="H111" t="s">
        <v>4211</v>
      </c>
      <c r="I111" t="s">
        <v>4212</v>
      </c>
      <c r="J111" t="s">
        <v>4213</v>
      </c>
      <c r="K111">
        <v>175840</v>
      </c>
      <c r="L111" t="s">
        <v>3961</v>
      </c>
      <c r="M111" t="s">
        <v>3909</v>
      </c>
      <c r="N111" t="s">
        <v>3908</v>
      </c>
      <c r="O111">
        <v>-999999</v>
      </c>
      <c r="P111" t="s">
        <v>3908</v>
      </c>
      <c r="Q111" t="s">
        <v>3966</v>
      </c>
      <c r="R111" t="s">
        <v>3967</v>
      </c>
      <c r="S111">
        <v>1991.1</v>
      </c>
      <c r="T111">
        <v>115</v>
      </c>
      <c r="U111" t="s">
        <v>4214</v>
      </c>
      <c r="V111">
        <v>133192</v>
      </c>
      <c r="W111" t="s">
        <v>3909</v>
      </c>
      <c r="X111" t="s">
        <v>3907</v>
      </c>
    </row>
    <row r="112" spans="1:24" hidden="1" x14ac:dyDescent="0.25">
      <c r="A112">
        <v>110</v>
      </c>
      <c r="B112" t="s">
        <v>23</v>
      </c>
      <c r="C112" t="s">
        <v>19</v>
      </c>
      <c r="D112">
        <v>33.543727060000002</v>
      </c>
      <c r="E112">
        <v>-86.544395210000005</v>
      </c>
      <c r="F112">
        <v>574</v>
      </c>
      <c r="G112">
        <v>1883</v>
      </c>
      <c r="H112" t="s">
        <v>4215</v>
      </c>
      <c r="I112" t="s">
        <v>4216</v>
      </c>
      <c r="J112" t="s">
        <v>4215</v>
      </c>
      <c r="K112">
        <v>134621</v>
      </c>
      <c r="L112" t="s">
        <v>3972</v>
      </c>
      <c r="M112" t="s">
        <v>3936</v>
      </c>
      <c r="N112" t="s">
        <v>3906</v>
      </c>
      <c r="O112">
        <v>115</v>
      </c>
      <c r="P112" t="s">
        <v>3911</v>
      </c>
      <c r="Q112" t="s">
        <v>3973</v>
      </c>
      <c r="R112" t="s">
        <v>3408</v>
      </c>
      <c r="S112">
        <v>574</v>
      </c>
      <c r="T112">
        <v>115</v>
      </c>
      <c r="U112" t="s">
        <v>4215</v>
      </c>
      <c r="V112">
        <v>134621</v>
      </c>
      <c r="W112" t="s">
        <v>3936</v>
      </c>
      <c r="X112" t="s">
        <v>3907</v>
      </c>
    </row>
    <row r="113" spans="1:24" hidden="1" x14ac:dyDescent="0.25">
      <c r="A113">
        <v>111</v>
      </c>
      <c r="B113" t="s">
        <v>591</v>
      </c>
      <c r="C113" t="s">
        <v>517</v>
      </c>
      <c r="D113">
        <v>37.484458920000002</v>
      </c>
      <c r="E113">
        <v>-86.293951129999897</v>
      </c>
      <c r="F113">
        <v>157.1</v>
      </c>
      <c r="G113">
        <v>515</v>
      </c>
      <c r="H113" t="s">
        <v>4217</v>
      </c>
      <c r="I113" t="s">
        <v>4218</v>
      </c>
      <c r="J113" t="s">
        <v>4217</v>
      </c>
      <c r="K113">
        <v>156353</v>
      </c>
      <c r="L113" t="s">
        <v>3972</v>
      </c>
      <c r="M113" t="s">
        <v>3925</v>
      </c>
      <c r="N113" t="s">
        <v>3906</v>
      </c>
      <c r="O113">
        <v>69</v>
      </c>
      <c r="P113" t="s">
        <v>3904</v>
      </c>
      <c r="Q113" t="s">
        <v>3973</v>
      </c>
      <c r="R113" t="s">
        <v>3408</v>
      </c>
      <c r="S113">
        <v>1554.6</v>
      </c>
      <c r="T113">
        <v>138</v>
      </c>
      <c r="U113" t="s">
        <v>4219</v>
      </c>
      <c r="V113">
        <v>104327</v>
      </c>
      <c r="W113" t="s">
        <v>3925</v>
      </c>
      <c r="X113" t="s">
        <v>3907</v>
      </c>
    </row>
    <row r="114" spans="1:24" x14ac:dyDescent="0.25">
      <c r="A114">
        <v>112</v>
      </c>
      <c r="B114" t="s">
        <v>951</v>
      </c>
      <c r="C114" t="s">
        <v>905</v>
      </c>
      <c r="D114">
        <v>33.588055830000002</v>
      </c>
      <c r="E114">
        <v>-102.379543499999</v>
      </c>
      <c r="F114">
        <v>391.5</v>
      </c>
      <c r="G114">
        <v>1284</v>
      </c>
      <c r="I114" t="s">
        <v>4220</v>
      </c>
      <c r="J114" t="s">
        <v>3908</v>
      </c>
      <c r="K114">
        <v>300096</v>
      </c>
      <c r="L114" t="s">
        <v>3972</v>
      </c>
      <c r="M114" t="s">
        <v>3931</v>
      </c>
      <c r="N114" t="s">
        <v>3906</v>
      </c>
      <c r="O114">
        <v>69</v>
      </c>
      <c r="P114" t="s">
        <v>3904</v>
      </c>
      <c r="Q114" t="s">
        <v>3973</v>
      </c>
      <c r="R114" t="s">
        <v>3967</v>
      </c>
      <c r="S114">
        <v>4208.3</v>
      </c>
      <c r="T114">
        <v>115</v>
      </c>
      <c r="U114" t="s">
        <v>4221</v>
      </c>
      <c r="V114">
        <v>301055</v>
      </c>
      <c r="W114" t="s">
        <v>3908</v>
      </c>
      <c r="X114" t="s">
        <v>3907</v>
      </c>
    </row>
    <row r="115" spans="1:24" x14ac:dyDescent="0.25">
      <c r="A115">
        <v>113</v>
      </c>
      <c r="B115" t="s">
        <v>956</v>
      </c>
      <c r="C115" t="s">
        <v>905</v>
      </c>
      <c r="D115">
        <v>33.921042999999898</v>
      </c>
      <c r="E115">
        <v>-102.329773</v>
      </c>
      <c r="F115">
        <v>1322.1</v>
      </c>
      <c r="G115">
        <v>4338</v>
      </c>
      <c r="I115" t="s">
        <v>4222</v>
      </c>
      <c r="J115" t="s">
        <v>4223</v>
      </c>
      <c r="K115">
        <v>300089</v>
      </c>
      <c r="L115" t="s">
        <v>3972</v>
      </c>
      <c r="M115" t="s">
        <v>3908</v>
      </c>
      <c r="N115" t="s">
        <v>3906</v>
      </c>
      <c r="O115">
        <v>69</v>
      </c>
      <c r="P115" t="s">
        <v>3904</v>
      </c>
      <c r="Q115" t="s">
        <v>3973</v>
      </c>
      <c r="R115" t="s">
        <v>3967</v>
      </c>
      <c r="S115">
        <v>3118.9</v>
      </c>
      <c r="T115">
        <v>115</v>
      </c>
      <c r="U115" t="s">
        <v>4224</v>
      </c>
      <c r="V115">
        <v>307568</v>
      </c>
      <c r="W115" t="s">
        <v>3937</v>
      </c>
      <c r="X115" t="s">
        <v>3907</v>
      </c>
    </row>
    <row r="116" spans="1:24" hidden="1" x14ac:dyDescent="0.25">
      <c r="A116">
        <v>114</v>
      </c>
      <c r="B116" t="s">
        <v>110</v>
      </c>
      <c r="C116" t="s">
        <v>81</v>
      </c>
      <c r="D116">
        <v>30.29397346</v>
      </c>
      <c r="E116">
        <v>-82.982079150000004</v>
      </c>
      <c r="F116">
        <v>377</v>
      </c>
      <c r="G116">
        <v>1237</v>
      </c>
      <c r="H116" t="s">
        <v>4225</v>
      </c>
      <c r="I116" t="s">
        <v>4226</v>
      </c>
      <c r="J116" t="s">
        <v>4225</v>
      </c>
      <c r="K116">
        <v>144068</v>
      </c>
      <c r="L116" t="s">
        <v>3972</v>
      </c>
      <c r="M116" t="s">
        <v>3920</v>
      </c>
      <c r="N116" t="s">
        <v>3906</v>
      </c>
      <c r="O116">
        <v>115</v>
      </c>
      <c r="P116" t="s">
        <v>3911</v>
      </c>
      <c r="Q116" t="s">
        <v>3973</v>
      </c>
      <c r="R116" t="s">
        <v>3967</v>
      </c>
      <c r="S116">
        <v>377</v>
      </c>
      <c r="T116">
        <v>115</v>
      </c>
      <c r="U116" t="s">
        <v>4225</v>
      </c>
      <c r="V116">
        <v>144068</v>
      </c>
      <c r="W116" t="s">
        <v>3920</v>
      </c>
      <c r="X116" t="s">
        <v>3907</v>
      </c>
    </row>
    <row r="117" spans="1:24" hidden="1" x14ac:dyDescent="0.25">
      <c r="A117">
        <v>115</v>
      </c>
      <c r="B117" t="s">
        <v>764</v>
      </c>
      <c r="C117" t="s">
        <v>675</v>
      </c>
      <c r="D117">
        <v>41.800274219999899</v>
      </c>
      <c r="E117">
        <v>-81.048985389999899</v>
      </c>
      <c r="F117">
        <v>1103.5999999999999</v>
      </c>
      <c r="G117">
        <v>3621</v>
      </c>
      <c r="H117" t="s">
        <v>4150</v>
      </c>
      <c r="I117" t="s">
        <v>4151</v>
      </c>
      <c r="J117" t="s">
        <v>813</v>
      </c>
      <c r="K117">
        <v>103658</v>
      </c>
      <c r="L117" t="s">
        <v>3972</v>
      </c>
      <c r="M117" t="s">
        <v>3915</v>
      </c>
      <c r="N117" t="s">
        <v>3906</v>
      </c>
      <c r="O117">
        <v>345</v>
      </c>
      <c r="P117">
        <v>345</v>
      </c>
      <c r="Q117" t="s">
        <v>3973</v>
      </c>
      <c r="R117" t="s">
        <v>3967</v>
      </c>
      <c r="S117">
        <v>1103.5999999999999</v>
      </c>
      <c r="T117">
        <v>345</v>
      </c>
      <c r="U117" t="s">
        <v>4150</v>
      </c>
      <c r="V117">
        <v>103658</v>
      </c>
      <c r="W117" t="s">
        <v>3915</v>
      </c>
      <c r="X117" t="s">
        <v>3907</v>
      </c>
    </row>
    <row r="118" spans="1:24" hidden="1" x14ac:dyDescent="0.25">
      <c r="A118">
        <v>116</v>
      </c>
      <c r="B118" t="s">
        <v>438</v>
      </c>
      <c r="C118" t="s">
        <v>328</v>
      </c>
      <c r="D118">
        <v>42.484722830000003</v>
      </c>
      <c r="E118">
        <v>-91.457176810000007</v>
      </c>
      <c r="F118">
        <v>7586.1</v>
      </c>
      <c r="G118">
        <v>24889</v>
      </c>
      <c r="H118" t="s">
        <v>4118</v>
      </c>
      <c r="I118" t="s">
        <v>4227</v>
      </c>
      <c r="J118" t="s">
        <v>4228</v>
      </c>
      <c r="K118">
        <v>120017</v>
      </c>
      <c r="L118" t="s">
        <v>3972</v>
      </c>
      <c r="M118" t="s">
        <v>3908</v>
      </c>
      <c r="N118" t="s">
        <v>3906</v>
      </c>
      <c r="O118">
        <v>161</v>
      </c>
      <c r="P118" t="s">
        <v>3911</v>
      </c>
      <c r="Q118" t="s">
        <v>3973</v>
      </c>
      <c r="R118" t="s">
        <v>3408</v>
      </c>
      <c r="S118">
        <v>7586.1</v>
      </c>
      <c r="T118">
        <v>161</v>
      </c>
      <c r="U118" t="s">
        <v>4118</v>
      </c>
      <c r="V118">
        <v>120017</v>
      </c>
      <c r="W118" t="s">
        <v>3908</v>
      </c>
      <c r="X118" t="s">
        <v>3907</v>
      </c>
    </row>
    <row r="119" spans="1:24" hidden="1" x14ac:dyDescent="0.25">
      <c r="A119">
        <v>117</v>
      </c>
      <c r="B119" t="s">
        <v>434</v>
      </c>
      <c r="C119" t="s">
        <v>328</v>
      </c>
      <c r="D119">
        <v>42.455873330000003</v>
      </c>
      <c r="E119">
        <v>-91.478370729999895</v>
      </c>
      <c r="F119">
        <v>7465</v>
      </c>
      <c r="G119">
        <v>24492</v>
      </c>
      <c r="H119" t="s">
        <v>4229</v>
      </c>
      <c r="I119" t="s">
        <v>4227</v>
      </c>
      <c r="J119" t="s">
        <v>4230</v>
      </c>
      <c r="K119">
        <v>144434</v>
      </c>
      <c r="L119" t="s">
        <v>3972</v>
      </c>
      <c r="M119" t="s">
        <v>3908</v>
      </c>
      <c r="N119" t="s">
        <v>3906</v>
      </c>
      <c r="O119">
        <v>161</v>
      </c>
      <c r="P119" t="s">
        <v>3911</v>
      </c>
      <c r="Q119" t="s">
        <v>3973</v>
      </c>
      <c r="R119" t="s">
        <v>3408</v>
      </c>
      <c r="S119">
        <v>7465</v>
      </c>
      <c r="T119">
        <v>161</v>
      </c>
      <c r="U119" t="s">
        <v>4229</v>
      </c>
      <c r="V119">
        <v>144434</v>
      </c>
      <c r="W119" t="s">
        <v>3908</v>
      </c>
      <c r="X119" t="s">
        <v>3907</v>
      </c>
    </row>
    <row r="120" spans="1:24" x14ac:dyDescent="0.25">
      <c r="A120">
        <v>118</v>
      </c>
      <c r="B120" t="s">
        <v>242</v>
      </c>
      <c r="C120" t="s">
        <v>120</v>
      </c>
      <c r="D120">
        <v>32.851323780000001</v>
      </c>
      <c r="E120">
        <v>-84.615933150000004</v>
      </c>
      <c r="F120">
        <v>3299.1</v>
      </c>
      <c r="G120">
        <v>10824</v>
      </c>
      <c r="I120" t="s">
        <v>4231</v>
      </c>
      <c r="J120" t="s">
        <v>4232</v>
      </c>
      <c r="K120">
        <v>106353</v>
      </c>
      <c r="L120" t="s">
        <v>3972</v>
      </c>
      <c r="M120" t="s">
        <v>3909</v>
      </c>
      <c r="N120" t="s">
        <v>3906</v>
      </c>
      <c r="O120">
        <v>115</v>
      </c>
      <c r="P120" t="s">
        <v>3911</v>
      </c>
      <c r="Q120" t="s">
        <v>3973</v>
      </c>
      <c r="R120" t="s">
        <v>3408</v>
      </c>
      <c r="S120">
        <v>3299.1</v>
      </c>
      <c r="T120">
        <v>115</v>
      </c>
      <c r="V120">
        <v>106353</v>
      </c>
      <c r="W120" t="s">
        <v>3909</v>
      </c>
      <c r="X120" t="s">
        <v>3907</v>
      </c>
    </row>
    <row r="121" spans="1:24" hidden="1" x14ac:dyDescent="0.25">
      <c r="A121">
        <v>119</v>
      </c>
      <c r="B121" t="s">
        <v>442</v>
      </c>
      <c r="C121" t="s">
        <v>328</v>
      </c>
      <c r="D121">
        <v>41.798880939999897</v>
      </c>
      <c r="E121">
        <v>-92.069393070000004</v>
      </c>
      <c r="F121">
        <v>13679.9</v>
      </c>
      <c r="G121">
        <v>44881</v>
      </c>
      <c r="H121" t="s">
        <v>4233</v>
      </c>
      <c r="I121" t="s">
        <v>4234</v>
      </c>
      <c r="J121" t="s">
        <v>4235</v>
      </c>
      <c r="K121">
        <v>169309</v>
      </c>
      <c r="L121" t="s">
        <v>3972</v>
      </c>
      <c r="M121" t="s">
        <v>3908</v>
      </c>
      <c r="N121" t="s">
        <v>3906</v>
      </c>
      <c r="O121">
        <v>69</v>
      </c>
      <c r="P121" t="s">
        <v>3904</v>
      </c>
      <c r="Q121" t="s">
        <v>3973</v>
      </c>
      <c r="R121" t="s">
        <v>3408</v>
      </c>
      <c r="X121" t="s">
        <v>3907</v>
      </c>
    </row>
    <row r="122" spans="1:24" x14ac:dyDescent="0.25">
      <c r="A122">
        <v>120</v>
      </c>
      <c r="B122" t="s">
        <v>115</v>
      </c>
      <c r="C122" t="s">
        <v>81</v>
      </c>
      <c r="D122">
        <v>30.05422767</v>
      </c>
      <c r="E122">
        <v>-83.176257759999899</v>
      </c>
      <c r="F122">
        <v>7685.6</v>
      </c>
      <c r="G122">
        <v>25215</v>
      </c>
      <c r="I122" t="s">
        <v>4236</v>
      </c>
      <c r="J122" t="s">
        <v>4022</v>
      </c>
      <c r="K122">
        <v>136349</v>
      </c>
      <c r="L122" t="s">
        <v>3972</v>
      </c>
      <c r="M122" t="s">
        <v>3920</v>
      </c>
      <c r="N122" t="s">
        <v>3906</v>
      </c>
      <c r="O122">
        <v>69</v>
      </c>
      <c r="P122" t="s">
        <v>3904</v>
      </c>
      <c r="Q122" t="s">
        <v>3973</v>
      </c>
      <c r="R122" t="s">
        <v>3967</v>
      </c>
      <c r="X122" t="s">
        <v>3907</v>
      </c>
    </row>
    <row r="123" spans="1:24" x14ac:dyDescent="0.25">
      <c r="A123">
        <v>121</v>
      </c>
      <c r="B123" t="s">
        <v>247</v>
      </c>
      <c r="C123" t="s">
        <v>120</v>
      </c>
      <c r="D123">
        <v>32.066782009999898</v>
      </c>
      <c r="E123">
        <v>-82.897522570000007</v>
      </c>
      <c r="F123">
        <v>79.099999999999994</v>
      </c>
      <c r="G123">
        <v>260</v>
      </c>
      <c r="I123" t="s">
        <v>4237</v>
      </c>
      <c r="J123" t="s">
        <v>4238</v>
      </c>
      <c r="K123">
        <v>170565</v>
      </c>
      <c r="L123" t="s">
        <v>3961</v>
      </c>
      <c r="M123" t="s">
        <v>3909</v>
      </c>
      <c r="N123" t="s">
        <v>3906</v>
      </c>
      <c r="O123">
        <v>-999999</v>
      </c>
      <c r="P123" t="s">
        <v>3908</v>
      </c>
      <c r="Q123" t="s">
        <v>3966</v>
      </c>
      <c r="R123" t="s">
        <v>3967</v>
      </c>
      <c r="S123">
        <v>2123.1999999999998</v>
      </c>
      <c r="T123">
        <v>115</v>
      </c>
      <c r="U123" t="s">
        <v>4239</v>
      </c>
      <c r="V123">
        <v>158101</v>
      </c>
      <c r="W123" t="s">
        <v>3909</v>
      </c>
      <c r="X123" t="s">
        <v>3907</v>
      </c>
    </row>
    <row r="124" spans="1:24" hidden="1" x14ac:dyDescent="0.25">
      <c r="A124">
        <v>122</v>
      </c>
      <c r="B124" t="s">
        <v>447</v>
      </c>
      <c r="C124" t="s">
        <v>328</v>
      </c>
      <c r="D124">
        <v>40.975447410000001</v>
      </c>
      <c r="E124">
        <v>-93.0481071399999</v>
      </c>
      <c r="F124">
        <v>9654.1</v>
      </c>
      <c r="G124">
        <v>31674</v>
      </c>
      <c r="H124" t="s">
        <v>3985</v>
      </c>
      <c r="I124" t="s">
        <v>3986</v>
      </c>
      <c r="J124" t="s">
        <v>3987</v>
      </c>
      <c r="K124">
        <v>106824</v>
      </c>
      <c r="L124" t="s">
        <v>3972</v>
      </c>
      <c r="M124" t="s">
        <v>3912</v>
      </c>
      <c r="N124" t="s">
        <v>3906</v>
      </c>
      <c r="O124">
        <v>161</v>
      </c>
      <c r="P124" t="s">
        <v>3911</v>
      </c>
      <c r="Q124" t="s">
        <v>3973</v>
      </c>
      <c r="R124" t="s">
        <v>3408</v>
      </c>
      <c r="S124">
        <v>9654.1</v>
      </c>
      <c r="T124">
        <v>161</v>
      </c>
      <c r="U124" t="s">
        <v>3985</v>
      </c>
      <c r="V124">
        <v>106824</v>
      </c>
      <c r="W124" t="s">
        <v>3912</v>
      </c>
      <c r="X124" t="s">
        <v>3907</v>
      </c>
    </row>
    <row r="125" spans="1:24" x14ac:dyDescent="0.25">
      <c r="A125">
        <v>123</v>
      </c>
      <c r="B125" t="s">
        <v>960</v>
      </c>
      <c r="C125" t="s">
        <v>905</v>
      </c>
      <c r="D125">
        <v>34.724508110000002</v>
      </c>
      <c r="E125">
        <v>-100.53937550000001</v>
      </c>
      <c r="F125">
        <v>672.9</v>
      </c>
      <c r="G125">
        <v>2208</v>
      </c>
      <c r="I125" t="s">
        <v>4240</v>
      </c>
      <c r="J125" t="s">
        <v>4241</v>
      </c>
      <c r="K125">
        <v>301886</v>
      </c>
      <c r="L125" t="s">
        <v>3972</v>
      </c>
      <c r="M125" t="s">
        <v>3908</v>
      </c>
      <c r="N125" t="s">
        <v>3906</v>
      </c>
      <c r="O125">
        <v>69</v>
      </c>
      <c r="P125" t="s">
        <v>3904</v>
      </c>
      <c r="Q125" t="s">
        <v>3973</v>
      </c>
      <c r="R125" t="s">
        <v>3967</v>
      </c>
      <c r="S125">
        <v>4494.8</v>
      </c>
      <c r="T125">
        <v>115</v>
      </c>
      <c r="U125" t="s">
        <v>4242</v>
      </c>
      <c r="V125">
        <v>309528</v>
      </c>
      <c r="W125" t="s">
        <v>3938</v>
      </c>
      <c r="X125" t="s">
        <v>3907</v>
      </c>
    </row>
    <row r="126" spans="1:24" x14ac:dyDescent="0.25">
      <c r="A126">
        <v>124</v>
      </c>
      <c r="B126" t="s">
        <v>252</v>
      </c>
      <c r="C126" t="s">
        <v>120</v>
      </c>
      <c r="D126">
        <v>33.090814809999898</v>
      </c>
      <c r="E126">
        <v>-83.228472819999894</v>
      </c>
      <c r="F126">
        <v>1218.2</v>
      </c>
      <c r="G126">
        <v>3997</v>
      </c>
      <c r="I126" t="s">
        <v>4243</v>
      </c>
      <c r="J126" t="s">
        <v>4244</v>
      </c>
      <c r="K126">
        <v>115084</v>
      </c>
      <c r="L126" t="s">
        <v>3972</v>
      </c>
      <c r="M126" t="s">
        <v>3909</v>
      </c>
      <c r="N126" t="s">
        <v>3906</v>
      </c>
      <c r="O126">
        <v>115</v>
      </c>
      <c r="P126" t="s">
        <v>3911</v>
      </c>
      <c r="Q126" t="s">
        <v>3973</v>
      </c>
      <c r="R126" t="s">
        <v>3408</v>
      </c>
      <c r="S126">
        <v>1218.2</v>
      </c>
      <c r="T126">
        <v>115</v>
      </c>
      <c r="V126">
        <v>115084</v>
      </c>
      <c r="W126" t="s">
        <v>3909</v>
      </c>
      <c r="X126" t="s">
        <v>3907</v>
      </c>
    </row>
    <row r="127" spans="1:24" hidden="1" x14ac:dyDescent="0.25">
      <c r="A127">
        <v>125</v>
      </c>
      <c r="B127" t="s">
        <v>262</v>
      </c>
      <c r="C127" t="s">
        <v>120</v>
      </c>
      <c r="D127">
        <v>33.890438019999898</v>
      </c>
      <c r="E127">
        <v>-83.719923170000001</v>
      </c>
      <c r="F127">
        <v>404.1</v>
      </c>
      <c r="G127">
        <v>1326</v>
      </c>
      <c r="H127" t="s">
        <v>4245</v>
      </c>
      <c r="I127" t="s">
        <v>4245</v>
      </c>
      <c r="J127" t="s">
        <v>4246</v>
      </c>
      <c r="K127">
        <v>108650</v>
      </c>
      <c r="L127" t="s">
        <v>3972</v>
      </c>
      <c r="M127" t="s">
        <v>3909</v>
      </c>
      <c r="N127" t="s">
        <v>3906</v>
      </c>
      <c r="O127">
        <v>230</v>
      </c>
      <c r="P127" t="s">
        <v>3923</v>
      </c>
      <c r="Q127" t="s">
        <v>3973</v>
      </c>
      <c r="R127" t="s">
        <v>3408</v>
      </c>
      <c r="S127">
        <v>404.1</v>
      </c>
      <c r="T127">
        <v>230</v>
      </c>
      <c r="U127" t="s">
        <v>4245</v>
      </c>
      <c r="V127">
        <v>108650</v>
      </c>
      <c r="W127" t="s">
        <v>3909</v>
      </c>
      <c r="X127" t="s">
        <v>3907</v>
      </c>
    </row>
    <row r="128" spans="1:24" x14ac:dyDescent="0.25">
      <c r="A128">
        <v>126</v>
      </c>
      <c r="B128" t="s">
        <v>257</v>
      </c>
      <c r="C128" t="s">
        <v>120</v>
      </c>
      <c r="D128">
        <v>33.796456579999898</v>
      </c>
      <c r="E128">
        <v>-83.712538940000002</v>
      </c>
      <c r="F128">
        <v>309.89999999999998</v>
      </c>
      <c r="G128">
        <v>1017</v>
      </c>
      <c r="I128" t="s">
        <v>4247</v>
      </c>
      <c r="J128" t="s">
        <v>4248</v>
      </c>
      <c r="K128">
        <v>110923</v>
      </c>
      <c r="L128" t="s">
        <v>3972</v>
      </c>
      <c r="M128" t="s">
        <v>3909</v>
      </c>
      <c r="N128" t="s">
        <v>3906</v>
      </c>
      <c r="O128">
        <v>115</v>
      </c>
      <c r="P128" t="s">
        <v>3911</v>
      </c>
      <c r="Q128" t="s">
        <v>3973</v>
      </c>
      <c r="R128" t="s">
        <v>3408</v>
      </c>
      <c r="S128">
        <v>309.89999999999998</v>
      </c>
      <c r="T128">
        <v>115</v>
      </c>
      <c r="V128">
        <v>110923</v>
      </c>
      <c r="W128" t="s">
        <v>3909</v>
      </c>
      <c r="X128" t="s">
        <v>3907</v>
      </c>
    </row>
    <row r="129" spans="1:24" x14ac:dyDescent="0.25">
      <c r="A129">
        <v>127</v>
      </c>
      <c r="B129" t="s">
        <v>266</v>
      </c>
      <c r="C129" t="s">
        <v>120</v>
      </c>
      <c r="D129">
        <v>32.301748029999899</v>
      </c>
      <c r="E129">
        <v>-84.030829150000002</v>
      </c>
      <c r="F129">
        <v>2096.6</v>
      </c>
      <c r="G129">
        <v>6879</v>
      </c>
      <c r="I129" t="s">
        <v>4249</v>
      </c>
      <c r="J129" t="s">
        <v>4250</v>
      </c>
      <c r="K129">
        <v>149259</v>
      </c>
      <c r="L129" t="s">
        <v>3961</v>
      </c>
      <c r="M129" t="s">
        <v>3909</v>
      </c>
      <c r="N129" t="s">
        <v>3906</v>
      </c>
      <c r="O129">
        <v>-999999</v>
      </c>
      <c r="P129" t="s">
        <v>3911</v>
      </c>
      <c r="Q129" t="s">
        <v>3962</v>
      </c>
      <c r="R129" t="s">
        <v>3408</v>
      </c>
      <c r="S129">
        <v>2217.6</v>
      </c>
      <c r="T129">
        <v>115</v>
      </c>
      <c r="U129" t="s">
        <v>4251</v>
      </c>
      <c r="V129">
        <v>103149</v>
      </c>
      <c r="W129" t="s">
        <v>3909</v>
      </c>
      <c r="X129" t="s">
        <v>3907</v>
      </c>
    </row>
    <row r="130" spans="1:24" x14ac:dyDescent="0.25">
      <c r="A130">
        <v>128</v>
      </c>
      <c r="B130" t="s">
        <v>598</v>
      </c>
      <c r="C130" t="s">
        <v>517</v>
      </c>
      <c r="D130">
        <v>36.831270680000003</v>
      </c>
      <c r="E130">
        <v>-84.850426240000004</v>
      </c>
      <c r="F130">
        <v>788.3</v>
      </c>
      <c r="G130">
        <v>2586</v>
      </c>
      <c r="I130" t="s">
        <v>4252</v>
      </c>
      <c r="J130" t="s">
        <v>4253</v>
      </c>
      <c r="K130">
        <v>179005</v>
      </c>
      <c r="L130" t="s">
        <v>3908</v>
      </c>
      <c r="M130" t="s">
        <v>3908</v>
      </c>
      <c r="N130" t="s">
        <v>3906</v>
      </c>
      <c r="O130">
        <v>-999999</v>
      </c>
      <c r="P130" t="s">
        <v>3908</v>
      </c>
      <c r="Q130" t="s">
        <v>3966</v>
      </c>
      <c r="R130" t="s">
        <v>3908</v>
      </c>
      <c r="S130">
        <v>6198</v>
      </c>
      <c r="T130">
        <v>161</v>
      </c>
      <c r="U130" t="s">
        <v>4254</v>
      </c>
      <c r="V130">
        <v>102333</v>
      </c>
      <c r="W130" t="s">
        <v>3910</v>
      </c>
      <c r="X130" t="s">
        <v>3907</v>
      </c>
    </row>
    <row r="131" spans="1:24" hidden="1" x14ac:dyDescent="0.25">
      <c r="A131">
        <v>129</v>
      </c>
      <c r="B131" t="s">
        <v>29</v>
      </c>
      <c r="C131" t="s">
        <v>19</v>
      </c>
      <c r="D131">
        <v>33.5934139599999</v>
      </c>
      <c r="E131">
        <v>-86.498523640000002</v>
      </c>
      <c r="F131">
        <v>376.6</v>
      </c>
      <c r="G131">
        <v>1235</v>
      </c>
      <c r="H131" t="s">
        <v>4255</v>
      </c>
      <c r="I131" t="s">
        <v>4256</v>
      </c>
      <c r="J131" t="s">
        <v>4255</v>
      </c>
      <c r="K131">
        <v>129821</v>
      </c>
      <c r="L131" t="s">
        <v>3972</v>
      </c>
      <c r="M131" t="s">
        <v>3936</v>
      </c>
      <c r="N131" t="s">
        <v>3906</v>
      </c>
      <c r="O131">
        <v>115</v>
      </c>
      <c r="P131" t="s">
        <v>3911</v>
      </c>
      <c r="Q131" t="s">
        <v>3973</v>
      </c>
      <c r="R131" t="s">
        <v>3408</v>
      </c>
      <c r="S131">
        <v>376.6</v>
      </c>
      <c r="T131">
        <v>115</v>
      </c>
      <c r="U131" t="s">
        <v>4255</v>
      </c>
      <c r="V131">
        <v>129821</v>
      </c>
      <c r="W131" t="s">
        <v>3936</v>
      </c>
      <c r="X131" t="s">
        <v>3907</v>
      </c>
    </row>
    <row r="132" spans="1:24" x14ac:dyDescent="0.25">
      <c r="A132">
        <v>130</v>
      </c>
      <c r="B132" t="s">
        <v>450</v>
      </c>
      <c r="C132" t="s">
        <v>328</v>
      </c>
      <c r="D132">
        <v>40.892054989999899</v>
      </c>
      <c r="E132">
        <v>-92.983500019999894</v>
      </c>
      <c r="N132" t="s">
        <v>3939</v>
      </c>
      <c r="X132" t="s">
        <v>3907</v>
      </c>
    </row>
    <row r="133" spans="1:24" hidden="1" x14ac:dyDescent="0.25">
      <c r="A133">
        <v>131</v>
      </c>
      <c r="B133" t="s">
        <v>602</v>
      </c>
      <c r="C133" t="s">
        <v>517</v>
      </c>
      <c r="D133">
        <v>38.183663750000001</v>
      </c>
      <c r="E133">
        <v>-83.43477901</v>
      </c>
      <c r="F133">
        <v>324.10000000000002</v>
      </c>
      <c r="G133">
        <v>1063</v>
      </c>
      <c r="H133" t="s">
        <v>4257</v>
      </c>
      <c r="I133" t="s">
        <v>4258</v>
      </c>
      <c r="J133" t="s">
        <v>4257</v>
      </c>
      <c r="K133">
        <v>164100</v>
      </c>
      <c r="L133" t="s">
        <v>3972</v>
      </c>
      <c r="M133" t="s">
        <v>3925</v>
      </c>
      <c r="N133" t="s">
        <v>3906</v>
      </c>
      <c r="O133">
        <v>69</v>
      </c>
      <c r="P133" t="s">
        <v>3904</v>
      </c>
      <c r="Q133" t="s">
        <v>3973</v>
      </c>
      <c r="R133" t="s">
        <v>3408</v>
      </c>
      <c r="S133">
        <v>1438.6</v>
      </c>
      <c r="T133">
        <v>138</v>
      </c>
      <c r="U133" t="s">
        <v>4259</v>
      </c>
      <c r="V133">
        <v>107778</v>
      </c>
      <c r="W133" t="s">
        <v>3908</v>
      </c>
      <c r="X133" t="s">
        <v>3907</v>
      </c>
    </row>
    <row r="134" spans="1:24" hidden="1" x14ac:dyDescent="0.25">
      <c r="A134">
        <v>132</v>
      </c>
      <c r="B134" t="s">
        <v>276</v>
      </c>
      <c r="C134" t="s">
        <v>120</v>
      </c>
      <c r="D134">
        <v>31.1774829199999</v>
      </c>
      <c r="E134">
        <v>-83.783713550000002</v>
      </c>
      <c r="F134">
        <v>302.7</v>
      </c>
      <c r="G134">
        <v>993</v>
      </c>
      <c r="H134" t="s">
        <v>4260</v>
      </c>
      <c r="I134" t="s">
        <v>4261</v>
      </c>
      <c r="J134" t="s">
        <v>4260</v>
      </c>
      <c r="K134">
        <v>117519</v>
      </c>
      <c r="L134" t="s">
        <v>3972</v>
      </c>
      <c r="M134" t="s">
        <v>3909</v>
      </c>
      <c r="N134" t="s">
        <v>3906</v>
      </c>
      <c r="O134">
        <v>115</v>
      </c>
      <c r="P134" t="s">
        <v>3911</v>
      </c>
      <c r="Q134" t="s">
        <v>3973</v>
      </c>
      <c r="R134" t="s">
        <v>3408</v>
      </c>
      <c r="S134">
        <v>302.7</v>
      </c>
      <c r="T134">
        <v>115</v>
      </c>
      <c r="U134" t="s">
        <v>4260</v>
      </c>
      <c r="V134">
        <v>117519</v>
      </c>
      <c r="W134" t="s">
        <v>3909</v>
      </c>
      <c r="X134" t="s">
        <v>3907</v>
      </c>
    </row>
    <row r="135" spans="1:24" hidden="1" x14ac:dyDescent="0.25">
      <c r="A135">
        <v>133</v>
      </c>
      <c r="B135" t="s">
        <v>271</v>
      </c>
      <c r="C135" t="s">
        <v>120</v>
      </c>
      <c r="D135">
        <v>31.179190250000001</v>
      </c>
      <c r="E135">
        <v>-83.748761310000006</v>
      </c>
      <c r="F135">
        <v>2082.6</v>
      </c>
      <c r="G135">
        <v>6833</v>
      </c>
      <c r="H135" t="s">
        <v>4262</v>
      </c>
      <c r="I135" t="s">
        <v>4263</v>
      </c>
      <c r="J135" t="s">
        <v>4264</v>
      </c>
      <c r="K135">
        <v>108961</v>
      </c>
      <c r="L135" t="s">
        <v>3961</v>
      </c>
      <c r="M135" t="s">
        <v>3909</v>
      </c>
      <c r="N135" t="s">
        <v>3906</v>
      </c>
      <c r="O135">
        <v>-999999</v>
      </c>
      <c r="P135" t="s">
        <v>3911</v>
      </c>
      <c r="Q135" t="s">
        <v>3962</v>
      </c>
      <c r="R135" t="s">
        <v>3408</v>
      </c>
      <c r="S135">
        <v>3004.9</v>
      </c>
      <c r="T135">
        <v>115</v>
      </c>
      <c r="U135" t="s">
        <v>4260</v>
      </c>
      <c r="V135">
        <v>117519</v>
      </c>
      <c r="W135" t="s">
        <v>3909</v>
      </c>
      <c r="X135" t="s">
        <v>3907</v>
      </c>
    </row>
    <row r="136" spans="1:24" x14ac:dyDescent="0.25">
      <c r="A136">
        <v>134</v>
      </c>
      <c r="B136" t="s">
        <v>454</v>
      </c>
      <c r="C136" t="s">
        <v>328</v>
      </c>
      <c r="D136">
        <v>40.712604310000003</v>
      </c>
      <c r="E136">
        <v>-94.237303769999897</v>
      </c>
      <c r="N136" t="s">
        <v>3939</v>
      </c>
      <c r="X136" t="s">
        <v>3907</v>
      </c>
    </row>
    <row r="137" spans="1:24" hidden="1" x14ac:dyDescent="0.25">
      <c r="A137">
        <v>135</v>
      </c>
      <c r="B137" t="s">
        <v>460</v>
      </c>
      <c r="C137" t="s">
        <v>328</v>
      </c>
      <c r="D137">
        <v>40.967865850000003</v>
      </c>
      <c r="E137">
        <v>-91.553385689999899</v>
      </c>
      <c r="F137">
        <v>505.9</v>
      </c>
      <c r="G137">
        <v>1660</v>
      </c>
      <c r="H137" t="s">
        <v>4265</v>
      </c>
      <c r="I137" t="s">
        <v>4265</v>
      </c>
      <c r="J137" t="s">
        <v>3908</v>
      </c>
      <c r="K137">
        <v>140027</v>
      </c>
      <c r="L137" t="s">
        <v>3961</v>
      </c>
      <c r="M137" t="s">
        <v>3908</v>
      </c>
      <c r="N137" t="s">
        <v>3908</v>
      </c>
      <c r="O137">
        <v>69</v>
      </c>
      <c r="P137" t="s">
        <v>3904</v>
      </c>
      <c r="Q137" t="s">
        <v>3973</v>
      </c>
      <c r="R137" t="s">
        <v>3408</v>
      </c>
      <c r="S137">
        <v>2756.4</v>
      </c>
      <c r="T137">
        <v>161</v>
      </c>
      <c r="U137" t="s">
        <v>4136</v>
      </c>
      <c r="V137">
        <v>140001</v>
      </c>
      <c r="W137" t="s">
        <v>3908</v>
      </c>
      <c r="X137" t="s">
        <v>3907</v>
      </c>
    </row>
    <row r="138" spans="1:24" x14ac:dyDescent="0.25">
      <c r="A138">
        <v>136</v>
      </c>
      <c r="B138" t="s">
        <v>607</v>
      </c>
      <c r="C138" t="s">
        <v>517</v>
      </c>
      <c r="D138">
        <v>37.354260359999898</v>
      </c>
      <c r="E138">
        <v>-84.3415178999999</v>
      </c>
      <c r="F138">
        <v>1015.8</v>
      </c>
      <c r="G138">
        <v>3333</v>
      </c>
      <c r="I138" t="s">
        <v>4266</v>
      </c>
      <c r="J138" t="s">
        <v>4267</v>
      </c>
      <c r="K138">
        <v>110824</v>
      </c>
      <c r="L138" t="s">
        <v>3972</v>
      </c>
      <c r="M138" t="s">
        <v>3908</v>
      </c>
      <c r="N138" t="s">
        <v>3906</v>
      </c>
      <c r="O138">
        <v>69</v>
      </c>
      <c r="P138" t="s">
        <v>3904</v>
      </c>
      <c r="Q138" t="s">
        <v>3973</v>
      </c>
      <c r="R138" t="s">
        <v>3408</v>
      </c>
      <c r="X138" t="s">
        <v>3907</v>
      </c>
    </row>
    <row r="139" spans="1:24" x14ac:dyDescent="0.25">
      <c r="A139">
        <v>137</v>
      </c>
      <c r="B139" t="s">
        <v>281</v>
      </c>
      <c r="C139" t="s">
        <v>120</v>
      </c>
      <c r="D139">
        <v>31.2060928299999</v>
      </c>
      <c r="E139">
        <v>-83.251335659999896</v>
      </c>
      <c r="F139">
        <v>477.2</v>
      </c>
      <c r="G139">
        <v>1566</v>
      </c>
      <c r="I139" t="s">
        <v>4268</v>
      </c>
      <c r="J139" t="s">
        <v>4269</v>
      </c>
      <c r="K139">
        <v>107000</v>
      </c>
      <c r="L139" t="s">
        <v>3972</v>
      </c>
      <c r="M139" t="s">
        <v>3909</v>
      </c>
      <c r="N139" t="s">
        <v>3906</v>
      </c>
      <c r="O139">
        <v>115</v>
      </c>
      <c r="P139" t="s">
        <v>3911</v>
      </c>
      <c r="Q139" t="s">
        <v>3973</v>
      </c>
      <c r="R139" t="s">
        <v>3408</v>
      </c>
      <c r="S139">
        <v>477.2</v>
      </c>
      <c r="T139">
        <v>115</v>
      </c>
      <c r="V139">
        <v>107000</v>
      </c>
      <c r="W139" t="s">
        <v>3909</v>
      </c>
      <c r="X139" t="s">
        <v>3907</v>
      </c>
    </row>
    <row r="140" spans="1:24" x14ac:dyDescent="0.25">
      <c r="A140">
        <v>138</v>
      </c>
      <c r="B140" t="s">
        <v>464</v>
      </c>
      <c r="C140" t="s">
        <v>328</v>
      </c>
      <c r="D140">
        <v>42.020860280000001</v>
      </c>
      <c r="E140">
        <v>-93.451133909999896</v>
      </c>
      <c r="F140">
        <v>5260.1</v>
      </c>
      <c r="G140">
        <v>17258</v>
      </c>
      <c r="I140" t="s">
        <v>4270</v>
      </c>
      <c r="J140" t="s">
        <v>4271</v>
      </c>
      <c r="K140">
        <v>175114</v>
      </c>
      <c r="L140" t="s">
        <v>3972</v>
      </c>
      <c r="M140" t="s">
        <v>3908</v>
      </c>
      <c r="N140" t="s">
        <v>3906</v>
      </c>
      <c r="O140">
        <v>-999999</v>
      </c>
      <c r="P140" t="s">
        <v>3908</v>
      </c>
      <c r="Q140" t="s">
        <v>3966</v>
      </c>
      <c r="R140" t="s">
        <v>3967</v>
      </c>
      <c r="S140">
        <v>7122.3</v>
      </c>
      <c r="T140">
        <v>161</v>
      </c>
      <c r="V140">
        <v>138435</v>
      </c>
      <c r="W140" t="s">
        <v>3908</v>
      </c>
      <c r="X140" t="s">
        <v>3907</v>
      </c>
    </row>
    <row r="141" spans="1:24" hidden="1" x14ac:dyDescent="0.25">
      <c r="A141">
        <v>139</v>
      </c>
      <c r="B141" t="s">
        <v>2829</v>
      </c>
      <c r="C141" t="s">
        <v>328</v>
      </c>
      <c r="D141">
        <v>43.0661261999999</v>
      </c>
      <c r="E141">
        <v>-92.307775789999894</v>
      </c>
      <c r="F141">
        <v>1348.4</v>
      </c>
      <c r="G141">
        <v>4424</v>
      </c>
      <c r="H141" t="s">
        <v>4272</v>
      </c>
      <c r="I141" t="s">
        <v>4272</v>
      </c>
      <c r="J141" t="s">
        <v>3908</v>
      </c>
      <c r="K141">
        <v>108858</v>
      </c>
      <c r="L141" t="s">
        <v>3961</v>
      </c>
      <c r="M141" t="s">
        <v>3908</v>
      </c>
      <c r="N141" t="s">
        <v>3908</v>
      </c>
      <c r="O141">
        <v>69</v>
      </c>
      <c r="P141" t="s">
        <v>3904</v>
      </c>
      <c r="Q141" t="s">
        <v>3973</v>
      </c>
      <c r="R141" t="s">
        <v>3408</v>
      </c>
      <c r="S141">
        <v>4234.6000000000004</v>
      </c>
      <c r="T141">
        <v>345</v>
      </c>
      <c r="U141" t="s">
        <v>4273</v>
      </c>
      <c r="V141">
        <v>124724</v>
      </c>
      <c r="W141" t="s">
        <v>3912</v>
      </c>
      <c r="X141" t="s">
        <v>3907</v>
      </c>
    </row>
    <row r="142" spans="1:24" hidden="1" x14ac:dyDescent="0.25">
      <c r="A142">
        <v>140</v>
      </c>
      <c r="B142" t="s">
        <v>469</v>
      </c>
      <c r="C142" t="s">
        <v>328</v>
      </c>
      <c r="D142">
        <v>43.059092110000002</v>
      </c>
      <c r="E142">
        <v>-92.312723320000003</v>
      </c>
      <c r="F142">
        <v>1384.6</v>
      </c>
      <c r="G142">
        <v>4543</v>
      </c>
      <c r="H142" t="s">
        <v>4272</v>
      </c>
      <c r="I142" t="s">
        <v>4272</v>
      </c>
      <c r="J142" t="s">
        <v>3908</v>
      </c>
      <c r="K142">
        <v>108858</v>
      </c>
      <c r="L142" t="s">
        <v>3961</v>
      </c>
      <c r="M142" t="s">
        <v>3908</v>
      </c>
      <c r="N142" t="s">
        <v>3908</v>
      </c>
      <c r="O142">
        <v>69</v>
      </c>
      <c r="P142" t="s">
        <v>3904</v>
      </c>
      <c r="Q142" t="s">
        <v>3973</v>
      </c>
      <c r="R142" t="s">
        <v>3408</v>
      </c>
      <c r="S142">
        <v>5079.5</v>
      </c>
      <c r="T142">
        <v>345</v>
      </c>
      <c r="U142" t="s">
        <v>4273</v>
      </c>
      <c r="V142">
        <v>124724</v>
      </c>
      <c r="W142" t="s">
        <v>3912</v>
      </c>
      <c r="X142" t="s">
        <v>3907</v>
      </c>
    </row>
    <row r="143" spans="1:24" x14ac:dyDescent="0.25">
      <c r="A143">
        <v>141</v>
      </c>
      <c r="B143" t="s">
        <v>774</v>
      </c>
      <c r="C143" t="s">
        <v>675</v>
      </c>
      <c r="D143">
        <v>40.059448529999898</v>
      </c>
      <c r="E143">
        <v>-82.404873050000006</v>
      </c>
      <c r="F143">
        <v>604.6</v>
      </c>
      <c r="G143">
        <v>1984</v>
      </c>
      <c r="I143" t="s">
        <v>4274</v>
      </c>
      <c r="J143" t="s">
        <v>4275</v>
      </c>
      <c r="K143">
        <v>159317</v>
      </c>
      <c r="L143" t="s">
        <v>3961</v>
      </c>
      <c r="M143" t="s">
        <v>3917</v>
      </c>
      <c r="N143" t="s">
        <v>3906</v>
      </c>
      <c r="O143">
        <v>69</v>
      </c>
      <c r="P143" t="s">
        <v>3904</v>
      </c>
      <c r="Q143" t="s">
        <v>3973</v>
      </c>
      <c r="R143" t="s">
        <v>3408</v>
      </c>
      <c r="S143">
        <v>3363.1</v>
      </c>
      <c r="T143">
        <v>138</v>
      </c>
      <c r="U143" t="s">
        <v>4154</v>
      </c>
      <c r="V143">
        <v>116448</v>
      </c>
      <c r="W143" t="s">
        <v>3917</v>
      </c>
      <c r="X143" t="s">
        <v>3907</v>
      </c>
    </row>
    <row r="144" spans="1:24" x14ac:dyDescent="0.25">
      <c r="A144">
        <v>142</v>
      </c>
      <c r="B144" t="s">
        <v>782</v>
      </c>
      <c r="C144" t="s">
        <v>675</v>
      </c>
      <c r="D144">
        <v>40.0575081</v>
      </c>
      <c r="E144">
        <v>-82.427187939999897</v>
      </c>
      <c r="F144">
        <v>1579.9</v>
      </c>
      <c r="G144">
        <v>5183</v>
      </c>
      <c r="I144" t="s">
        <v>4275</v>
      </c>
      <c r="J144" t="s">
        <v>4276</v>
      </c>
      <c r="K144">
        <v>173746</v>
      </c>
      <c r="L144" t="s">
        <v>3972</v>
      </c>
      <c r="M144" t="s">
        <v>3917</v>
      </c>
      <c r="N144" t="s">
        <v>3906</v>
      </c>
      <c r="O144">
        <v>69</v>
      </c>
      <c r="P144" t="s">
        <v>3904</v>
      </c>
      <c r="Q144" t="s">
        <v>3973</v>
      </c>
      <c r="R144" t="s">
        <v>3408</v>
      </c>
      <c r="S144">
        <v>3575</v>
      </c>
      <c r="T144">
        <v>138</v>
      </c>
      <c r="U144" t="s">
        <v>4154</v>
      </c>
      <c r="V144">
        <v>119692</v>
      </c>
      <c r="W144" t="s">
        <v>3917</v>
      </c>
      <c r="X144" t="s">
        <v>3907</v>
      </c>
    </row>
    <row r="145" spans="1:24" hidden="1" x14ac:dyDescent="0.25">
      <c r="A145">
        <v>143</v>
      </c>
      <c r="B145" t="s">
        <v>786</v>
      </c>
      <c r="C145" t="s">
        <v>675</v>
      </c>
      <c r="D145">
        <v>40.013564850000002</v>
      </c>
      <c r="E145">
        <v>-82.404617729999899</v>
      </c>
      <c r="F145">
        <v>1691.7</v>
      </c>
      <c r="G145">
        <v>5550</v>
      </c>
      <c r="H145" t="s">
        <v>4277</v>
      </c>
      <c r="I145" t="s">
        <v>4277</v>
      </c>
      <c r="J145" t="s">
        <v>4278</v>
      </c>
      <c r="K145">
        <v>159495</v>
      </c>
      <c r="L145" t="s">
        <v>3961</v>
      </c>
      <c r="M145" t="s">
        <v>3908</v>
      </c>
      <c r="N145" t="s">
        <v>3906</v>
      </c>
      <c r="O145">
        <v>69</v>
      </c>
      <c r="P145" t="s">
        <v>3904</v>
      </c>
      <c r="Q145" t="s">
        <v>3973</v>
      </c>
      <c r="R145" t="s">
        <v>3408</v>
      </c>
      <c r="S145">
        <v>1692.6</v>
      </c>
      <c r="T145">
        <v>138</v>
      </c>
      <c r="U145" t="s">
        <v>4279</v>
      </c>
      <c r="V145">
        <v>104867</v>
      </c>
      <c r="W145" t="s">
        <v>3917</v>
      </c>
      <c r="X145" t="s">
        <v>3907</v>
      </c>
    </row>
    <row r="146" spans="1:24" hidden="1" x14ac:dyDescent="0.25">
      <c r="A146">
        <v>144</v>
      </c>
      <c r="B146" t="s">
        <v>778</v>
      </c>
      <c r="C146" t="s">
        <v>675</v>
      </c>
      <c r="D146">
        <v>40.086893510000003</v>
      </c>
      <c r="E146">
        <v>-82.42710726</v>
      </c>
      <c r="F146">
        <v>648.1</v>
      </c>
      <c r="G146">
        <v>2126</v>
      </c>
      <c r="H146" t="s">
        <v>4154</v>
      </c>
      <c r="I146" t="s">
        <v>4280</v>
      </c>
      <c r="J146" t="s">
        <v>4154</v>
      </c>
      <c r="K146">
        <v>116448</v>
      </c>
      <c r="L146" t="s">
        <v>3972</v>
      </c>
      <c r="M146" t="s">
        <v>3917</v>
      </c>
      <c r="N146" t="s">
        <v>3906</v>
      </c>
      <c r="O146">
        <v>138</v>
      </c>
      <c r="P146" t="s">
        <v>3911</v>
      </c>
      <c r="Q146" t="s">
        <v>3973</v>
      </c>
      <c r="R146" t="s">
        <v>3408</v>
      </c>
      <c r="S146">
        <v>648.1</v>
      </c>
      <c r="T146">
        <v>138</v>
      </c>
      <c r="U146" t="s">
        <v>4154</v>
      </c>
      <c r="V146">
        <v>116448</v>
      </c>
      <c r="W146" t="s">
        <v>3917</v>
      </c>
      <c r="X146" t="s">
        <v>3907</v>
      </c>
    </row>
    <row r="147" spans="1:24" x14ac:dyDescent="0.25">
      <c r="A147">
        <v>145</v>
      </c>
      <c r="B147" t="s">
        <v>769</v>
      </c>
      <c r="C147" t="s">
        <v>675</v>
      </c>
      <c r="D147">
        <v>40.041316889999898</v>
      </c>
      <c r="E147">
        <v>-82.441717960000005</v>
      </c>
      <c r="F147">
        <v>763.7</v>
      </c>
      <c r="G147">
        <v>2506</v>
      </c>
      <c r="I147" t="s">
        <v>4280</v>
      </c>
      <c r="J147" t="s">
        <v>4281</v>
      </c>
      <c r="K147">
        <v>159321</v>
      </c>
      <c r="L147" t="s">
        <v>3961</v>
      </c>
      <c r="M147" t="s">
        <v>3917</v>
      </c>
      <c r="N147" t="s">
        <v>3906</v>
      </c>
      <c r="O147">
        <v>69</v>
      </c>
      <c r="P147" t="s">
        <v>3904</v>
      </c>
      <c r="Q147" t="s">
        <v>3973</v>
      </c>
      <c r="R147" t="s">
        <v>3408</v>
      </c>
      <c r="S147">
        <v>2521.6</v>
      </c>
      <c r="T147">
        <v>138</v>
      </c>
      <c r="U147" t="s">
        <v>4282</v>
      </c>
      <c r="V147">
        <v>126818</v>
      </c>
      <c r="W147" t="s">
        <v>3917</v>
      </c>
      <c r="X147" t="s">
        <v>3907</v>
      </c>
    </row>
    <row r="148" spans="1:24" x14ac:dyDescent="0.25">
      <c r="A148">
        <v>146</v>
      </c>
      <c r="B148" t="s">
        <v>477</v>
      </c>
      <c r="C148" t="s">
        <v>328</v>
      </c>
      <c r="D148">
        <v>41.698331500000002</v>
      </c>
      <c r="E148">
        <v>-93.054485650000004</v>
      </c>
      <c r="F148">
        <v>749.6</v>
      </c>
      <c r="G148">
        <v>2459</v>
      </c>
      <c r="I148" t="s">
        <v>4283</v>
      </c>
      <c r="J148" t="s">
        <v>4284</v>
      </c>
      <c r="K148">
        <v>111063</v>
      </c>
      <c r="L148" t="s">
        <v>3961</v>
      </c>
      <c r="M148" t="s">
        <v>3912</v>
      </c>
      <c r="N148" t="s">
        <v>3906</v>
      </c>
      <c r="O148">
        <v>-999999</v>
      </c>
      <c r="P148" t="s">
        <v>3908</v>
      </c>
      <c r="Q148" t="s">
        <v>3966</v>
      </c>
      <c r="R148" t="s">
        <v>3967</v>
      </c>
      <c r="S148">
        <v>757.9</v>
      </c>
      <c r="T148">
        <v>161</v>
      </c>
      <c r="U148" t="s">
        <v>4285</v>
      </c>
      <c r="V148">
        <v>102676</v>
      </c>
      <c r="W148" t="s">
        <v>3912</v>
      </c>
      <c r="X148" t="s">
        <v>3907</v>
      </c>
    </row>
    <row r="149" spans="1:24" hidden="1" x14ac:dyDescent="0.25">
      <c r="A149">
        <v>147</v>
      </c>
      <c r="B149" t="s">
        <v>611</v>
      </c>
      <c r="C149" t="s">
        <v>517</v>
      </c>
      <c r="D149">
        <v>37.8806709099999</v>
      </c>
      <c r="E149">
        <v>-84.572366110000004</v>
      </c>
      <c r="F149">
        <v>1030.0999999999999</v>
      </c>
      <c r="G149">
        <v>3380</v>
      </c>
      <c r="H149" t="s">
        <v>4286</v>
      </c>
      <c r="I149" t="s">
        <v>4287</v>
      </c>
      <c r="J149" t="s">
        <v>4286</v>
      </c>
      <c r="K149">
        <v>164070</v>
      </c>
      <c r="L149" t="s">
        <v>3972</v>
      </c>
      <c r="M149" t="s">
        <v>3910</v>
      </c>
      <c r="N149" t="s">
        <v>3906</v>
      </c>
      <c r="O149">
        <v>69</v>
      </c>
      <c r="P149" t="s">
        <v>3904</v>
      </c>
      <c r="Q149" t="s">
        <v>3973</v>
      </c>
      <c r="R149" t="s">
        <v>3408</v>
      </c>
      <c r="S149">
        <v>2980.2</v>
      </c>
      <c r="T149">
        <v>138</v>
      </c>
      <c r="U149" t="s">
        <v>4288</v>
      </c>
      <c r="V149">
        <v>108551</v>
      </c>
      <c r="W149" t="s">
        <v>3908</v>
      </c>
      <c r="X149" t="s">
        <v>3907</v>
      </c>
    </row>
    <row r="150" spans="1:24" x14ac:dyDescent="0.25">
      <c r="A150">
        <v>148</v>
      </c>
      <c r="B150" t="s">
        <v>965</v>
      </c>
      <c r="C150" t="s">
        <v>905</v>
      </c>
      <c r="D150">
        <v>33.78899947</v>
      </c>
      <c r="E150">
        <v>-97.726498309999897</v>
      </c>
      <c r="F150">
        <v>165.3</v>
      </c>
      <c r="G150">
        <v>542</v>
      </c>
      <c r="I150" t="s">
        <v>4289</v>
      </c>
      <c r="J150" t="s">
        <v>3908</v>
      </c>
      <c r="K150">
        <v>300268</v>
      </c>
      <c r="L150" t="s">
        <v>3972</v>
      </c>
      <c r="M150" t="s">
        <v>3913</v>
      </c>
      <c r="N150" t="s">
        <v>3906</v>
      </c>
      <c r="O150">
        <v>69</v>
      </c>
      <c r="P150" t="s">
        <v>3904</v>
      </c>
      <c r="Q150" t="s">
        <v>3973</v>
      </c>
      <c r="R150" t="s">
        <v>3967</v>
      </c>
      <c r="X150" t="s">
        <v>3907</v>
      </c>
    </row>
    <row r="151" spans="1:24" hidden="1" x14ac:dyDescent="0.25">
      <c r="A151">
        <v>149</v>
      </c>
      <c r="B151" t="s">
        <v>790</v>
      </c>
      <c r="C151" t="s">
        <v>675</v>
      </c>
      <c r="D151">
        <v>41.39099066</v>
      </c>
      <c r="E151">
        <v>-82.019140820000004</v>
      </c>
      <c r="F151">
        <v>2204.1</v>
      </c>
      <c r="G151">
        <v>7231</v>
      </c>
      <c r="H151" t="s">
        <v>4078</v>
      </c>
      <c r="I151" t="s">
        <v>4079</v>
      </c>
      <c r="J151" t="s">
        <v>4080</v>
      </c>
      <c r="K151">
        <v>121264</v>
      </c>
      <c r="L151" t="s">
        <v>3972</v>
      </c>
      <c r="M151" t="s">
        <v>3908</v>
      </c>
      <c r="N151" t="s">
        <v>3906</v>
      </c>
      <c r="O151">
        <v>345</v>
      </c>
      <c r="P151">
        <v>345</v>
      </c>
      <c r="Q151" t="s">
        <v>3973</v>
      </c>
      <c r="R151" t="s">
        <v>3408</v>
      </c>
      <c r="S151">
        <v>2204.1</v>
      </c>
      <c r="T151">
        <v>345</v>
      </c>
      <c r="U151" t="s">
        <v>4078</v>
      </c>
      <c r="V151">
        <v>121264</v>
      </c>
      <c r="W151" t="s">
        <v>3908</v>
      </c>
      <c r="X151" t="s">
        <v>3907</v>
      </c>
    </row>
    <row r="152" spans="1:24" hidden="1" x14ac:dyDescent="0.25">
      <c r="A152">
        <v>150</v>
      </c>
      <c r="B152" t="s">
        <v>795</v>
      </c>
      <c r="C152" t="s">
        <v>675</v>
      </c>
      <c r="D152">
        <v>41.314744480000002</v>
      </c>
      <c r="E152">
        <v>-81.537039320000005</v>
      </c>
      <c r="F152">
        <v>889</v>
      </c>
      <c r="G152">
        <v>2917</v>
      </c>
      <c r="H152" t="s">
        <v>4290</v>
      </c>
      <c r="I152" t="s">
        <v>4003</v>
      </c>
      <c r="J152" t="s">
        <v>4290</v>
      </c>
      <c r="K152">
        <v>124280</v>
      </c>
      <c r="L152" t="s">
        <v>3972</v>
      </c>
      <c r="M152" t="s">
        <v>3908</v>
      </c>
      <c r="N152" t="s">
        <v>3906</v>
      </c>
      <c r="O152">
        <v>345</v>
      </c>
      <c r="P152">
        <v>345</v>
      </c>
      <c r="Q152" t="s">
        <v>3973</v>
      </c>
      <c r="R152" t="s">
        <v>3408</v>
      </c>
      <c r="S152">
        <v>889</v>
      </c>
      <c r="T152">
        <v>345</v>
      </c>
      <c r="U152" t="s">
        <v>4290</v>
      </c>
      <c r="V152">
        <v>124280</v>
      </c>
      <c r="W152" t="s">
        <v>3908</v>
      </c>
      <c r="X152" t="s">
        <v>3907</v>
      </c>
    </row>
    <row r="153" spans="1:24" hidden="1" x14ac:dyDescent="0.25">
      <c r="A153">
        <v>151</v>
      </c>
      <c r="B153" t="s">
        <v>665</v>
      </c>
      <c r="C153" t="s">
        <v>651</v>
      </c>
      <c r="D153">
        <v>35.22668599</v>
      </c>
      <c r="E153">
        <v>-80.12266339</v>
      </c>
      <c r="F153">
        <v>1198.7</v>
      </c>
      <c r="G153">
        <v>3933</v>
      </c>
      <c r="H153" t="s">
        <v>3983</v>
      </c>
      <c r="I153" t="s">
        <v>4291</v>
      </c>
      <c r="J153" t="s">
        <v>3983</v>
      </c>
      <c r="K153">
        <v>120024</v>
      </c>
      <c r="L153" t="s">
        <v>3972</v>
      </c>
      <c r="M153" t="s">
        <v>3908</v>
      </c>
      <c r="N153" t="s">
        <v>3906</v>
      </c>
      <c r="O153">
        <v>100</v>
      </c>
      <c r="P153" t="s">
        <v>3911</v>
      </c>
      <c r="Q153" t="s">
        <v>3973</v>
      </c>
      <c r="R153" t="s">
        <v>3408</v>
      </c>
      <c r="S153">
        <v>1198.7</v>
      </c>
      <c r="T153">
        <v>100</v>
      </c>
      <c r="U153" t="s">
        <v>3983</v>
      </c>
      <c r="V153">
        <v>120024</v>
      </c>
      <c r="W153" t="s">
        <v>3908</v>
      </c>
      <c r="X153" t="s">
        <v>3907</v>
      </c>
    </row>
    <row r="154" spans="1:24" hidden="1" x14ac:dyDescent="0.25">
      <c r="A154">
        <v>152</v>
      </c>
      <c r="B154" t="s">
        <v>616</v>
      </c>
      <c r="C154" t="s">
        <v>517</v>
      </c>
      <c r="D154">
        <v>38.302181390000001</v>
      </c>
      <c r="E154">
        <v>-83.170296109999896</v>
      </c>
      <c r="F154">
        <v>764.2</v>
      </c>
      <c r="G154">
        <v>2507</v>
      </c>
      <c r="H154" t="s">
        <v>4292</v>
      </c>
      <c r="I154" t="s">
        <v>4292</v>
      </c>
      <c r="J154" t="s">
        <v>4293</v>
      </c>
      <c r="K154">
        <v>141791</v>
      </c>
      <c r="L154" t="s">
        <v>3972</v>
      </c>
      <c r="M154" t="s">
        <v>3914</v>
      </c>
      <c r="N154" t="s">
        <v>3906</v>
      </c>
      <c r="O154">
        <v>69</v>
      </c>
      <c r="P154" t="s">
        <v>3904</v>
      </c>
      <c r="Q154" t="s">
        <v>3973</v>
      </c>
      <c r="R154" t="s">
        <v>3408</v>
      </c>
      <c r="X154" t="s">
        <v>3907</v>
      </c>
    </row>
    <row r="155" spans="1:24" hidden="1" x14ac:dyDescent="0.25">
      <c r="A155">
        <v>153</v>
      </c>
      <c r="B155" t="s">
        <v>621</v>
      </c>
      <c r="C155" t="s">
        <v>517</v>
      </c>
      <c r="D155">
        <v>38.141086369999897</v>
      </c>
      <c r="E155">
        <v>-83.765921210000002</v>
      </c>
      <c r="F155">
        <v>393.9</v>
      </c>
      <c r="G155">
        <v>1292</v>
      </c>
      <c r="H155" t="s">
        <v>4294</v>
      </c>
      <c r="I155" t="s">
        <v>4295</v>
      </c>
      <c r="J155" t="s">
        <v>4294</v>
      </c>
      <c r="K155">
        <v>126066</v>
      </c>
      <c r="L155" t="s">
        <v>3972</v>
      </c>
      <c r="M155" t="s">
        <v>3908</v>
      </c>
      <c r="N155" t="s">
        <v>3906</v>
      </c>
      <c r="O155">
        <v>69</v>
      </c>
      <c r="P155" t="s">
        <v>3904</v>
      </c>
      <c r="Q155" t="s">
        <v>3973</v>
      </c>
      <c r="R155" t="s">
        <v>3408</v>
      </c>
      <c r="S155">
        <v>3983.7</v>
      </c>
      <c r="T155">
        <v>138</v>
      </c>
      <c r="U155" t="s">
        <v>4296</v>
      </c>
      <c r="V155">
        <v>118311</v>
      </c>
      <c r="W155" t="s">
        <v>3910</v>
      </c>
      <c r="X155" t="s">
        <v>3907</v>
      </c>
    </row>
    <row r="156" spans="1:24" x14ac:dyDescent="0.25">
      <c r="A156">
        <v>154</v>
      </c>
      <c r="B156" t="s">
        <v>800</v>
      </c>
      <c r="C156" t="s">
        <v>675</v>
      </c>
      <c r="D156">
        <v>41.136055659999897</v>
      </c>
      <c r="E156">
        <v>-84.581590090000006</v>
      </c>
      <c r="F156">
        <v>1047.5</v>
      </c>
      <c r="G156">
        <v>3437</v>
      </c>
      <c r="I156" t="s">
        <v>4297</v>
      </c>
      <c r="J156" t="s">
        <v>4056</v>
      </c>
      <c r="K156">
        <v>173824</v>
      </c>
      <c r="L156" t="s">
        <v>3972</v>
      </c>
      <c r="M156" t="s">
        <v>3917</v>
      </c>
      <c r="N156" t="s">
        <v>3906</v>
      </c>
      <c r="O156">
        <v>-999999</v>
      </c>
      <c r="P156" t="s">
        <v>3908</v>
      </c>
      <c r="Q156" t="s">
        <v>3966</v>
      </c>
      <c r="R156" t="s">
        <v>3967</v>
      </c>
      <c r="S156">
        <v>13110.3</v>
      </c>
      <c r="T156">
        <v>138</v>
      </c>
      <c r="U156" t="s">
        <v>4298</v>
      </c>
      <c r="V156">
        <v>164636</v>
      </c>
      <c r="W156" t="s">
        <v>3917</v>
      </c>
      <c r="X156" t="s">
        <v>3907</v>
      </c>
    </row>
    <row r="157" spans="1:24" x14ac:dyDescent="0.25">
      <c r="A157">
        <v>155</v>
      </c>
      <c r="B157" t="s">
        <v>971</v>
      </c>
      <c r="C157" t="s">
        <v>905</v>
      </c>
      <c r="D157">
        <v>31.40444183</v>
      </c>
      <c r="E157">
        <v>-103.5034902</v>
      </c>
      <c r="F157">
        <v>374</v>
      </c>
      <c r="G157">
        <v>1227</v>
      </c>
      <c r="I157" t="s">
        <v>4299</v>
      </c>
      <c r="J157" t="s">
        <v>3908</v>
      </c>
      <c r="K157">
        <v>312260</v>
      </c>
      <c r="L157" t="s">
        <v>3972</v>
      </c>
      <c r="M157" t="s">
        <v>3940</v>
      </c>
      <c r="N157" t="s">
        <v>3906</v>
      </c>
      <c r="O157">
        <v>46</v>
      </c>
      <c r="P157" t="s">
        <v>3904</v>
      </c>
      <c r="Q157" t="s">
        <v>3973</v>
      </c>
      <c r="R157" t="s">
        <v>3967</v>
      </c>
      <c r="S157">
        <v>1134.5999999999999</v>
      </c>
      <c r="T157">
        <v>138</v>
      </c>
      <c r="U157" t="s">
        <v>4300</v>
      </c>
      <c r="V157">
        <v>300753</v>
      </c>
      <c r="W157" t="s">
        <v>3940</v>
      </c>
      <c r="X157" t="s">
        <v>3907</v>
      </c>
    </row>
    <row r="158" spans="1:24" hidden="1" x14ac:dyDescent="0.25">
      <c r="A158">
        <v>156</v>
      </c>
      <c r="B158" t="s">
        <v>805</v>
      </c>
      <c r="C158" t="s">
        <v>675</v>
      </c>
      <c r="D158">
        <v>41.241245200000002</v>
      </c>
      <c r="E158">
        <v>-81.545441150000002</v>
      </c>
      <c r="F158">
        <v>600.1</v>
      </c>
      <c r="G158">
        <v>1969</v>
      </c>
      <c r="H158" t="s">
        <v>4301</v>
      </c>
      <c r="I158" t="s">
        <v>4302</v>
      </c>
      <c r="J158" t="s">
        <v>4303</v>
      </c>
      <c r="K158">
        <v>102171</v>
      </c>
      <c r="L158" t="s">
        <v>3972</v>
      </c>
      <c r="M158" t="s">
        <v>3908</v>
      </c>
      <c r="N158" t="s">
        <v>3906</v>
      </c>
      <c r="O158">
        <v>138</v>
      </c>
      <c r="P158" t="s">
        <v>3911</v>
      </c>
      <c r="Q158" t="s">
        <v>3973</v>
      </c>
      <c r="R158" t="s">
        <v>3408</v>
      </c>
      <c r="S158">
        <v>600.1</v>
      </c>
      <c r="T158">
        <v>138</v>
      </c>
      <c r="U158" t="s">
        <v>4301</v>
      </c>
      <c r="V158">
        <v>102171</v>
      </c>
      <c r="W158" t="s">
        <v>3908</v>
      </c>
      <c r="X158" t="s">
        <v>3907</v>
      </c>
    </row>
    <row r="159" spans="1:24" hidden="1" x14ac:dyDescent="0.25">
      <c r="A159">
        <v>157</v>
      </c>
      <c r="B159" t="s">
        <v>286</v>
      </c>
      <c r="C159" t="s">
        <v>120</v>
      </c>
      <c r="D159">
        <v>32.435817909999898</v>
      </c>
      <c r="E159">
        <v>-83.7608892599999</v>
      </c>
      <c r="F159">
        <v>1745.4</v>
      </c>
      <c r="G159">
        <v>5726</v>
      </c>
      <c r="H159" t="s">
        <v>4304</v>
      </c>
      <c r="I159" t="s">
        <v>4305</v>
      </c>
      <c r="J159" t="s">
        <v>4306</v>
      </c>
      <c r="K159">
        <v>180291</v>
      </c>
      <c r="L159" t="s">
        <v>3972</v>
      </c>
      <c r="M159" t="s">
        <v>3909</v>
      </c>
      <c r="N159" t="s">
        <v>3906</v>
      </c>
      <c r="O159">
        <v>115</v>
      </c>
      <c r="P159" t="s">
        <v>3911</v>
      </c>
      <c r="Q159" t="s">
        <v>3973</v>
      </c>
      <c r="R159" t="s">
        <v>3408</v>
      </c>
      <c r="S159">
        <v>1745.4</v>
      </c>
      <c r="T159">
        <v>115</v>
      </c>
      <c r="U159" t="s">
        <v>4304</v>
      </c>
      <c r="V159">
        <v>180291</v>
      </c>
      <c r="W159" t="s">
        <v>3909</v>
      </c>
      <c r="X159" t="s">
        <v>3907</v>
      </c>
    </row>
    <row r="160" spans="1:24" hidden="1" x14ac:dyDescent="0.25">
      <c r="A160">
        <v>158</v>
      </c>
      <c r="B160" t="s">
        <v>290</v>
      </c>
      <c r="C160" t="s">
        <v>120</v>
      </c>
      <c r="D160">
        <v>32.457381949999899</v>
      </c>
      <c r="E160">
        <v>-83.73262665</v>
      </c>
      <c r="F160">
        <v>336.4</v>
      </c>
      <c r="G160">
        <v>1104</v>
      </c>
      <c r="H160" t="s">
        <v>4307</v>
      </c>
      <c r="I160" t="s">
        <v>813</v>
      </c>
      <c r="J160" t="s">
        <v>4305</v>
      </c>
      <c r="K160">
        <v>164485</v>
      </c>
      <c r="L160" t="s">
        <v>3972</v>
      </c>
      <c r="M160" t="s">
        <v>3909</v>
      </c>
      <c r="N160" t="s">
        <v>3906</v>
      </c>
      <c r="O160">
        <v>115</v>
      </c>
      <c r="P160" t="s">
        <v>3911</v>
      </c>
      <c r="Q160" t="s">
        <v>3973</v>
      </c>
      <c r="R160" t="s">
        <v>3408</v>
      </c>
      <c r="S160">
        <v>336.4</v>
      </c>
      <c r="T160">
        <v>115</v>
      </c>
      <c r="U160" t="s">
        <v>4307</v>
      </c>
      <c r="V160">
        <v>164485</v>
      </c>
      <c r="W160" t="s">
        <v>3909</v>
      </c>
      <c r="X160" t="s">
        <v>3907</v>
      </c>
    </row>
    <row r="161" spans="1:24" hidden="1" x14ac:dyDescent="0.25">
      <c r="A161">
        <v>159</v>
      </c>
      <c r="B161" t="s">
        <v>810</v>
      </c>
      <c r="C161" t="s">
        <v>675</v>
      </c>
      <c r="D161">
        <v>41.75907565</v>
      </c>
      <c r="E161">
        <v>-81.138529500000004</v>
      </c>
      <c r="F161">
        <v>1352.8</v>
      </c>
      <c r="G161">
        <v>4438</v>
      </c>
      <c r="H161" t="s">
        <v>4308</v>
      </c>
      <c r="I161" t="s">
        <v>813</v>
      </c>
      <c r="J161" t="s">
        <v>4002</v>
      </c>
      <c r="K161">
        <v>156955</v>
      </c>
      <c r="L161" t="s">
        <v>3972</v>
      </c>
      <c r="M161" t="s">
        <v>3915</v>
      </c>
      <c r="N161" t="s">
        <v>3906</v>
      </c>
      <c r="O161">
        <v>345</v>
      </c>
      <c r="P161">
        <v>345</v>
      </c>
      <c r="Q161" t="s">
        <v>3973</v>
      </c>
      <c r="R161" t="s">
        <v>3967</v>
      </c>
      <c r="S161">
        <v>1352.8</v>
      </c>
      <c r="T161">
        <v>345</v>
      </c>
      <c r="U161" t="s">
        <v>4308</v>
      </c>
      <c r="V161">
        <v>156955</v>
      </c>
      <c r="W161" t="s">
        <v>3915</v>
      </c>
      <c r="X161" t="s">
        <v>3907</v>
      </c>
    </row>
    <row r="162" spans="1:24" hidden="1" x14ac:dyDescent="0.25">
      <c r="A162">
        <v>160</v>
      </c>
      <c r="B162" t="s">
        <v>974</v>
      </c>
      <c r="C162" t="s">
        <v>905</v>
      </c>
      <c r="D162">
        <v>36.39730102</v>
      </c>
      <c r="E162">
        <v>-100.803753299999</v>
      </c>
      <c r="F162">
        <v>467.6</v>
      </c>
      <c r="G162">
        <v>1534</v>
      </c>
      <c r="H162" t="s">
        <v>4309</v>
      </c>
      <c r="I162" t="s">
        <v>4309</v>
      </c>
      <c r="J162" t="s">
        <v>3908</v>
      </c>
      <c r="K162">
        <v>306941</v>
      </c>
      <c r="L162" t="s">
        <v>3972</v>
      </c>
      <c r="M162" t="s">
        <v>3931</v>
      </c>
      <c r="N162" t="s">
        <v>3906</v>
      </c>
      <c r="O162">
        <v>115</v>
      </c>
      <c r="P162" t="s">
        <v>3911</v>
      </c>
      <c r="Q162" t="s">
        <v>3973</v>
      </c>
      <c r="R162" t="s">
        <v>3967</v>
      </c>
      <c r="S162">
        <v>467.6</v>
      </c>
      <c r="T162">
        <v>115</v>
      </c>
      <c r="U162" t="s">
        <v>4309</v>
      </c>
      <c r="V162">
        <v>306941</v>
      </c>
      <c r="W162" t="s">
        <v>3931</v>
      </c>
      <c r="X162" t="s">
        <v>3907</v>
      </c>
    </row>
    <row r="163" spans="1:24" hidden="1" x14ac:dyDescent="0.25">
      <c r="A163">
        <v>161</v>
      </c>
      <c r="B163" t="s">
        <v>482</v>
      </c>
      <c r="C163" t="s">
        <v>328</v>
      </c>
      <c r="D163">
        <v>41.580036010000001</v>
      </c>
      <c r="E163">
        <v>-95.568549090000005</v>
      </c>
      <c r="F163">
        <v>6486.1</v>
      </c>
      <c r="G163">
        <v>21280</v>
      </c>
      <c r="H163" t="s">
        <v>4310</v>
      </c>
      <c r="I163" t="s">
        <v>4311</v>
      </c>
      <c r="J163" t="s">
        <v>4312</v>
      </c>
      <c r="K163">
        <v>162669</v>
      </c>
      <c r="L163" t="s">
        <v>3972</v>
      </c>
      <c r="M163" t="s">
        <v>3912</v>
      </c>
      <c r="N163" t="s">
        <v>3906</v>
      </c>
      <c r="O163">
        <v>69</v>
      </c>
      <c r="P163" t="s">
        <v>3904</v>
      </c>
      <c r="Q163" t="s">
        <v>3973</v>
      </c>
      <c r="R163" t="s">
        <v>3408</v>
      </c>
      <c r="X163" t="s">
        <v>3907</v>
      </c>
    </row>
    <row r="164" spans="1:24" hidden="1" x14ac:dyDescent="0.25">
      <c r="A164">
        <v>162</v>
      </c>
      <c r="B164" t="s">
        <v>294</v>
      </c>
      <c r="C164" t="s">
        <v>120</v>
      </c>
      <c r="D164">
        <v>31.94497002</v>
      </c>
      <c r="E164">
        <v>-83.541385329999898</v>
      </c>
      <c r="F164">
        <v>1759.5</v>
      </c>
      <c r="G164">
        <v>5773</v>
      </c>
      <c r="H164" t="s">
        <v>4313</v>
      </c>
      <c r="I164" t="s">
        <v>4314</v>
      </c>
      <c r="J164" t="s">
        <v>4315</v>
      </c>
      <c r="K164">
        <v>137096</v>
      </c>
      <c r="L164" t="s">
        <v>3972</v>
      </c>
      <c r="M164" t="s">
        <v>3909</v>
      </c>
      <c r="N164" t="s">
        <v>3906</v>
      </c>
      <c r="O164">
        <v>230</v>
      </c>
      <c r="P164" t="s">
        <v>3923</v>
      </c>
      <c r="Q164" t="s">
        <v>3973</v>
      </c>
      <c r="R164" t="s">
        <v>3408</v>
      </c>
      <c r="S164">
        <v>1759.5</v>
      </c>
      <c r="T164">
        <v>230</v>
      </c>
      <c r="U164" t="s">
        <v>4313</v>
      </c>
      <c r="V164">
        <v>137096</v>
      </c>
      <c r="W164" t="s">
        <v>3909</v>
      </c>
      <c r="X164" t="s">
        <v>3907</v>
      </c>
    </row>
    <row r="165" spans="1:24" hidden="1" x14ac:dyDescent="0.25">
      <c r="A165">
        <v>163</v>
      </c>
      <c r="B165" t="s">
        <v>869</v>
      </c>
      <c r="C165" t="s">
        <v>838</v>
      </c>
      <c r="D165">
        <v>35.020795929999899</v>
      </c>
      <c r="E165">
        <v>-94.659924540000006</v>
      </c>
      <c r="F165">
        <v>2811.2</v>
      </c>
      <c r="G165">
        <v>9223</v>
      </c>
      <c r="H165" t="s">
        <v>4316</v>
      </c>
      <c r="I165" t="s">
        <v>4316</v>
      </c>
      <c r="J165" t="s">
        <v>4317</v>
      </c>
      <c r="K165">
        <v>162269</v>
      </c>
      <c r="L165" t="s">
        <v>3972</v>
      </c>
      <c r="M165" t="s">
        <v>3908</v>
      </c>
      <c r="N165" t="s">
        <v>3906</v>
      </c>
      <c r="O165">
        <v>69</v>
      </c>
      <c r="P165" t="s">
        <v>3904</v>
      </c>
      <c r="Q165" t="s">
        <v>3973</v>
      </c>
      <c r="R165" t="s">
        <v>3408</v>
      </c>
      <c r="S165">
        <v>10144.1</v>
      </c>
      <c r="T165">
        <v>161</v>
      </c>
      <c r="U165" t="s">
        <v>4318</v>
      </c>
      <c r="V165">
        <v>128031</v>
      </c>
      <c r="W165" t="s">
        <v>3908</v>
      </c>
      <c r="X165" t="s">
        <v>3907</v>
      </c>
    </row>
    <row r="166" spans="1:24" x14ac:dyDescent="0.25">
      <c r="A166">
        <v>164</v>
      </c>
      <c r="B166" t="s">
        <v>873</v>
      </c>
      <c r="C166" t="s">
        <v>838</v>
      </c>
      <c r="D166">
        <v>35.0521843699999</v>
      </c>
      <c r="E166">
        <v>-94.620262949999898</v>
      </c>
      <c r="F166">
        <v>798.4</v>
      </c>
      <c r="G166">
        <v>2620</v>
      </c>
      <c r="I166" t="s">
        <v>4317</v>
      </c>
      <c r="J166" t="s">
        <v>4319</v>
      </c>
      <c r="K166">
        <v>162268</v>
      </c>
      <c r="L166" t="s">
        <v>3972</v>
      </c>
      <c r="M166" t="s">
        <v>3908</v>
      </c>
      <c r="N166" t="s">
        <v>3906</v>
      </c>
      <c r="O166">
        <v>69</v>
      </c>
      <c r="P166" t="s">
        <v>3904</v>
      </c>
      <c r="Q166" t="s">
        <v>3973</v>
      </c>
      <c r="R166" t="s">
        <v>3408</v>
      </c>
      <c r="S166">
        <v>6970.5</v>
      </c>
      <c r="T166">
        <v>161</v>
      </c>
      <c r="U166" t="s">
        <v>4320</v>
      </c>
      <c r="V166">
        <v>130637</v>
      </c>
      <c r="W166" t="s">
        <v>3908</v>
      </c>
      <c r="X166" t="s">
        <v>3907</v>
      </c>
    </row>
    <row r="167" spans="1:24" hidden="1" x14ac:dyDescent="0.25">
      <c r="A167">
        <v>165</v>
      </c>
      <c r="B167" t="s">
        <v>815</v>
      </c>
      <c r="C167" t="s">
        <v>675</v>
      </c>
      <c r="D167">
        <v>39.865950759999897</v>
      </c>
      <c r="E167">
        <v>-80.799010460000005</v>
      </c>
      <c r="F167">
        <v>1074.7</v>
      </c>
      <c r="G167">
        <v>3526</v>
      </c>
      <c r="H167" t="s">
        <v>4321</v>
      </c>
      <c r="I167" t="s">
        <v>4322</v>
      </c>
      <c r="J167" t="s">
        <v>4323</v>
      </c>
      <c r="K167">
        <v>123291</v>
      </c>
      <c r="L167" t="s">
        <v>3972</v>
      </c>
      <c r="M167" t="s">
        <v>3941</v>
      </c>
      <c r="N167" t="s">
        <v>3906</v>
      </c>
      <c r="O167">
        <v>69</v>
      </c>
      <c r="P167" t="s">
        <v>3904</v>
      </c>
      <c r="Q167" t="s">
        <v>3973</v>
      </c>
      <c r="R167" t="s">
        <v>3967</v>
      </c>
      <c r="S167">
        <v>2160.3000000000002</v>
      </c>
      <c r="T167">
        <v>138</v>
      </c>
      <c r="U167" t="s">
        <v>4321</v>
      </c>
      <c r="V167">
        <v>127257</v>
      </c>
      <c r="W167" t="s">
        <v>3941</v>
      </c>
      <c r="X167" t="s">
        <v>3907</v>
      </c>
    </row>
    <row r="168" spans="1:24" hidden="1" x14ac:dyDescent="0.25">
      <c r="A168">
        <v>166</v>
      </c>
      <c r="B168" t="s">
        <v>877</v>
      </c>
      <c r="C168" t="s">
        <v>838</v>
      </c>
      <c r="D168">
        <v>35.011336839999899</v>
      </c>
      <c r="E168">
        <v>-97.363658860000001</v>
      </c>
      <c r="F168">
        <v>1162.4000000000001</v>
      </c>
      <c r="G168">
        <v>3814</v>
      </c>
      <c r="H168" t="s">
        <v>4324</v>
      </c>
      <c r="I168" t="s">
        <v>4325</v>
      </c>
      <c r="J168" t="s">
        <v>4324</v>
      </c>
      <c r="K168">
        <v>161653</v>
      </c>
      <c r="L168" t="s">
        <v>3972</v>
      </c>
      <c r="M168" t="s">
        <v>3908</v>
      </c>
      <c r="N168" t="s">
        <v>3906</v>
      </c>
      <c r="O168">
        <v>138</v>
      </c>
      <c r="P168" t="s">
        <v>3911</v>
      </c>
      <c r="Q168" t="s">
        <v>3973</v>
      </c>
      <c r="R168" t="s">
        <v>3408</v>
      </c>
      <c r="S168">
        <v>1162.4000000000001</v>
      </c>
      <c r="T168">
        <v>138</v>
      </c>
      <c r="U168" t="s">
        <v>4324</v>
      </c>
      <c r="V168">
        <v>161653</v>
      </c>
      <c r="W168" t="s">
        <v>3908</v>
      </c>
      <c r="X168" t="s">
        <v>3907</v>
      </c>
    </row>
    <row r="169" spans="1:24" hidden="1" x14ac:dyDescent="0.25">
      <c r="A169">
        <v>167</v>
      </c>
      <c r="B169" t="s">
        <v>820</v>
      </c>
      <c r="C169" t="s">
        <v>675</v>
      </c>
      <c r="D169">
        <v>39.970518050000003</v>
      </c>
      <c r="E169">
        <v>-81.298609630000001</v>
      </c>
      <c r="F169">
        <v>3149.7</v>
      </c>
      <c r="G169">
        <v>10334</v>
      </c>
      <c r="H169" t="s">
        <v>4326</v>
      </c>
      <c r="I169" t="s">
        <v>4327</v>
      </c>
      <c r="J169" t="s">
        <v>4326</v>
      </c>
      <c r="K169">
        <v>133972</v>
      </c>
      <c r="L169" t="s">
        <v>3972</v>
      </c>
      <c r="M169" t="s">
        <v>3908</v>
      </c>
      <c r="N169" t="s">
        <v>3906</v>
      </c>
      <c r="O169">
        <v>765</v>
      </c>
      <c r="P169" t="s">
        <v>3942</v>
      </c>
      <c r="Q169" t="s">
        <v>3973</v>
      </c>
      <c r="R169" t="s">
        <v>3967</v>
      </c>
      <c r="S169">
        <v>3149.7</v>
      </c>
      <c r="T169">
        <v>765</v>
      </c>
      <c r="U169" t="s">
        <v>4326</v>
      </c>
      <c r="V169">
        <v>133972</v>
      </c>
      <c r="W169" t="s">
        <v>3908</v>
      </c>
      <c r="X169" t="s">
        <v>3907</v>
      </c>
    </row>
    <row r="170" spans="1:24" hidden="1" x14ac:dyDescent="0.25">
      <c r="A170">
        <v>168</v>
      </c>
      <c r="B170" t="s">
        <v>3106</v>
      </c>
      <c r="C170" t="s">
        <v>675</v>
      </c>
      <c r="D170">
        <v>41.239257170000002</v>
      </c>
      <c r="E170">
        <v>-81.655757600000001</v>
      </c>
      <c r="F170">
        <v>2216.4</v>
      </c>
      <c r="G170">
        <v>7272</v>
      </c>
      <c r="H170" t="s">
        <v>4328</v>
      </c>
      <c r="I170" t="s">
        <v>4329</v>
      </c>
      <c r="J170" t="s">
        <v>4330</v>
      </c>
      <c r="K170">
        <v>130380</v>
      </c>
      <c r="L170" t="s">
        <v>3972</v>
      </c>
      <c r="M170" t="s">
        <v>3908</v>
      </c>
      <c r="N170" t="s">
        <v>3906</v>
      </c>
      <c r="O170">
        <v>138</v>
      </c>
      <c r="P170" t="s">
        <v>3911</v>
      </c>
      <c r="Q170" t="s">
        <v>3973</v>
      </c>
      <c r="R170" t="s">
        <v>3408</v>
      </c>
      <c r="S170">
        <v>2216.4</v>
      </c>
      <c r="T170">
        <v>138</v>
      </c>
      <c r="U170" t="s">
        <v>4328</v>
      </c>
      <c r="V170">
        <v>130380</v>
      </c>
      <c r="W170" t="s">
        <v>3908</v>
      </c>
      <c r="X170" t="s">
        <v>3907</v>
      </c>
    </row>
    <row r="171" spans="1:24" x14ac:dyDescent="0.25">
      <c r="A171">
        <v>169</v>
      </c>
      <c r="B171" t="s">
        <v>979</v>
      </c>
      <c r="C171" t="s">
        <v>905</v>
      </c>
      <c r="D171">
        <v>30.85154</v>
      </c>
      <c r="E171">
        <v>-95.400120000000001</v>
      </c>
      <c r="F171">
        <v>800.5</v>
      </c>
      <c r="G171">
        <v>2626</v>
      </c>
      <c r="I171" t="s">
        <v>3908</v>
      </c>
      <c r="J171" t="s">
        <v>3908</v>
      </c>
      <c r="K171">
        <v>313722</v>
      </c>
      <c r="L171" t="s">
        <v>3972</v>
      </c>
      <c r="M171" t="s">
        <v>3943</v>
      </c>
      <c r="N171" t="s">
        <v>3908</v>
      </c>
      <c r="O171">
        <v>69</v>
      </c>
      <c r="P171" t="s">
        <v>3904</v>
      </c>
      <c r="Q171" t="s">
        <v>3973</v>
      </c>
      <c r="R171" t="s">
        <v>3967</v>
      </c>
      <c r="S171">
        <v>810.9</v>
      </c>
      <c r="T171">
        <v>138</v>
      </c>
      <c r="V171">
        <v>304605</v>
      </c>
      <c r="W171" t="s">
        <v>3934</v>
      </c>
      <c r="X171" t="s">
        <v>3907</v>
      </c>
    </row>
    <row r="172" spans="1:24" x14ac:dyDescent="0.25">
      <c r="A172">
        <v>170</v>
      </c>
      <c r="B172" t="s">
        <v>670</v>
      </c>
      <c r="C172" t="s">
        <v>651</v>
      </c>
      <c r="D172">
        <v>35.572010749999897</v>
      </c>
      <c r="E172">
        <v>-80.417841600000003</v>
      </c>
      <c r="F172">
        <v>1563.9</v>
      </c>
      <c r="G172">
        <v>5131</v>
      </c>
      <c r="I172" t="s">
        <v>4331</v>
      </c>
      <c r="J172" t="s">
        <v>4332</v>
      </c>
      <c r="K172">
        <v>137895</v>
      </c>
      <c r="L172" t="s">
        <v>3972</v>
      </c>
      <c r="M172" t="s">
        <v>3927</v>
      </c>
      <c r="N172" t="s">
        <v>3906</v>
      </c>
      <c r="O172">
        <v>230</v>
      </c>
      <c r="P172" t="s">
        <v>3923</v>
      </c>
      <c r="Q172" t="s">
        <v>3973</v>
      </c>
      <c r="R172" t="s">
        <v>3408</v>
      </c>
      <c r="S172">
        <v>1563.9</v>
      </c>
      <c r="T172">
        <v>230</v>
      </c>
      <c r="V172">
        <v>137895</v>
      </c>
      <c r="W172" t="s">
        <v>3927</v>
      </c>
      <c r="X172" t="s">
        <v>3907</v>
      </c>
    </row>
    <row r="173" spans="1:24" hidden="1" x14ac:dyDescent="0.25">
      <c r="A173">
        <v>171</v>
      </c>
      <c r="B173" t="s">
        <v>983</v>
      </c>
      <c r="C173" t="s">
        <v>905</v>
      </c>
      <c r="D173">
        <v>33.591359410000003</v>
      </c>
      <c r="E173">
        <v>-99.260072769999894</v>
      </c>
      <c r="F173">
        <v>325.39999999999998</v>
      </c>
      <c r="G173">
        <v>1068</v>
      </c>
      <c r="H173" t="s">
        <v>4333</v>
      </c>
      <c r="I173" t="s">
        <v>4333</v>
      </c>
      <c r="J173" t="s">
        <v>4334</v>
      </c>
      <c r="K173">
        <v>300212</v>
      </c>
      <c r="L173" t="s">
        <v>3972</v>
      </c>
      <c r="M173" t="s">
        <v>3908</v>
      </c>
      <c r="N173" t="s">
        <v>3906</v>
      </c>
      <c r="O173">
        <v>138</v>
      </c>
      <c r="P173" t="s">
        <v>3911</v>
      </c>
      <c r="Q173" t="s">
        <v>3973</v>
      </c>
      <c r="R173" t="s">
        <v>3967</v>
      </c>
      <c r="S173">
        <v>325.39999999999998</v>
      </c>
      <c r="T173">
        <v>138</v>
      </c>
      <c r="U173" t="s">
        <v>4333</v>
      </c>
      <c r="V173">
        <v>300212</v>
      </c>
      <c r="W173" t="s">
        <v>3908</v>
      </c>
      <c r="X173" t="s">
        <v>3907</v>
      </c>
    </row>
    <row r="174" spans="1:24" hidden="1" x14ac:dyDescent="0.25">
      <c r="A174">
        <v>172</v>
      </c>
      <c r="B174" t="s">
        <v>626</v>
      </c>
      <c r="C174" t="s">
        <v>517</v>
      </c>
      <c r="D174">
        <v>37.990264840000002</v>
      </c>
      <c r="E174">
        <v>-85.715790709999894</v>
      </c>
      <c r="F174">
        <v>1061.5</v>
      </c>
      <c r="G174">
        <v>3483</v>
      </c>
      <c r="H174" t="s">
        <v>4335</v>
      </c>
      <c r="I174" t="s">
        <v>4336</v>
      </c>
      <c r="J174" t="s">
        <v>4335</v>
      </c>
      <c r="K174">
        <v>122569</v>
      </c>
      <c r="L174" t="s">
        <v>3972</v>
      </c>
      <c r="M174" t="s">
        <v>3908</v>
      </c>
      <c r="N174" t="s">
        <v>3906</v>
      </c>
      <c r="O174">
        <v>69</v>
      </c>
      <c r="P174" t="s">
        <v>3904</v>
      </c>
      <c r="Q174" t="s">
        <v>3973</v>
      </c>
      <c r="R174" t="s">
        <v>3408</v>
      </c>
      <c r="S174">
        <v>2550.6</v>
      </c>
      <c r="T174">
        <v>161</v>
      </c>
      <c r="U174" t="s">
        <v>4337</v>
      </c>
      <c r="V174">
        <v>142163</v>
      </c>
      <c r="W174" t="s">
        <v>3908</v>
      </c>
      <c r="X174" t="s">
        <v>3907</v>
      </c>
    </row>
    <row r="175" spans="1:24" hidden="1" x14ac:dyDescent="0.25">
      <c r="A175">
        <v>173</v>
      </c>
      <c r="B175" t="s">
        <v>66</v>
      </c>
      <c r="C175" t="s">
        <v>35</v>
      </c>
      <c r="D175">
        <v>34.306508639999898</v>
      </c>
      <c r="E175">
        <v>-92.398274000000001</v>
      </c>
      <c r="F175">
        <v>892.2</v>
      </c>
      <c r="G175">
        <v>2927</v>
      </c>
      <c r="H175" t="s">
        <v>4338</v>
      </c>
      <c r="I175" t="s">
        <v>4339</v>
      </c>
      <c r="J175" t="s">
        <v>4340</v>
      </c>
      <c r="K175">
        <v>145828</v>
      </c>
      <c r="L175" t="s">
        <v>3972</v>
      </c>
      <c r="M175" t="s">
        <v>3929</v>
      </c>
      <c r="N175" t="s">
        <v>3906</v>
      </c>
      <c r="O175">
        <v>115</v>
      </c>
      <c r="P175" t="s">
        <v>3911</v>
      </c>
      <c r="Q175" t="s">
        <v>3973</v>
      </c>
      <c r="R175" t="s">
        <v>3408</v>
      </c>
      <c r="S175">
        <v>892.2</v>
      </c>
      <c r="T175">
        <v>115</v>
      </c>
      <c r="U175" t="s">
        <v>4338</v>
      </c>
      <c r="V175">
        <v>145828</v>
      </c>
      <c r="W175" t="s">
        <v>3929</v>
      </c>
      <c r="X175" t="s">
        <v>3907</v>
      </c>
    </row>
    <row r="176" spans="1:24" hidden="1" x14ac:dyDescent="0.25">
      <c r="A176">
        <v>174</v>
      </c>
      <c r="B176" t="s">
        <v>631</v>
      </c>
      <c r="C176" t="s">
        <v>517</v>
      </c>
      <c r="D176">
        <v>37.525163669999898</v>
      </c>
      <c r="E176">
        <v>-85.895260140000005</v>
      </c>
      <c r="F176">
        <v>502.8</v>
      </c>
      <c r="G176">
        <v>1650</v>
      </c>
      <c r="H176" t="s">
        <v>4341</v>
      </c>
      <c r="I176" t="s">
        <v>4342</v>
      </c>
      <c r="J176" t="s">
        <v>4341</v>
      </c>
      <c r="K176">
        <v>119554</v>
      </c>
      <c r="L176" t="s">
        <v>3972</v>
      </c>
      <c r="M176" t="s">
        <v>3925</v>
      </c>
      <c r="N176" t="s">
        <v>3906</v>
      </c>
      <c r="O176">
        <v>69</v>
      </c>
      <c r="P176" t="s">
        <v>3904</v>
      </c>
      <c r="Q176" t="s">
        <v>3973</v>
      </c>
      <c r="R176" t="s">
        <v>3408</v>
      </c>
      <c r="S176">
        <v>11538.3</v>
      </c>
      <c r="T176">
        <v>345</v>
      </c>
      <c r="U176" t="s">
        <v>4343</v>
      </c>
      <c r="V176">
        <v>141214</v>
      </c>
      <c r="W176" t="s">
        <v>3925</v>
      </c>
      <c r="X176" t="s">
        <v>3907</v>
      </c>
    </row>
    <row r="177" spans="1:24" x14ac:dyDescent="0.25">
      <c r="A177">
        <v>175</v>
      </c>
      <c r="B177" t="s">
        <v>882</v>
      </c>
      <c r="C177" t="s">
        <v>838</v>
      </c>
      <c r="D177">
        <v>35.812838540000001</v>
      </c>
      <c r="E177">
        <v>-94.627894800000007</v>
      </c>
      <c r="F177">
        <v>39.4</v>
      </c>
      <c r="G177">
        <v>129</v>
      </c>
      <c r="I177" t="s">
        <v>4344</v>
      </c>
      <c r="J177" t="s">
        <v>4345</v>
      </c>
      <c r="K177">
        <v>127349</v>
      </c>
      <c r="L177" t="s">
        <v>3972</v>
      </c>
      <c r="M177" t="s">
        <v>3944</v>
      </c>
      <c r="N177" t="s">
        <v>3906</v>
      </c>
      <c r="O177">
        <v>69</v>
      </c>
      <c r="P177" t="s">
        <v>3904</v>
      </c>
      <c r="Q177" t="s">
        <v>3973</v>
      </c>
      <c r="R177" t="s">
        <v>3408</v>
      </c>
      <c r="S177">
        <v>1894.1</v>
      </c>
      <c r="T177">
        <v>161</v>
      </c>
      <c r="U177" t="s">
        <v>4346</v>
      </c>
      <c r="V177">
        <v>137547</v>
      </c>
      <c r="W177" t="s">
        <v>3921</v>
      </c>
      <c r="X177" t="s">
        <v>3907</v>
      </c>
    </row>
    <row r="178" spans="1:24" hidden="1" x14ac:dyDescent="0.25">
      <c r="A178">
        <v>176</v>
      </c>
      <c r="B178" t="s">
        <v>992</v>
      </c>
      <c r="C178" t="s">
        <v>905</v>
      </c>
      <c r="D178">
        <v>29.636252240000001</v>
      </c>
      <c r="E178">
        <v>-95.598181319999895</v>
      </c>
      <c r="F178">
        <v>843.9</v>
      </c>
      <c r="G178">
        <v>2769</v>
      </c>
      <c r="H178" t="s">
        <v>4347</v>
      </c>
      <c r="I178" t="s">
        <v>4347</v>
      </c>
      <c r="J178" t="s">
        <v>3908</v>
      </c>
      <c r="K178">
        <v>306408</v>
      </c>
      <c r="L178" t="s">
        <v>3972</v>
      </c>
      <c r="M178" t="s">
        <v>3945</v>
      </c>
      <c r="N178" t="s">
        <v>3906</v>
      </c>
      <c r="O178">
        <v>138</v>
      </c>
      <c r="P178" t="s">
        <v>3911</v>
      </c>
      <c r="Q178" t="s">
        <v>3973</v>
      </c>
      <c r="R178" t="s">
        <v>3967</v>
      </c>
      <c r="S178">
        <v>843.9</v>
      </c>
      <c r="T178">
        <v>138</v>
      </c>
      <c r="U178" t="s">
        <v>4347</v>
      </c>
      <c r="V178">
        <v>306408</v>
      </c>
      <c r="W178" t="s">
        <v>3945</v>
      </c>
      <c r="X178" t="s">
        <v>3907</v>
      </c>
    </row>
    <row r="179" spans="1:24" hidden="1" x14ac:dyDescent="0.25">
      <c r="A179">
        <v>177</v>
      </c>
      <c r="B179" t="s">
        <v>987</v>
      </c>
      <c r="C179" t="s">
        <v>905</v>
      </c>
      <c r="D179">
        <v>29.586081669999899</v>
      </c>
      <c r="E179">
        <v>-95.62071487</v>
      </c>
      <c r="F179">
        <v>555.5</v>
      </c>
      <c r="G179">
        <v>1823</v>
      </c>
      <c r="H179" t="s">
        <v>4348</v>
      </c>
      <c r="I179" t="s">
        <v>4349</v>
      </c>
      <c r="J179" t="s">
        <v>4350</v>
      </c>
      <c r="K179">
        <v>306936</v>
      </c>
      <c r="L179" t="s">
        <v>3972</v>
      </c>
      <c r="M179" t="s">
        <v>3945</v>
      </c>
      <c r="N179" t="s">
        <v>3906</v>
      </c>
      <c r="O179">
        <v>138</v>
      </c>
      <c r="P179" t="s">
        <v>3911</v>
      </c>
      <c r="Q179" t="s">
        <v>3973</v>
      </c>
      <c r="R179" t="s">
        <v>3967</v>
      </c>
      <c r="S179">
        <v>555.5</v>
      </c>
      <c r="T179">
        <v>138</v>
      </c>
      <c r="U179" t="s">
        <v>4348</v>
      </c>
      <c r="V179">
        <v>306936</v>
      </c>
      <c r="W179" t="s">
        <v>3945</v>
      </c>
      <c r="X179" t="s">
        <v>3907</v>
      </c>
    </row>
    <row r="180" spans="1:24" hidden="1" x14ac:dyDescent="0.25">
      <c r="A180">
        <v>178</v>
      </c>
      <c r="B180" t="s">
        <v>299</v>
      </c>
      <c r="C180" t="s">
        <v>120</v>
      </c>
      <c r="D180">
        <v>34.481520289999899</v>
      </c>
      <c r="E180">
        <v>-85.348709940000006</v>
      </c>
      <c r="F180">
        <v>1283.7</v>
      </c>
      <c r="G180">
        <v>4212</v>
      </c>
      <c r="H180" t="s">
        <v>4351</v>
      </c>
      <c r="I180" t="s">
        <v>4352</v>
      </c>
      <c r="J180" t="s">
        <v>4351</v>
      </c>
      <c r="K180">
        <v>129537</v>
      </c>
      <c r="L180" t="s">
        <v>3961</v>
      </c>
      <c r="M180" t="s">
        <v>3909</v>
      </c>
      <c r="N180" t="s">
        <v>3906</v>
      </c>
      <c r="O180">
        <v>-999999</v>
      </c>
      <c r="P180" t="s">
        <v>3911</v>
      </c>
      <c r="Q180" t="s">
        <v>3962</v>
      </c>
      <c r="R180" t="s">
        <v>3408</v>
      </c>
      <c r="S180">
        <v>1392.8</v>
      </c>
      <c r="T180">
        <v>115</v>
      </c>
      <c r="V180">
        <v>105696</v>
      </c>
      <c r="W180" t="s">
        <v>3909</v>
      </c>
      <c r="X180" t="s">
        <v>3907</v>
      </c>
    </row>
    <row r="181" spans="1:24" hidden="1" x14ac:dyDescent="0.25">
      <c r="A181">
        <v>179</v>
      </c>
      <c r="B181" t="s">
        <v>996</v>
      </c>
      <c r="C181" t="s">
        <v>905</v>
      </c>
      <c r="D181">
        <v>29.03860427</v>
      </c>
      <c r="E181">
        <v>-95.699573689999895</v>
      </c>
      <c r="F181">
        <v>2177</v>
      </c>
      <c r="G181">
        <v>7142</v>
      </c>
      <c r="H181" t="s">
        <v>4353</v>
      </c>
      <c r="I181" t="s">
        <v>4353</v>
      </c>
      <c r="J181" t="s">
        <v>3908</v>
      </c>
      <c r="K181">
        <v>311105</v>
      </c>
      <c r="L181" t="s">
        <v>3972</v>
      </c>
      <c r="M181" t="s">
        <v>3940</v>
      </c>
      <c r="N181" t="s">
        <v>3906</v>
      </c>
      <c r="O181">
        <v>138</v>
      </c>
      <c r="P181" t="s">
        <v>3911</v>
      </c>
      <c r="Q181" t="s">
        <v>3973</v>
      </c>
      <c r="R181" t="s">
        <v>3967</v>
      </c>
      <c r="S181">
        <v>2177</v>
      </c>
      <c r="T181">
        <v>138</v>
      </c>
      <c r="U181" t="s">
        <v>4353</v>
      </c>
      <c r="V181">
        <v>311105</v>
      </c>
      <c r="W181" t="s">
        <v>3940</v>
      </c>
      <c r="X181" t="s">
        <v>3907</v>
      </c>
    </row>
    <row r="182" spans="1:24" x14ac:dyDescent="0.25">
      <c r="A182">
        <v>180</v>
      </c>
      <c r="B182" t="s">
        <v>304</v>
      </c>
      <c r="C182" t="s">
        <v>120</v>
      </c>
      <c r="D182">
        <v>32.751756829999898</v>
      </c>
      <c r="E182">
        <v>-81.633224089999899</v>
      </c>
      <c r="F182">
        <v>1059.0999999999999</v>
      </c>
      <c r="G182">
        <v>3475</v>
      </c>
      <c r="I182" t="s">
        <v>4354</v>
      </c>
      <c r="J182" t="s">
        <v>4355</v>
      </c>
      <c r="K182">
        <v>156252</v>
      </c>
      <c r="L182" t="s">
        <v>3972</v>
      </c>
      <c r="M182" t="s">
        <v>3909</v>
      </c>
      <c r="N182" t="s">
        <v>3906</v>
      </c>
      <c r="O182">
        <v>115</v>
      </c>
      <c r="P182" t="s">
        <v>3911</v>
      </c>
      <c r="Q182" t="s">
        <v>3973</v>
      </c>
      <c r="R182" t="s">
        <v>3408</v>
      </c>
      <c r="S182">
        <v>1059.0999999999999</v>
      </c>
      <c r="T182">
        <v>115</v>
      </c>
      <c r="V182">
        <v>156252</v>
      </c>
      <c r="W182" t="s">
        <v>3909</v>
      </c>
      <c r="X182" t="s">
        <v>3907</v>
      </c>
    </row>
    <row r="183" spans="1:24" x14ac:dyDescent="0.25">
      <c r="A183">
        <v>181</v>
      </c>
      <c r="B183" t="s">
        <v>887</v>
      </c>
      <c r="C183" t="s">
        <v>838</v>
      </c>
      <c r="D183">
        <v>35.258431950000002</v>
      </c>
      <c r="E183">
        <v>-96.935909069999894</v>
      </c>
      <c r="F183">
        <v>1033.9000000000001</v>
      </c>
      <c r="G183">
        <v>3392</v>
      </c>
      <c r="I183" t="s">
        <v>4356</v>
      </c>
      <c r="J183" t="s">
        <v>4357</v>
      </c>
      <c r="K183">
        <v>125350</v>
      </c>
      <c r="L183" t="s">
        <v>3972</v>
      </c>
      <c r="M183" t="s">
        <v>3946</v>
      </c>
      <c r="N183" t="s">
        <v>3906</v>
      </c>
      <c r="O183">
        <v>69</v>
      </c>
      <c r="P183" t="s">
        <v>3904</v>
      </c>
      <c r="Q183" t="s">
        <v>3973</v>
      </c>
      <c r="R183" t="s">
        <v>3408</v>
      </c>
      <c r="S183">
        <v>2056.3000000000002</v>
      </c>
      <c r="T183">
        <v>138</v>
      </c>
      <c r="U183" t="s">
        <v>4358</v>
      </c>
      <c r="V183">
        <v>131459</v>
      </c>
      <c r="W183" t="s">
        <v>3946</v>
      </c>
      <c r="X183" t="s">
        <v>3907</v>
      </c>
    </row>
    <row r="184" spans="1:24" x14ac:dyDescent="0.25">
      <c r="A184">
        <v>182</v>
      </c>
      <c r="B184" t="s">
        <v>310</v>
      </c>
      <c r="C184" t="s">
        <v>120</v>
      </c>
      <c r="D184">
        <v>32.8869667499999</v>
      </c>
      <c r="E184">
        <v>-84.3254854999999</v>
      </c>
      <c r="F184">
        <v>1274.4000000000001</v>
      </c>
      <c r="G184">
        <v>4181</v>
      </c>
      <c r="I184" t="s">
        <v>4359</v>
      </c>
      <c r="J184" t="s">
        <v>4360</v>
      </c>
      <c r="K184">
        <v>149165</v>
      </c>
      <c r="L184" t="s">
        <v>3972</v>
      </c>
      <c r="M184" t="s">
        <v>3909</v>
      </c>
      <c r="N184" t="s">
        <v>3906</v>
      </c>
      <c r="O184">
        <v>115</v>
      </c>
      <c r="P184" t="s">
        <v>3911</v>
      </c>
      <c r="Q184" t="s">
        <v>3973</v>
      </c>
      <c r="R184" t="s">
        <v>3408</v>
      </c>
      <c r="S184">
        <v>1274.4000000000001</v>
      </c>
      <c r="T184">
        <v>115</v>
      </c>
      <c r="V184">
        <v>149165</v>
      </c>
      <c r="W184" t="s">
        <v>3909</v>
      </c>
      <c r="X184" t="s">
        <v>3907</v>
      </c>
    </row>
    <row r="185" spans="1:24" x14ac:dyDescent="0.25">
      <c r="A185">
        <v>183</v>
      </c>
      <c r="B185" t="s">
        <v>314</v>
      </c>
      <c r="C185" t="s">
        <v>120</v>
      </c>
      <c r="D185">
        <v>32.933437269999899</v>
      </c>
      <c r="E185">
        <v>-84.333401789999897</v>
      </c>
      <c r="F185">
        <v>67.3</v>
      </c>
      <c r="G185">
        <v>221</v>
      </c>
      <c r="I185" t="s">
        <v>4361</v>
      </c>
      <c r="J185" t="s">
        <v>3908</v>
      </c>
      <c r="K185">
        <v>132150</v>
      </c>
      <c r="L185" t="s">
        <v>3961</v>
      </c>
      <c r="M185" t="s">
        <v>3909</v>
      </c>
      <c r="N185" t="s">
        <v>3908</v>
      </c>
      <c r="O185">
        <v>-999999</v>
      </c>
      <c r="P185" t="s">
        <v>3908</v>
      </c>
      <c r="Q185" t="s">
        <v>3966</v>
      </c>
      <c r="R185" t="s">
        <v>3967</v>
      </c>
      <c r="S185">
        <v>1475.2</v>
      </c>
      <c r="T185">
        <v>115</v>
      </c>
      <c r="V185">
        <v>114137</v>
      </c>
      <c r="W185" t="s">
        <v>3909</v>
      </c>
      <c r="X185" t="s">
        <v>3907</v>
      </c>
    </row>
    <row r="186" spans="1:24" hidden="1" x14ac:dyDescent="0.25">
      <c r="A186">
        <v>184</v>
      </c>
      <c r="B186" t="s">
        <v>488</v>
      </c>
      <c r="C186" t="s">
        <v>328</v>
      </c>
      <c r="D186">
        <v>41.770516610000001</v>
      </c>
      <c r="E186">
        <v>-91.126664180000006</v>
      </c>
      <c r="F186">
        <v>334</v>
      </c>
      <c r="G186">
        <v>1096</v>
      </c>
      <c r="H186" t="s">
        <v>4362</v>
      </c>
      <c r="I186" t="s">
        <v>4362</v>
      </c>
      <c r="J186" t="s">
        <v>3908</v>
      </c>
      <c r="K186">
        <v>148041</v>
      </c>
      <c r="L186" t="s">
        <v>3961</v>
      </c>
      <c r="M186" t="s">
        <v>3908</v>
      </c>
      <c r="N186" t="s">
        <v>3908</v>
      </c>
      <c r="O186">
        <v>69</v>
      </c>
      <c r="P186" t="s">
        <v>3904</v>
      </c>
      <c r="Q186" t="s">
        <v>3973</v>
      </c>
      <c r="R186" t="s">
        <v>3408</v>
      </c>
      <c r="S186">
        <v>5801.4</v>
      </c>
      <c r="T186">
        <v>115</v>
      </c>
      <c r="U186" t="s">
        <v>4363</v>
      </c>
      <c r="V186">
        <v>123654</v>
      </c>
      <c r="W186" t="s">
        <v>3912</v>
      </c>
      <c r="X186" t="s">
        <v>3907</v>
      </c>
    </row>
    <row r="187" spans="1:24" hidden="1" x14ac:dyDescent="0.25">
      <c r="A187">
        <v>185</v>
      </c>
      <c r="B187" t="s">
        <v>494</v>
      </c>
      <c r="C187" t="s">
        <v>328</v>
      </c>
      <c r="D187">
        <v>41.98152657</v>
      </c>
      <c r="E187">
        <v>-92.581265619999897</v>
      </c>
      <c r="F187">
        <v>4782.3</v>
      </c>
      <c r="G187">
        <v>15690</v>
      </c>
      <c r="H187" t="s">
        <v>4364</v>
      </c>
      <c r="I187" t="s">
        <v>4364</v>
      </c>
      <c r="J187" t="s">
        <v>4365</v>
      </c>
      <c r="K187">
        <v>119395</v>
      </c>
      <c r="L187" t="s">
        <v>3972</v>
      </c>
      <c r="M187" t="s">
        <v>3908</v>
      </c>
      <c r="N187" t="s">
        <v>3906</v>
      </c>
      <c r="O187">
        <v>115</v>
      </c>
      <c r="P187" t="s">
        <v>3911</v>
      </c>
      <c r="Q187" t="s">
        <v>3973</v>
      </c>
      <c r="R187" t="s">
        <v>3408</v>
      </c>
      <c r="S187">
        <v>4782.3</v>
      </c>
      <c r="T187">
        <v>115</v>
      </c>
      <c r="U187" t="s">
        <v>4364</v>
      </c>
      <c r="V187">
        <v>119395</v>
      </c>
      <c r="W187" t="s">
        <v>3908</v>
      </c>
      <c r="X187" t="s">
        <v>3907</v>
      </c>
    </row>
    <row r="188" spans="1:24" hidden="1" x14ac:dyDescent="0.25">
      <c r="A188">
        <v>186</v>
      </c>
      <c r="B188" t="s">
        <v>498</v>
      </c>
      <c r="C188" t="s">
        <v>328</v>
      </c>
      <c r="D188">
        <v>42.191437280000002</v>
      </c>
      <c r="E188">
        <v>-92.467051440000006</v>
      </c>
      <c r="F188">
        <v>4717.3999999999996</v>
      </c>
      <c r="G188">
        <v>15477</v>
      </c>
      <c r="H188" t="s">
        <v>4366</v>
      </c>
      <c r="I188" t="s">
        <v>4366</v>
      </c>
      <c r="J188" t="s">
        <v>4367</v>
      </c>
      <c r="K188">
        <v>138452</v>
      </c>
      <c r="L188" t="s">
        <v>3972</v>
      </c>
      <c r="M188" t="s">
        <v>3908</v>
      </c>
      <c r="N188" t="s">
        <v>3906</v>
      </c>
      <c r="O188">
        <v>161</v>
      </c>
      <c r="P188" t="s">
        <v>3911</v>
      </c>
      <c r="Q188" t="s">
        <v>3973</v>
      </c>
      <c r="R188" t="s">
        <v>3408</v>
      </c>
      <c r="S188">
        <v>4717.3999999999996</v>
      </c>
      <c r="T188">
        <v>161</v>
      </c>
      <c r="U188" t="s">
        <v>4366</v>
      </c>
      <c r="V188">
        <v>138452</v>
      </c>
      <c r="W188" t="s">
        <v>3908</v>
      </c>
      <c r="X188" t="s">
        <v>3907</v>
      </c>
    </row>
    <row r="189" spans="1:24" x14ac:dyDescent="0.25">
      <c r="A189">
        <v>187</v>
      </c>
      <c r="B189" t="s">
        <v>318</v>
      </c>
      <c r="C189" t="s">
        <v>120</v>
      </c>
      <c r="D189">
        <v>34.54083387</v>
      </c>
      <c r="E189">
        <v>-85.313137620000006</v>
      </c>
      <c r="F189">
        <v>438.3</v>
      </c>
      <c r="G189">
        <v>1438</v>
      </c>
      <c r="I189" t="s">
        <v>4368</v>
      </c>
      <c r="J189" t="s">
        <v>4369</v>
      </c>
      <c r="K189">
        <v>116780</v>
      </c>
      <c r="L189" t="s">
        <v>3972</v>
      </c>
      <c r="M189" t="s">
        <v>3909</v>
      </c>
      <c r="N189" t="s">
        <v>3906</v>
      </c>
      <c r="O189">
        <v>115</v>
      </c>
      <c r="P189" t="s">
        <v>3911</v>
      </c>
      <c r="Q189" t="s">
        <v>3973</v>
      </c>
      <c r="R189" t="s">
        <v>3408</v>
      </c>
      <c r="S189">
        <v>438.3</v>
      </c>
      <c r="T189">
        <v>115</v>
      </c>
      <c r="V189">
        <v>116780</v>
      </c>
      <c r="W189" t="s">
        <v>3909</v>
      </c>
      <c r="X189" t="s">
        <v>3907</v>
      </c>
    </row>
    <row r="190" spans="1:24" hidden="1" x14ac:dyDescent="0.25">
      <c r="A190">
        <v>188</v>
      </c>
      <c r="B190" t="s">
        <v>892</v>
      </c>
      <c r="C190" t="s">
        <v>838</v>
      </c>
      <c r="D190">
        <v>36.057571789999898</v>
      </c>
      <c r="E190">
        <v>-95.869010619999898</v>
      </c>
      <c r="F190">
        <v>434.3</v>
      </c>
      <c r="G190">
        <v>1425</v>
      </c>
      <c r="H190" t="s">
        <v>4370</v>
      </c>
      <c r="I190" t="s">
        <v>4371</v>
      </c>
      <c r="J190" t="s">
        <v>4370</v>
      </c>
      <c r="K190">
        <v>169948</v>
      </c>
      <c r="L190" t="s">
        <v>3972</v>
      </c>
      <c r="M190" t="s">
        <v>3921</v>
      </c>
      <c r="N190" t="s">
        <v>3906</v>
      </c>
      <c r="O190">
        <v>138</v>
      </c>
      <c r="P190" t="s">
        <v>3911</v>
      </c>
      <c r="Q190" t="s">
        <v>3973</v>
      </c>
      <c r="R190" t="s">
        <v>3408</v>
      </c>
      <c r="S190">
        <v>434.3</v>
      </c>
      <c r="T190">
        <v>138</v>
      </c>
      <c r="U190" t="s">
        <v>4370</v>
      </c>
      <c r="V190">
        <v>169948</v>
      </c>
      <c r="W190" t="s">
        <v>3921</v>
      </c>
      <c r="X190" t="s">
        <v>3907</v>
      </c>
    </row>
    <row r="191" spans="1:24" hidden="1" x14ac:dyDescent="0.25">
      <c r="A191">
        <v>189</v>
      </c>
      <c r="B191" t="s">
        <v>3403</v>
      </c>
      <c r="C191" t="s">
        <v>675</v>
      </c>
      <c r="D191">
        <v>41.3112491199999</v>
      </c>
      <c r="E191">
        <v>-81.442344449999894</v>
      </c>
      <c r="F191">
        <v>423.1</v>
      </c>
      <c r="G191">
        <v>1388</v>
      </c>
      <c r="H191" t="s">
        <v>4372</v>
      </c>
      <c r="I191" t="s">
        <v>3999</v>
      </c>
      <c r="J191" t="s">
        <v>4373</v>
      </c>
      <c r="K191">
        <v>122195</v>
      </c>
      <c r="L191" t="s">
        <v>3961</v>
      </c>
      <c r="M191" t="s">
        <v>3908</v>
      </c>
      <c r="N191" t="s">
        <v>3906</v>
      </c>
      <c r="O191">
        <v>-999999</v>
      </c>
      <c r="P191" t="s">
        <v>3908</v>
      </c>
      <c r="Q191" t="s">
        <v>3966</v>
      </c>
      <c r="R191" t="s">
        <v>3967</v>
      </c>
      <c r="S191">
        <v>974</v>
      </c>
      <c r="T191">
        <v>345</v>
      </c>
      <c r="U191" t="s">
        <v>4001</v>
      </c>
      <c r="V191">
        <v>114362</v>
      </c>
      <c r="W191" t="s">
        <v>3915</v>
      </c>
      <c r="X191" t="s">
        <v>3907</v>
      </c>
    </row>
    <row r="192" spans="1:24" hidden="1" x14ac:dyDescent="0.25">
      <c r="A192">
        <v>190</v>
      </c>
      <c r="B192" t="s">
        <v>3291</v>
      </c>
      <c r="C192" t="s">
        <v>675</v>
      </c>
      <c r="D192">
        <v>41.31113087</v>
      </c>
      <c r="E192">
        <v>-81.442323430000002</v>
      </c>
      <c r="F192">
        <v>410.9</v>
      </c>
      <c r="G192">
        <v>1348</v>
      </c>
      <c r="H192" t="s">
        <v>4372</v>
      </c>
      <c r="I192" t="s">
        <v>3999</v>
      </c>
      <c r="J192" t="s">
        <v>4373</v>
      </c>
      <c r="K192">
        <v>122195</v>
      </c>
      <c r="L192" t="s">
        <v>3961</v>
      </c>
      <c r="M192" t="s">
        <v>3908</v>
      </c>
      <c r="N192" t="s">
        <v>3906</v>
      </c>
      <c r="O192">
        <v>-999999</v>
      </c>
      <c r="P192" t="s">
        <v>3908</v>
      </c>
      <c r="Q192" t="s">
        <v>3966</v>
      </c>
      <c r="R192" t="s">
        <v>3967</v>
      </c>
      <c r="S192">
        <v>987.2</v>
      </c>
      <c r="T192">
        <v>345</v>
      </c>
      <c r="U192" t="s">
        <v>4001</v>
      </c>
      <c r="V192">
        <v>114362</v>
      </c>
      <c r="W192" t="s">
        <v>3915</v>
      </c>
      <c r="X192" t="s">
        <v>3907</v>
      </c>
    </row>
    <row r="193" spans="1:24" hidden="1" x14ac:dyDescent="0.25">
      <c r="A193">
        <v>191</v>
      </c>
      <c r="B193" t="s">
        <v>636</v>
      </c>
      <c r="C193" t="s">
        <v>517</v>
      </c>
      <c r="D193">
        <v>38.594107999999899</v>
      </c>
      <c r="E193">
        <v>-83.321195000000003</v>
      </c>
      <c r="F193">
        <v>2469.8000000000002</v>
      </c>
      <c r="G193">
        <v>8103</v>
      </c>
      <c r="H193" t="s">
        <v>4162</v>
      </c>
      <c r="I193" t="s">
        <v>4374</v>
      </c>
      <c r="J193" t="s">
        <v>4375</v>
      </c>
      <c r="K193">
        <v>114236</v>
      </c>
      <c r="L193" t="s">
        <v>3972</v>
      </c>
      <c r="M193" t="s">
        <v>3908</v>
      </c>
      <c r="N193" t="s">
        <v>3906</v>
      </c>
      <c r="O193">
        <v>765</v>
      </c>
      <c r="P193" t="s">
        <v>3942</v>
      </c>
      <c r="Q193" t="s">
        <v>3973</v>
      </c>
      <c r="R193" t="s">
        <v>3408</v>
      </c>
      <c r="S193">
        <v>2469.8000000000002</v>
      </c>
      <c r="T193">
        <v>765</v>
      </c>
      <c r="U193" t="s">
        <v>4162</v>
      </c>
      <c r="V193">
        <v>114236</v>
      </c>
      <c r="W193" t="s">
        <v>3908</v>
      </c>
      <c r="X193" t="s">
        <v>3907</v>
      </c>
    </row>
    <row r="194" spans="1:24" hidden="1" x14ac:dyDescent="0.25">
      <c r="A194">
        <v>192</v>
      </c>
      <c r="B194" t="s">
        <v>3300</v>
      </c>
      <c r="C194" t="s">
        <v>838</v>
      </c>
      <c r="D194">
        <v>35.49846823</v>
      </c>
      <c r="E194">
        <v>-94.971458600000005</v>
      </c>
      <c r="F194">
        <v>512.6</v>
      </c>
      <c r="G194">
        <v>1682</v>
      </c>
      <c r="H194" t="s">
        <v>4376</v>
      </c>
      <c r="I194" t="s">
        <v>4377</v>
      </c>
      <c r="J194" t="s">
        <v>4376</v>
      </c>
      <c r="K194">
        <v>161624</v>
      </c>
      <c r="L194" t="s">
        <v>3972</v>
      </c>
      <c r="M194" t="s">
        <v>3946</v>
      </c>
      <c r="N194" t="s">
        <v>3906</v>
      </c>
      <c r="O194">
        <v>69</v>
      </c>
      <c r="P194" t="s">
        <v>3904</v>
      </c>
      <c r="Q194" t="s">
        <v>3973</v>
      </c>
      <c r="R194" t="s">
        <v>3408</v>
      </c>
      <c r="S194">
        <v>1873.9</v>
      </c>
      <c r="T194">
        <v>161</v>
      </c>
      <c r="U194" t="s">
        <v>4378</v>
      </c>
      <c r="V194">
        <v>137566</v>
      </c>
      <c r="W194" t="s">
        <v>3926</v>
      </c>
      <c r="X194" t="s">
        <v>3907</v>
      </c>
    </row>
    <row r="195" spans="1:24" x14ac:dyDescent="0.25">
      <c r="A195">
        <v>193</v>
      </c>
      <c r="B195" t="s">
        <v>71</v>
      </c>
      <c r="C195" t="s">
        <v>35</v>
      </c>
      <c r="D195">
        <v>35.0831462599999</v>
      </c>
      <c r="E195">
        <v>-92.211345769999895</v>
      </c>
      <c r="F195">
        <v>3068.5</v>
      </c>
      <c r="G195">
        <v>10067</v>
      </c>
      <c r="I195" t="s">
        <v>4379</v>
      </c>
      <c r="J195" t="s">
        <v>4380</v>
      </c>
      <c r="K195">
        <v>140405</v>
      </c>
      <c r="L195" t="s">
        <v>3972</v>
      </c>
      <c r="M195" t="s">
        <v>3929</v>
      </c>
      <c r="N195" t="s">
        <v>3906</v>
      </c>
      <c r="O195">
        <v>161</v>
      </c>
      <c r="P195" t="s">
        <v>3911</v>
      </c>
      <c r="Q195" t="s">
        <v>3973</v>
      </c>
      <c r="R195" t="s">
        <v>3408</v>
      </c>
      <c r="S195">
        <v>3068.5</v>
      </c>
      <c r="T195">
        <v>161</v>
      </c>
      <c r="V195">
        <v>140405</v>
      </c>
      <c r="W195" t="s">
        <v>3929</v>
      </c>
      <c r="X195" t="s">
        <v>3907</v>
      </c>
    </row>
    <row r="196" spans="1:24" hidden="1" x14ac:dyDescent="0.25">
      <c r="A196">
        <v>194</v>
      </c>
      <c r="B196" t="s">
        <v>900</v>
      </c>
      <c r="C196" t="s">
        <v>838</v>
      </c>
      <c r="D196">
        <v>35.958976999999898</v>
      </c>
      <c r="E196">
        <v>-95.367576999999898</v>
      </c>
      <c r="F196">
        <v>410.8</v>
      </c>
      <c r="G196">
        <v>1348</v>
      </c>
      <c r="H196" t="s">
        <v>4381</v>
      </c>
      <c r="I196" t="s">
        <v>4382</v>
      </c>
      <c r="J196" t="s">
        <v>4381</v>
      </c>
      <c r="K196">
        <v>161641</v>
      </c>
      <c r="L196" t="s">
        <v>3972</v>
      </c>
      <c r="M196" t="s">
        <v>3921</v>
      </c>
      <c r="N196" t="s">
        <v>3906</v>
      </c>
      <c r="O196">
        <v>69</v>
      </c>
      <c r="P196" t="s">
        <v>3904</v>
      </c>
      <c r="Q196" t="s">
        <v>3973</v>
      </c>
      <c r="R196" t="s">
        <v>3408</v>
      </c>
      <c r="S196">
        <v>1648.8</v>
      </c>
      <c r="T196">
        <v>138</v>
      </c>
      <c r="U196" t="s">
        <v>4383</v>
      </c>
      <c r="V196">
        <v>138806</v>
      </c>
      <c r="W196" t="s">
        <v>3921</v>
      </c>
      <c r="X196" t="s">
        <v>3907</v>
      </c>
    </row>
    <row r="197" spans="1:24" hidden="1" x14ac:dyDescent="0.25">
      <c r="A197">
        <v>195</v>
      </c>
      <c r="B197" t="s">
        <v>503</v>
      </c>
      <c r="C197" t="s">
        <v>328</v>
      </c>
      <c r="D197">
        <v>41.300116529999897</v>
      </c>
      <c r="E197">
        <v>-91.689680589999895</v>
      </c>
      <c r="F197">
        <v>9067.5</v>
      </c>
      <c r="G197">
        <v>29749</v>
      </c>
      <c r="H197" t="s">
        <v>3969</v>
      </c>
      <c r="I197" t="s">
        <v>3970</v>
      </c>
      <c r="J197" t="s">
        <v>3971</v>
      </c>
      <c r="K197">
        <v>126581</v>
      </c>
      <c r="L197" t="s">
        <v>3972</v>
      </c>
      <c r="M197" t="s">
        <v>3908</v>
      </c>
      <c r="N197" t="s">
        <v>3906</v>
      </c>
      <c r="O197">
        <v>345</v>
      </c>
      <c r="P197">
        <v>345</v>
      </c>
      <c r="Q197" t="s">
        <v>3973</v>
      </c>
      <c r="R197" t="s">
        <v>3967</v>
      </c>
      <c r="S197">
        <v>9067.5</v>
      </c>
      <c r="T197">
        <v>345</v>
      </c>
      <c r="U197" t="s">
        <v>3969</v>
      </c>
      <c r="V197">
        <v>126581</v>
      </c>
      <c r="W197" t="s">
        <v>3908</v>
      </c>
      <c r="X197" t="s">
        <v>3907</v>
      </c>
    </row>
    <row r="198" spans="1:24" hidden="1" x14ac:dyDescent="0.25">
      <c r="A198">
        <v>196</v>
      </c>
      <c r="B198" t="s">
        <v>75</v>
      </c>
      <c r="C198" t="s">
        <v>35</v>
      </c>
      <c r="D198">
        <v>35.923682569999897</v>
      </c>
      <c r="E198">
        <v>-94.189336589999897</v>
      </c>
      <c r="F198">
        <v>5349.5</v>
      </c>
      <c r="G198">
        <v>17551</v>
      </c>
      <c r="H198" t="s">
        <v>4384</v>
      </c>
      <c r="I198" t="s">
        <v>4385</v>
      </c>
      <c r="J198" t="s">
        <v>4386</v>
      </c>
      <c r="K198">
        <v>101377</v>
      </c>
      <c r="L198" t="s">
        <v>3972</v>
      </c>
      <c r="M198" t="s">
        <v>3947</v>
      </c>
      <c r="N198" t="s">
        <v>3906</v>
      </c>
      <c r="O198">
        <v>69</v>
      </c>
      <c r="P198" t="s">
        <v>3904</v>
      </c>
      <c r="Q198" t="s">
        <v>3973</v>
      </c>
      <c r="R198" t="s">
        <v>3408</v>
      </c>
      <c r="S198">
        <v>13821.3</v>
      </c>
      <c r="T198">
        <v>161</v>
      </c>
      <c r="U198" t="s">
        <v>4387</v>
      </c>
      <c r="V198">
        <v>112897</v>
      </c>
      <c r="W198" t="s">
        <v>3947</v>
      </c>
      <c r="X198" t="s">
        <v>3907</v>
      </c>
    </row>
    <row r="199" spans="1:24" hidden="1" x14ac:dyDescent="0.25">
      <c r="A199">
        <v>197</v>
      </c>
      <c r="B199" t="s">
        <v>508</v>
      </c>
      <c r="C199" t="s">
        <v>328</v>
      </c>
      <c r="D199">
        <v>41.660446450000002</v>
      </c>
      <c r="E199">
        <v>-92.008259980000005</v>
      </c>
      <c r="F199">
        <v>6883.3</v>
      </c>
      <c r="G199">
        <v>22583</v>
      </c>
      <c r="H199" t="s">
        <v>4388</v>
      </c>
      <c r="I199" t="s">
        <v>4389</v>
      </c>
      <c r="J199" t="s">
        <v>4390</v>
      </c>
      <c r="K199">
        <v>131905</v>
      </c>
      <c r="L199" t="s">
        <v>3972</v>
      </c>
      <c r="M199" t="s">
        <v>3912</v>
      </c>
      <c r="N199" t="s">
        <v>3906</v>
      </c>
      <c r="O199">
        <v>345</v>
      </c>
      <c r="P199">
        <v>345</v>
      </c>
      <c r="Q199" t="s">
        <v>3973</v>
      </c>
      <c r="R199" t="s">
        <v>3967</v>
      </c>
      <c r="S199">
        <v>6883.3</v>
      </c>
      <c r="T199">
        <v>345</v>
      </c>
      <c r="U199" t="s">
        <v>4388</v>
      </c>
      <c r="V199">
        <v>131905</v>
      </c>
      <c r="W199" t="s">
        <v>3912</v>
      </c>
      <c r="X199" t="s">
        <v>3907</v>
      </c>
    </row>
    <row r="200" spans="1:24" hidden="1" x14ac:dyDescent="0.25">
      <c r="A200">
        <v>198</v>
      </c>
      <c r="B200" t="s">
        <v>323</v>
      </c>
      <c r="C200" t="s">
        <v>120</v>
      </c>
      <c r="D200">
        <v>33.99464785</v>
      </c>
      <c r="E200">
        <v>-83.721187850000007</v>
      </c>
      <c r="F200">
        <v>2240.1</v>
      </c>
      <c r="G200">
        <v>7350</v>
      </c>
      <c r="H200" t="s">
        <v>4391</v>
      </c>
      <c r="I200" t="s">
        <v>4392</v>
      </c>
      <c r="J200" t="s">
        <v>4391</v>
      </c>
      <c r="K200">
        <v>146341</v>
      </c>
      <c r="L200" t="s">
        <v>3972</v>
      </c>
      <c r="M200" t="s">
        <v>3909</v>
      </c>
      <c r="N200" t="s">
        <v>3906</v>
      </c>
      <c r="O200">
        <v>230</v>
      </c>
      <c r="P200" t="s">
        <v>3923</v>
      </c>
      <c r="Q200" t="s">
        <v>3973</v>
      </c>
      <c r="R200" t="s">
        <v>3408</v>
      </c>
      <c r="S200">
        <v>2240.1</v>
      </c>
      <c r="T200">
        <v>230</v>
      </c>
      <c r="U200" t="s">
        <v>4391</v>
      </c>
      <c r="V200">
        <v>146341</v>
      </c>
      <c r="W200" t="s">
        <v>3909</v>
      </c>
      <c r="X200" t="s">
        <v>3907</v>
      </c>
    </row>
    <row r="201" spans="1:24" hidden="1" x14ac:dyDescent="0.25">
      <c r="A201">
        <v>199</v>
      </c>
      <c r="B201" t="s">
        <v>833</v>
      </c>
      <c r="C201" t="s">
        <v>675</v>
      </c>
      <c r="D201">
        <v>41.86554916</v>
      </c>
      <c r="E201">
        <v>-80.783442190000002</v>
      </c>
      <c r="F201">
        <v>1718.1</v>
      </c>
      <c r="G201">
        <v>5637</v>
      </c>
      <c r="H201" t="s">
        <v>4150</v>
      </c>
      <c r="I201" t="s">
        <v>4151</v>
      </c>
      <c r="J201" t="s">
        <v>813</v>
      </c>
      <c r="K201">
        <v>103658</v>
      </c>
      <c r="L201" t="s">
        <v>3972</v>
      </c>
      <c r="M201" t="s">
        <v>3915</v>
      </c>
      <c r="N201" t="s">
        <v>3906</v>
      </c>
      <c r="O201">
        <v>345</v>
      </c>
      <c r="P201">
        <v>345</v>
      </c>
      <c r="Q201" t="s">
        <v>3973</v>
      </c>
      <c r="R201" t="s">
        <v>3967</v>
      </c>
      <c r="S201">
        <v>1718.1</v>
      </c>
      <c r="T201">
        <v>345</v>
      </c>
      <c r="U201" t="s">
        <v>4150</v>
      </c>
      <c r="V201">
        <v>103658</v>
      </c>
      <c r="W201" t="s">
        <v>3915</v>
      </c>
      <c r="X201" t="s">
        <v>3907</v>
      </c>
    </row>
    <row r="202" spans="1:24" hidden="1" x14ac:dyDescent="0.25">
      <c r="A202">
        <v>200</v>
      </c>
      <c r="B202" t="s">
        <v>641</v>
      </c>
      <c r="C202" t="s">
        <v>517</v>
      </c>
      <c r="D202">
        <v>38.0672</v>
      </c>
      <c r="E202">
        <v>-85.668750000000003</v>
      </c>
      <c r="F202">
        <v>1398.7</v>
      </c>
      <c r="G202">
        <v>4589</v>
      </c>
      <c r="H202" t="s">
        <v>4393</v>
      </c>
      <c r="I202" t="s">
        <v>4394</v>
      </c>
      <c r="J202" t="s">
        <v>4393</v>
      </c>
      <c r="K202">
        <v>106915</v>
      </c>
      <c r="L202" t="s">
        <v>3972</v>
      </c>
      <c r="M202" t="s">
        <v>3908</v>
      </c>
      <c r="N202" t="s">
        <v>3906</v>
      </c>
      <c r="O202">
        <v>345</v>
      </c>
      <c r="P202">
        <v>345</v>
      </c>
      <c r="Q202" t="s">
        <v>3973</v>
      </c>
      <c r="R202" t="s">
        <v>3408</v>
      </c>
      <c r="S202">
        <v>1398.7</v>
      </c>
      <c r="T202">
        <v>345</v>
      </c>
      <c r="U202" t="s">
        <v>4393</v>
      </c>
      <c r="V202">
        <v>106915</v>
      </c>
      <c r="W202" t="s">
        <v>3908</v>
      </c>
      <c r="X202" t="s">
        <v>3907</v>
      </c>
    </row>
  </sheetData>
  <autoFilter ref="A2:X202" xr:uid="{E2EA9AEC-6889-4B47-906D-DC5AF98A7D14}">
    <filterColumn colId="7">
      <filters blank="1"/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B1C9F8780E554681FEDDF5A2FF8FBE" ma:contentTypeVersion="12" ma:contentTypeDescription="Create a new document." ma:contentTypeScope="" ma:versionID="f20a27acb18572ea6821035ef3c13579">
  <xsd:schema xmlns:xsd="http://www.w3.org/2001/XMLSchema" xmlns:xs="http://www.w3.org/2001/XMLSchema" xmlns:p="http://schemas.microsoft.com/office/2006/metadata/properties" xmlns:ns2="8e22ba22-a479-42f1-949b-d4a90608b764" xmlns:ns3="dd18ec98-77b6-4164-94de-4a20e1c66ad1" targetNamespace="http://schemas.microsoft.com/office/2006/metadata/properties" ma:root="true" ma:fieldsID="59c73bdcfb35d2853e002edec1a9a32c" ns2:_="" ns3:_="">
    <xsd:import namespace="8e22ba22-a479-42f1-949b-d4a90608b764"/>
    <xsd:import namespace="dd18ec98-77b6-4164-94de-4a20e1c66a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22ba22-a479-42f1-949b-d4a90608b7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337b09c-b77c-45cc-b071-a201a32329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18ec98-77b6-4164-94de-4a20e1c66ad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32659b4-fa89-497a-9074-117097f4b14a}" ma:internalName="TaxCatchAll" ma:showField="CatchAllData" ma:web="dd18ec98-77b6-4164-94de-4a20e1c66a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22ba22-a479-42f1-949b-d4a90608b764">
      <Terms xmlns="http://schemas.microsoft.com/office/infopath/2007/PartnerControls"/>
    </lcf76f155ced4ddcb4097134ff3c332f>
    <TaxCatchAll xmlns="dd18ec98-77b6-4164-94de-4a20e1c66ad1" xsi:nil="true"/>
  </documentManagement>
</p:properties>
</file>

<file path=customXml/itemProps1.xml><?xml version="1.0" encoding="utf-8"?>
<ds:datastoreItem xmlns:ds="http://schemas.openxmlformats.org/officeDocument/2006/customXml" ds:itemID="{39CE975F-7197-4BB0-89E2-704A14EC87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9F86D94-F830-4FFF-95D9-CB49EB2FA2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22ba22-a479-42f1-949b-d4a90608b764"/>
    <ds:schemaRef ds:uri="dd18ec98-77b6-4164-94de-4a20e1c66a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36962D3-92FD-4179-BB5C-F6B4550A3270}">
  <ds:schemaRefs>
    <ds:schemaRef ds:uri="http://schemas.microsoft.com/office/2006/metadata/properties"/>
    <ds:schemaRef ds:uri="http://schemas.microsoft.com/office/infopath/2007/PartnerControls"/>
    <ds:schemaRef ds:uri="8e22ba22-a479-42f1-949b-d4a90608b764"/>
    <ds:schemaRef ds:uri="dd18ec98-77b6-4164-94de-4a20e1c66ad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Top 200 COs</vt:lpstr>
      <vt:lpstr>Top 50</vt:lpstr>
      <vt:lpstr>Mireye Site Screen</vt:lpstr>
      <vt:lpstr>COs_Asset_List</vt:lpstr>
      <vt:lpstr>WS_Top200_Existing_Power</vt:lpstr>
      <vt:lpstr>Site detail lookup</vt:lpstr>
      <vt:lpstr>WS_Sites_Parcel_Sizes_FINAL</vt:lpstr>
      <vt:lpstr>WS_Top200_Transm_Dist_2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Taylor, Zachary J</dc:creator>
  <cp:keywords/>
  <dc:description/>
  <cp:lastModifiedBy>Tucker Adams</cp:lastModifiedBy>
  <dcterms:created xsi:type="dcterms:W3CDTF">2026-05-14T18:09:24Z</dcterms:created>
  <dcterms:modified xsi:type="dcterms:W3CDTF">2026-08-24T14:52:25Z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0720e8-2283-4502-917f-4c0aee493a24_Enabled">
    <vt:lpwstr>true</vt:lpwstr>
  </property>
  <property fmtid="{D5CDD505-2E9C-101B-9397-08002B2CF9AE}" pid="3" name="MSIP_Label_5a0720e8-2283-4502-917f-4c0aee493a24_SetDate">
    <vt:lpwstr>2026-05-14T18:49:58Z</vt:lpwstr>
  </property>
  <property fmtid="{D5CDD505-2E9C-101B-9397-08002B2CF9AE}" pid="4" name="MSIP_Label_5a0720e8-2283-4502-917f-4c0aee493a24_Method">
    <vt:lpwstr>Standard</vt:lpwstr>
  </property>
  <property fmtid="{D5CDD505-2E9C-101B-9397-08002B2CF9AE}" pid="5" name="MSIP_Label_5a0720e8-2283-4502-917f-4c0aee493a24_Name">
    <vt:lpwstr>5a0720e8-2283-4502-917f-4c0aee493a24</vt:lpwstr>
  </property>
  <property fmtid="{D5CDD505-2E9C-101B-9397-08002B2CF9AE}" pid="6" name="MSIP_Label_5a0720e8-2283-4502-917f-4c0aee493a24_SiteId">
    <vt:lpwstr>2567b4c1-b0ed-40f5-aee3-58d7c5f3e2b2</vt:lpwstr>
  </property>
  <property fmtid="{D5CDD505-2E9C-101B-9397-08002B2CF9AE}" pid="7" name="MSIP_Label_5a0720e8-2283-4502-917f-4c0aee493a24_ActionId">
    <vt:lpwstr>a85707d4-d35e-4e83-9c35-55fdad2ba4a4</vt:lpwstr>
  </property>
  <property fmtid="{D5CDD505-2E9C-101B-9397-08002B2CF9AE}" pid="8" name="MSIP_Label_5a0720e8-2283-4502-917f-4c0aee493a24_ContentBits">
    <vt:lpwstr>2</vt:lpwstr>
  </property>
  <property fmtid="{D5CDD505-2E9C-101B-9397-08002B2CF9AE}" pid="9" name="MSIP_Label_5a0720e8-2283-4502-917f-4c0aee493a24_Tag">
    <vt:lpwstr>10, 3, 0, 1</vt:lpwstr>
  </property>
  <property fmtid="{D5CDD505-2E9C-101B-9397-08002B2CF9AE}" pid="10" name="SV_QUERY_LIST_4F35BF76-6C0D-4D9B-82B2-816C12CF3733">
    <vt:lpwstr>empty_477D106A-C0D6-4607-AEBD-E2C9D60EA279</vt:lpwstr>
  </property>
  <property fmtid="{D5CDD505-2E9C-101B-9397-08002B2CF9AE}" pid="11" name="SV_HIDDEN_GRID_QUERY_LIST_4F35BF76-6C0D-4D9B-82B2-816C12CF3733">
    <vt:lpwstr>empty_477D106A-C0D6-4607-AEBD-E2C9D60EA279</vt:lpwstr>
  </property>
  <property fmtid="{D5CDD505-2E9C-101B-9397-08002B2CF9AE}" pid="12" name="ContentTypeId">
    <vt:lpwstr>0x01010095B1C9F8780E554681FEDDF5A2FF8FBE</vt:lpwstr>
  </property>
  <property fmtid="{D5CDD505-2E9C-101B-9397-08002B2CF9AE}" pid="13" name="MediaServiceImageTags">
    <vt:lpwstr/>
  </property>
</Properties>
</file>