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c627b71dd8293f6/Documents/Claude/Projects/TBDI Modeling/Mireye/"/>
    </mc:Choice>
  </mc:AlternateContent>
  <xr:revisionPtr revIDLastSave="25" documentId="11_C9498FE707749BE33C51F9F53B954251BD00AB68" xr6:coauthVersionLast="47" xr6:coauthVersionMax="47" xr10:uidLastSave="{841B9AEB-88BC-44B1-A2E9-DB4C92D9E625}"/>
  <bookViews>
    <workbookView xWindow="28680" yWindow="-120" windowWidth="29040" windowHeight="17520" xr2:uid="{00000000-000D-0000-FFFF-FFFF00000000}"/>
  </bookViews>
  <sheets>
    <sheet name="Site Screen" sheetId="1" r:id="rId1"/>
    <sheet name="Notes &amp; Caveats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<sst xmlns="http://schemas.openxmlformats.org/spreadsheetml/2006/main" count="437" uniqueCount="265">
  <si>
    <t>Site</t>
  </si>
  <si>
    <t>Parcel (Regrid via Mireye)</t>
  </si>
  <si>
    <t>Power</t>
  </si>
  <si>
    <t>Gas / BTM</t>
  </si>
  <si>
    <t>Flood &amp; Hazard</t>
  </si>
  <si>
    <t>Climate / Cooling</t>
  </si>
  <si>
    <t>Air &amp; Environment</t>
  </si>
  <si>
    <t>Water / Sewer</t>
  </si>
  <si>
    <t>Connectivity</t>
  </si>
  <si>
    <t>Neighbors</t>
  </si>
  <si>
    <t>Summary</t>
  </si>
  <si>
    <t>Lat</t>
  </si>
  <si>
    <t>Lng</t>
  </si>
  <si>
    <t>Screen depth</t>
  </si>
  <si>
    <t>Situs address</t>
  </si>
  <si>
    <t>Owner of record</t>
  </si>
  <si>
    <t>APN</t>
  </si>
  <si>
    <t>Zoning</t>
  </si>
  <si>
    <t>Parcel area (m2)</t>
  </si>
  <si>
    <t>Parcel area (acres)</t>
  </si>
  <si>
    <t>Parcel caveat</t>
  </si>
  <si>
    <t>ISO/RTO</t>
  </si>
  <si>
    <t>Serving utility (retail)</t>
  </si>
  <si>
    <t>Ind. elec price ($/kWh)</t>
  </si>
  <si>
    <t>Est. annual cost ($/MW-yr)</t>
  </si>
  <si>
    <t>Substation dist (m)</t>
  </si>
  <si>
    <t>Substation max kV</t>
  </si>
  <si>
    <t>Trans line dist (m)</t>
  </si>
  <si>
    <t>Trans line kV</t>
  </si>
  <si>
    <t>Trans line owner</t>
  </si>
  <si>
    <t>Max kV within 10 km</t>
  </si>
  <si>
    <t>Substations in 10 km</t>
  </si>
  <si>
    <t>Redundancy flag</t>
  </si>
  <si>
    <t>County queue (MW, generator-side)</t>
  </si>
  <si>
    <t>Gas pipeline dist (m)</t>
  </si>
  <si>
    <t>Interstate pipeline (m)</t>
  </si>
  <si>
    <t>Ind. gas ($/MCF)</t>
  </si>
  <si>
    <t>Grid ($/MWh)</t>
  </si>
  <si>
    <t>Modeled gas gen ($/MWh, fuel-only)</t>
  </si>
  <si>
    <t>BTM gas flag</t>
  </si>
  <si>
    <t>FEMA zone</t>
  </si>
  <si>
    <t>In SFHA</t>
  </si>
  <si>
    <t>Seismic design cat.</t>
  </si>
  <si>
    <t>PGA 2%/50yr (g)</t>
  </si>
  <si>
    <t>Design wind (mph)</t>
  </si>
  <si>
    <t>Karst</t>
  </si>
  <si>
    <t>Nearest dam (m)</t>
  </si>
  <si>
    <t>Dam hazard class</t>
  </si>
  <si>
    <t>High-hazard dams 10 km</t>
  </si>
  <si>
    <t>Shrink-swell</t>
  </si>
  <si>
    <t>Slope (deg)</t>
  </si>
  <si>
    <t>Design wet bulb (degC)</t>
  </si>
  <si>
    <t>Days &gt;=32C /yr</t>
  </si>
  <si>
    <t>Free cooling h/yr @15C</t>
  </si>
  <si>
    <t>Free cooling h/yr @10C</t>
  </si>
  <si>
    <t>Ozone nonattainment</t>
  </si>
  <si>
    <t>Worst class</t>
  </si>
  <si>
    <t>Maintenance area</t>
  </si>
  <si>
    <t>Superfund in 8 km</t>
  </si>
  <si>
    <t>Brownfields in 8 km</t>
  </si>
  <si>
    <t>USTs in 1 km</t>
  </si>
  <si>
    <t>Open LUST in 1 km</t>
  </si>
  <si>
    <t>Opportunity Zone</t>
  </si>
  <si>
    <t>Incentive stack</t>
  </si>
  <si>
    <t>In water service area</t>
  </si>
  <si>
    <t>Water system</t>
  </si>
  <si>
    <t>System pop served</t>
  </si>
  <si>
    <t>In sewer service area</t>
  </si>
  <si>
    <t>Sewer provider</t>
  </si>
  <si>
    <t>WWTP dist (m)</t>
  </si>
  <si>
    <t>WWTP pop served</t>
  </si>
  <si>
    <t>FTTP providers</t>
  </si>
  <si>
    <t>5G class</t>
  </si>
  <si>
    <t>Housing units 1 km</t>
  </si>
  <si>
    <t>Density (units/km2)</t>
  </si>
  <si>
    <t>Residential context</t>
  </si>
  <si>
    <t>School dist (m)</t>
  </si>
  <si>
    <t>School name</t>
  </si>
  <si>
    <t>Rank</t>
  </si>
  <si>
    <t>Key strengths</t>
  </si>
  <si>
    <t>Key risks</t>
  </si>
  <si>
    <t>Verdict</t>
  </si>
  <si>
    <t>Recommendation</t>
  </si>
  <si>
    <t>not pulled</t>
  </si>
  <si>
    <t>TRUE</t>
  </si>
  <si>
    <t>absent</t>
  </si>
  <si>
    <t>X</t>
  </si>
  <si>
    <t>No</t>
  </si>
  <si>
    <t>B</t>
  </si>
  <si>
    <t>High</t>
  </si>
  <si>
    <t>Low</t>
  </si>
  <si>
    <t>(none)</t>
  </si>
  <si>
    <t>Yes</t>
  </si>
  <si>
    <t>5g_high_speed</t>
  </si>
  <si>
    <t>dense</t>
  </si>
  <si>
    <t>NO-GO</t>
  </si>
  <si>
    <t>Baldwin GA - 2000 Communications Blvd</t>
  </si>
  <si>
    <t>Full (conversion screen)</t>
  </si>
  <si>
    <t>2000 COMMUNICATIONS BLVD</t>
  </si>
  <si>
    <t>090 016</t>
  </si>
  <si>
    <t>HI</t>
  </si>
  <si>
    <t>Validated: coord + address pulls returned same parcel; address exact match</t>
  </si>
  <si>
    <t>Georgia Power Co</t>
  </si>
  <si>
    <t>C</t>
  </si>
  <si>
    <t>No (54 m to boundary)</t>
  </si>
  <si>
    <t>Baldwin WPCP</t>
  </si>
  <si>
    <t>Baldwin Elementary School</t>
  </si>
  <si>
    <t>26.35-ac HI parcel; 115 kV line 170 m; attainment air; clean environmental radius; full 5-50 MW band</t>
  </si>
  <si>
    <t>No gas fallback (interstate 52 km); outside water area (54 m extension); small WWTP (5,231); no queue visibility (non-RTO)</t>
  </si>
  <si>
    <t>GO</t>
  </si>
  <si>
    <t>Pursue first - open Georgia Power capacity inquiry now</t>
  </si>
  <si>
    <t>Northfield OH - 54 Leonard Ave</t>
  </si>
  <si>
    <t>LEONARD AVE</t>
  </si>
  <si>
    <t>Kinetic ABS OH LLC</t>
  </si>
  <si>
    <t>4002466</t>
  </si>
  <si>
    <t>T-C</t>
  </si>
  <si>
    <t>FRAGMENT - wrong parcel for address; county shows 7-parcel assemblage (APNs 4002461-4002467); building on 4002461</t>
  </si>
  <si>
    <t>PJM</t>
  </si>
  <si>
    <t>City of Cleveland (OH) - SUSPECT</t>
  </si>
  <si>
    <t>Yes - ozone (2015 std)</t>
  </si>
  <si>
    <t>Serious</t>
  </si>
  <si>
    <t>Yes (2008 ozone)</t>
  </si>
  <si>
    <t>Cleveland Public Water System</t>
  </si>
  <si>
    <t>NEORSD Southerly WWTP</t>
  </si>
  <si>
    <t>Nordonia Middle School</t>
  </si>
  <si>
    <t>345 kV line 893 m; 23 substations/10 km; 1.3M-person water system; 4 fiber providers; good cooling</t>
  </si>
  <si>
    <t>Serious ozone (genset permitting); school 87 m; $872k/MW-yr; parcel data unreliable (multi-parcel site); utility attribution suspect</t>
  </si>
  <si>
    <t>REVIEW</t>
  </si>
  <si>
    <t>Verify serving utility (FirstEnergy?) and site assemblage with Windstream before advancing</t>
  </si>
  <si>
    <t>Hudson OH - 1300 Terex Rd</t>
  </si>
  <si>
    <t>1300 TEREX RD</t>
  </si>
  <si>
    <t>3003811</t>
  </si>
  <si>
    <t>DISTRICT-8</t>
  </si>
  <si>
    <t>Single matched parcel; owner holds 16 Summit Co parcels - may be part of assemblage</t>
  </si>
  <si>
    <t>City of Hudson (OH) - verified real muni</t>
  </si>
  <si>
    <t>Significant</t>
  </si>
  <si>
    <t>Hudson City PWS</t>
  </si>
  <si>
    <t>No (546 m to boundary)</t>
  </si>
  <si>
    <t>The Goddard School</t>
  </si>
  <si>
    <t>138 kV substation 1.1 km; 21 substations/10 km; clean environmental; strong cooling; 4 fiber providers</t>
  </si>
  <si>
    <t>Municipal utility counterparty at 50 MW; Serious ozone (Tier 4 gensets); outside sewer area; small water system</t>
  </si>
  <si>
    <t>Advance - gauge Hudson Public Power capacity appetite; spec Tier 4 gensets</t>
  </si>
  <si>
    <t>Newark OH - 66 N 4th St</t>
  </si>
  <si>
    <t>66 N 4 ST</t>
  </si>
  <si>
    <t>02121190402004058000</t>
  </si>
  <si>
    <t>DC</t>
  </si>
  <si>
    <t>Single matched parcel; downtown CBD - possible assemblage</t>
  </si>
  <si>
    <t>Ohio Power Co (AEP)</t>
  </si>
  <si>
    <t>Ohio Power Co</t>
  </si>
  <si>
    <t>Yes (2008+2015 ozone)</t>
  </si>
  <si>
    <t>brownfield_repowering_screened</t>
  </si>
  <si>
    <t>Newark City PWS</t>
  </si>
  <si>
    <t>Newark WWTP &amp; Sewer System</t>
  </si>
  <si>
    <t>Child Of God Preschool</t>
  </si>
  <si>
    <t>Solid AEP counterparty; maintenance-only air quality; water+sewer in-area</t>
  </si>
  <si>
    <t>69 kV ceiling in entire radius (caps ~5-15 MW); downtown dense (3,135 units); preschool 182 m; 16 USTs + 16 brownfields + 1 LUST</t>
  </si>
  <si>
    <t>Drop - power geography caps the MW band and siting conflicts compound</t>
  </si>
  <si>
    <t>Riverside TX - FM 980 (Walker Co)</t>
  </si>
  <si>
    <t>FM 980</t>
  </si>
  <si>
    <t>Valor Telecommunications of Texas LP</t>
  </si>
  <si>
    <t>14123</t>
  </si>
  <si>
    <t>Single matched parcel; rural - assemblage unknown</t>
  </si>
  <si>
    <t>ERCOT (field) - SUSPECT, wires are Entergy TX (likely MISO)</t>
  </si>
  <si>
    <t>Mid-South Electric Coop Assn</t>
  </si>
  <si>
    <t>Entergy Texas, Inc.</t>
  </si>
  <si>
    <t>FALSE</t>
  </si>
  <si>
    <t>A</t>
  </si>
  <si>
    <t>YES - SFHA, no BFE published</t>
  </si>
  <si>
    <t>Riverside SUD</t>
  </si>
  <si>
    <t>No (7,460 m to boundary)</t>
  </si>
  <si>
    <t>moderate</t>
  </si>
  <si>
    <t>(unreliable Overture record)</t>
  </si>
  <si>
    <t>Cheapest grid ($555k/MW-yr); best gas hedge ($29 vs $63, pipeline 545 m); attainment air; 138 kV</t>
  </si>
  <si>
    <t>FEMA Zone A floodplain (approximate study, no BFE); worst-tier cooling; 2 substations/10 km, redundancy FALSE; sewer 7.5 km</t>
  </si>
  <si>
    <t>NO-GO (flood)</t>
  </si>
  <si>
    <t>Park - spend ~$2k on elevation certificate; revive only if LOMA path viable</t>
  </si>
  <si>
    <t>Harrison AR - 202 Graham St</t>
  </si>
  <si>
    <t>202 GRAHAM STRE</t>
  </si>
  <si>
    <t>825-14426-200</t>
  </si>
  <si>
    <t>C3</t>
  </si>
  <si>
    <t>Single matched parcel - 10.0 ac; only multi-acre parcel besides Baldwin</t>
  </si>
  <si>
    <t>MISO</t>
  </si>
  <si>
    <t>Entergy Arkansas LLC</t>
  </si>
  <si>
    <t>Entergy Arkansas Inc</t>
  </si>
  <si>
    <t>TRUE (flag only - see risks)</t>
  </si>
  <si>
    <t>D</t>
  </si>
  <si>
    <t>YES - carbonate, EXPOSED (Boone Fm)</t>
  </si>
  <si>
    <t>Harrison Waterworks</t>
  </si>
  <si>
    <t>Harrison WWTP</t>
  </si>
  <si>
    <t>Educational Opportunity Center</t>
  </si>
  <si>
    <t>10.0-ac C3 parcel; 161 kV substation+line ~960 m; cheapest power in portfolio ($543k/MW-yr); attainment; spotless environmental</t>
  </si>
  <si>
    <t>Exposed carbonate karst (sinkhole/foundation risk - geotech required); seismic design category D; only 3 substations/10 km; gas gen uneconomic</t>
  </si>
  <si>
    <t>GO (leaning)</t>
  </si>
  <si>
    <t>Pursue #2 - order geotech karst study and Entergy capacity inquiry in parallel</t>
  </si>
  <si>
    <t>Moultrie GA - 216 4th St SE</t>
  </si>
  <si>
    <t>216 4TH ST SE</t>
  </si>
  <si>
    <t>M035  001</t>
  </si>
  <si>
    <t>C-3</t>
  </si>
  <si>
    <t>Single matched parcel - 1.31 ac</t>
  </si>
  <si>
    <t>City of Moultrie (GA) - muni</t>
  </si>
  <si>
    <t>Buried carbonate (low confidence)</t>
  </si>
  <si>
    <t>YES - tract 13071970702</t>
  </si>
  <si>
    <t>opportunity_zone</t>
  </si>
  <si>
    <t>Moultrie</t>
  </si>
  <si>
    <t>Moultrie WPCP</t>
  </si>
  <si>
    <t>Stringfellow Elementary School</t>
  </si>
  <si>
    <t>Only Opportunity Zone site (capital-stack sweetener); 115 kV line 303 m (GA Power wires); attainment; 15 substations/10 km</t>
  </si>
  <si>
    <t>Muni retail counterparty; 32 USTs + 2 open LUST in 1 km (Phase I needed); hot climate (69 days &gt;=32C); 1.31-ac parcel</t>
  </si>
  <si>
    <t>Hold as OZ-advantaged backup; Phase I environmental if advanced</t>
  </si>
  <si>
    <t>Newton IA - 115 S 2nd Ave W</t>
  </si>
  <si>
    <t>115 S 2ND AVE W</t>
  </si>
  <si>
    <t>CSL Iowa System LLC (Uniti leaseback)</t>
  </si>
  <si>
    <t>0834158001</t>
  </si>
  <si>
    <t>C-CBD</t>
  </si>
  <si>
    <t>Consumers Energy - SUSPECT (likely Alliant/IPL; a Consumers Energy Coop exists in IA)</t>
  </si>
  <si>
    <t>MidAmerican Energy Co</t>
  </si>
  <si>
    <t>Moderate</t>
  </si>
  <si>
    <t>Newton Water Supply</t>
  </si>
  <si>
    <t>Newton WWTP</t>
  </si>
  <si>
    <t>Central Junior High School</t>
  </si>
  <si>
    <t>161 kV substation 784 m; cheap power ($548k/MW-yr); attainment; excellent cooling (5,312 h)</t>
  </si>
  <si>
    <t>0.43-ac CBD fragment; junior high 426 m; superfund site 827 m; Uniti (CSL) leaseback ownership; utility attribution suspect; 2 open LUST</t>
  </si>
  <si>
    <t>Hold - verify Alliant service and site assemblage; mid-tier candidate</t>
  </si>
  <si>
    <t>Sugar Land TX - Fort Bend Co</t>
  </si>
  <si>
    <t>TRIAGE ONLY (credits) - no parcel/building/school</t>
  </si>
  <si>
    <t>Parcel fields not pulled - credit exhaustion; complete after Sept 1 reset</t>
  </si>
  <si>
    <t>ERCOT (eGRID ERCT)</t>
  </si>
  <si>
    <t>CenterPoint Energy (wires; retail via competitive REP)</t>
  </si>
  <si>
    <t>VERY HIGH</t>
  </si>
  <si>
    <t>Yes - ozone (2008+2015 stds)</t>
  </si>
  <si>
    <t>SEVERE</t>
  </si>
  <si>
    <t>City of Sugar Land</t>
  </si>
  <si>
    <t>Sugar Land North WWTP</t>
  </si>
  <si>
    <t>Zone X despite Houston metro; 18 substations/10 km; 3.3 GW county queue (hot market); best gas economics on paper</t>
  </si>
  <si>
    <t>SEVERE ozone (25 tpy NOx major threshold - neutralizes gas play, forces Tier 4); 136 mph design wind; very-high shrink-swell clays; worst cooling (1,994 h); screen incomplete</t>
  </si>
  <si>
    <t>REVIEW (incomplete)</t>
  </si>
  <si>
    <t>Complete parcel screen after Sept 1 credit reset before judging</t>
  </si>
  <si>
    <t>TBDI x Mireye site screen - data notes</t>
  </si>
  <si>
    <t>Session</t>
  </si>
  <si>
    <t>All values pulled via mireye-earth MCP on 2026-08-11. Sources per field: FEMA NFHL, EIA Power Atlas, Regrid, EPA (Green Book/FRS/UST Finder/Sewersheds/CWS/CWNS), LBNL Queued Up, NREL NSRDB, NOAA/ASCE, USGS (NSHM/karst/3DEP/landslide), USACE NID, Census TIGERweb, FCC BDC, Overture.</t>
  </si>
  <si>
    <t>'absent' vs 'not pulled'</t>
  </si>
  <si>
    <t>'absent' = the source confirmed no data exists there (a real answer, e.g. no dam within 10 km). 'not pulled' = field was never requested (Boyd test screen used a different recipe; Sugar Land hit the monthly credit ceiling).</t>
  </si>
  <si>
    <t>Parcel areas are FLOORS, not site sizes</t>
  </si>
  <si>
    <t>Regrid returns the single parcel under the query point. Telecom exchanges are frequently multi-parcel assemblages: at Northfield OH, county records show a 7-parcel site and Mireye returned a 0.11-ac vacant fragment twice (coordinate AND rooftop-geocoded address), with every quality flag clean. Treat every small parcel value as a fragment until county records confirm. Only Baldwin GA was cross-validated (two independent pulls returned the identical 26.35-ac parcel).</t>
  </si>
  <si>
    <t>Serving-utility field</t>
  </si>
  <si>
    <t>Retail biller only - never the transmission owner or interconnection counterparty. Two values look wrong (overlapping-territory polygon errors): Northfield 'City of Cleveland' (expected FirstEnergy/Ohio Edison) and Newton 'Consumers Energy' (expected Alliant/IPL; note a real Consumers Energy Coop exists in Iowa). Verify against the site's actual power invoices.</t>
  </si>
  <si>
    <t>County queue (MW)</t>
  </si>
  <si>
    <t>LBNL Queued Up tracks GENERATOR interconnection queues. Read as grid congestion / market-activity signal, never as capacity available to serve load.</t>
  </si>
  <si>
    <t>Deliverable MW</t>
  </si>
  <si>
    <t>Not derivable from these fields. Feeder/transformer headroom requires a utility capacity study per site (contract-gated Mireye power-band product also exists).</t>
  </si>
  <si>
    <t>Ozone nonattainment at 5-50 MW grid-primary</t>
  </si>
  <si>
    <t>Constraint on the backup genset fleet, not the grid draw. Major-source NOx thresholds: 100 tpy attainment / 50 tpy Serious / 25 tpy Severe. ~5 MW fleets are minor everywhere; ~50 MW fleets in Serious/Severe areas need Tier 4/SCR engines + capped test hours (~15-25% genset capex premium, longer permitting). Severe status also forecloses non-emergency running - it neutralizes Sugar Land's behind-the-meter gas advantage.</t>
  </si>
  <si>
    <t>Building fields (Overture)</t>
  </si>
  <si>
    <t>Excluded as unreliable: footprint was ~10x off at Northfield vs. owner records; class/floor labels missing at most sites. Use owner-provided interior square footage instead.</t>
  </si>
  <si>
    <t>Riverside TX flood</t>
  </si>
  <si>
    <t>Zone A = SFHA mapped by approximate methods, NO base flood elevation published. Substantial-improvement rule likely triggered by any conversion. Cheapest resolution: elevation certificate + LOMA attempt (~$1-3k) before any further spend.</t>
  </si>
  <si>
    <t>MW band rule of thumb</t>
  </si>
  <si>
    <t>69 kV network: low tens of MW where headroom exists. 115-161 kV: comfortably covers 50 MW. 345 kV tap: only pencils at the very top of the range.</t>
  </si>
  <si>
    <t>Ownership pattern</t>
  </si>
  <si>
    <t>Sites sit in different Windstream entities: Kinetic ABS OH LLC (OH sites, ABS vehicle, Dec 2025 transfers), CSL Iowa System LLC (Uniti leaseback), Valor Telecommunications of Texas LP. Negotiating counterparty differs by site.</t>
  </si>
  <si>
    <t>Credit state</t>
  </si>
  <si>
    <t>Free plan 5,000/mo effectively exhausted (~4,999 used); resets 2026-09-01. Outstanding: Sugar Land parcel/school fields (~310 credits). Session total ~5,000 credits across 10 screens (screens ran ~450 each after recipe was tuned; early Boyd screen + missteps cost more).</t>
  </si>
  <si>
    <t>Verdicts</t>
  </si>
  <si>
    <t>GO = advance to diligence now. REVIEW = real candidate with named blockers to resolve first. NO-GO = disqualified on current facts.</t>
  </si>
  <si>
    <t>1 Baldwin GA, 2 Harrison AR, 3 Hudson OH, 4 Moultrie GA, 5 Newton IA, 6 Northfield OH, 7 Sugar Land TX (incomplete), 8 Newark OH, 9 Riverside TX. Boyd KY was a setup test, not ranked.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</si>
</sst>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0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1"/>
      <color theme="1"/>
      <name val="Calibri"/>
      <family val="2"/>
      <scheme val="minor"/>
    </font>
    <font>
      <i/>
      <sz val="9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0" fillId="0" borderId="4" xfId="0" applyBorder="1"/>
    <xf numFmtId="0" fontId="8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8" fillId="0" borderId="2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165" fontId="2" fillId="0" borderId="2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3" fontId="2" fillId="0" borderId="3" xfId="0" applyNumberFormat="1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2" fontId="1" fillId="0" borderId="2" xfId="0" applyNumberFormat="1" applyFont="1" applyBorder="1" applyAlignment="1">
      <alignment vertical="top"/>
    </xf>
    <xf numFmtId="2" fontId="2" fillId="0" borderId="2" xfId="0" applyNumberFormat="1" applyFont="1" applyBorder="1" applyAlignment="1">
      <alignment vertical="top"/>
    </xf>
    <xf numFmtId="2" fontId="1" fillId="0" borderId="3" xfId="0" applyNumberFormat="1" applyFont="1" applyBorder="1" applyAlignment="1">
      <alignment vertical="top"/>
    </xf>
    <xf numFmtId="2" fontId="2" fillId="0" borderId="3" xfId="0" applyNumberFormat="1" applyFont="1" applyBorder="1" applyAlignment="1">
      <alignment vertical="top"/>
    </xf>
    <xf numFmtId="3" fontId="1" fillId="0" borderId="2" xfId="0" applyNumberFormat="1" applyFont="1" applyBorder="1" applyAlignment="1">
      <alignment vertical="top"/>
    </xf>
    <xf numFmtId="3" fontId="2" fillId="0" borderId="2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1"/>
  <sheetViews>
    <sheetView tabSelected="1" workbookViewId="0">
      <pane xSplit="1" ySplit="2" topLeftCell="BM3" activePane="bottomRight" state="frozen"/>
      <selection pane="topRight"/>
      <selection pane="bottomLeft"/>
      <selection pane="bottomRight" activeCell="BU9" sqref="BU9"/>
    </sheetView>
  </sheetViews>
  <sheetFormatPr defaultRowHeight="15" outlineLevelCol="1" x14ac:dyDescent="0.25"/>
  <cols>
    <col min="1" max="1" width="30" customWidth="1"/>
    <col min="2" max="3" width="11" customWidth="1"/>
    <col min="4" max="4" width="22" customWidth="1"/>
    <col min="5" max="5" width="20" style="27" customWidth="1"/>
    <col min="6" max="6" width="24" customWidth="1"/>
    <col min="7" max="7" width="18" customWidth="1"/>
    <col min="8" max="10" width="11" hidden="1" customWidth="1" outlineLevel="1"/>
    <col min="11" max="11" width="36" hidden="1" customWidth="1" outlineLevel="1"/>
    <col min="12" max="12" width="22" style="27" customWidth="1" collapsed="1"/>
    <col min="13" max="13" width="30" customWidth="1"/>
    <col min="14" max="19" width="11" customWidth="1"/>
    <col min="20" max="20" width="20" customWidth="1"/>
    <col min="21" max="24" width="11" customWidth="1"/>
    <col min="25" max="25" width="11" style="27" hidden="1" customWidth="1" outlineLevel="1"/>
    <col min="26" max="29" width="11" hidden="1" customWidth="1" outlineLevel="1"/>
    <col min="30" max="30" width="16" hidden="1" customWidth="1" outlineLevel="1"/>
    <col min="31" max="31" width="11" style="27" customWidth="1" collapsed="1"/>
    <col min="32" max="32" width="18" customWidth="1"/>
    <col min="33" max="35" width="11" customWidth="1"/>
    <col min="36" max="36" width="22" customWidth="1"/>
    <col min="37" max="41" width="11" customWidth="1"/>
    <col min="42" max="42" width="11" style="27" hidden="1" customWidth="1" outlineLevel="1"/>
    <col min="43" max="45" width="11" hidden="1" customWidth="1" outlineLevel="1"/>
    <col min="46" max="46" width="18" style="27" customWidth="1" collapsed="1"/>
    <col min="47" max="53" width="11" hidden="1" customWidth="1" outlineLevel="1"/>
    <col min="54" max="54" width="22" hidden="1" customWidth="1" outlineLevel="1"/>
    <col min="55" max="55" width="16" style="27" customWidth="1" collapsed="1"/>
    <col min="56" max="56" width="22" hidden="1" customWidth="1" outlineLevel="1"/>
    <col min="57" max="57" width="11" hidden="1" customWidth="1" outlineLevel="1"/>
    <col min="58" max="58" width="16" hidden="1" customWidth="1" outlineLevel="1"/>
    <col min="59" max="59" width="22" hidden="1" customWidth="1" outlineLevel="1"/>
    <col min="60" max="61" width="11" hidden="1" customWidth="1" outlineLevel="1"/>
    <col min="62" max="62" width="11" style="27" customWidth="1" collapsed="1"/>
    <col min="63" max="63" width="11" customWidth="1"/>
    <col min="64" max="64" width="11" style="27" customWidth="1"/>
    <col min="65" max="67" width="11" customWidth="1"/>
    <col min="68" max="68" width="24" customWidth="1"/>
    <col min="69" max="69" width="11" style="27" customWidth="1"/>
    <col min="70" max="70" width="48" customWidth="1"/>
    <col min="71" max="71" width="52" customWidth="1"/>
    <col min="72" max="72" width="14" customWidth="1"/>
    <col min="73" max="73" width="42" customWidth="1"/>
  </cols>
  <sheetData>
    <row r="1" spans="1:73" s="14" customFormat="1" x14ac:dyDescent="0.25">
      <c r="A1" s="9" t="s">
        <v>0</v>
      </c>
      <c r="B1" s="10"/>
      <c r="C1" s="10"/>
      <c r="D1" s="22"/>
      <c r="E1" s="24" t="s">
        <v>1</v>
      </c>
      <c r="F1" s="19"/>
      <c r="G1" s="18"/>
      <c r="H1" s="10"/>
      <c r="I1" s="11"/>
      <c r="J1" s="12"/>
      <c r="K1" s="22"/>
      <c r="L1" s="28" t="s">
        <v>2</v>
      </c>
      <c r="M1" s="9"/>
      <c r="N1" s="13"/>
      <c r="O1" s="11"/>
      <c r="P1" s="11"/>
      <c r="Q1" s="10"/>
      <c r="R1" s="11"/>
      <c r="S1" s="10"/>
      <c r="T1" s="10"/>
      <c r="U1" s="10"/>
      <c r="V1" s="10"/>
      <c r="W1" s="10"/>
      <c r="X1" s="31"/>
      <c r="Y1" s="34" t="s">
        <v>3</v>
      </c>
      <c r="Z1" s="11"/>
      <c r="AA1" s="12"/>
      <c r="AB1" s="12"/>
      <c r="AC1" s="12"/>
      <c r="AD1" s="22"/>
      <c r="AE1" s="37" t="s">
        <v>4</v>
      </c>
      <c r="AF1" s="9"/>
      <c r="AG1" s="10"/>
      <c r="AH1" s="12"/>
      <c r="AI1" s="10"/>
      <c r="AJ1" s="9"/>
      <c r="AK1" s="11"/>
      <c r="AL1" s="10"/>
      <c r="AM1" s="10"/>
      <c r="AN1" s="10"/>
      <c r="AO1" s="38"/>
      <c r="AP1" s="40" t="s">
        <v>5</v>
      </c>
      <c r="AQ1" s="10"/>
      <c r="AR1" s="11"/>
      <c r="AS1" s="42"/>
      <c r="AT1" s="44" t="s">
        <v>6</v>
      </c>
      <c r="AU1" s="18"/>
      <c r="AV1" s="9"/>
      <c r="AW1" s="10"/>
      <c r="AX1" s="10"/>
      <c r="AY1" s="10"/>
      <c r="AZ1" s="10"/>
      <c r="BA1" s="9"/>
      <c r="BB1" s="45"/>
      <c r="BC1" s="44" t="s">
        <v>7</v>
      </c>
      <c r="BD1" s="9"/>
      <c r="BE1" s="11"/>
      <c r="BF1" s="9"/>
      <c r="BG1" s="9"/>
      <c r="BH1" s="11"/>
      <c r="BI1" s="42"/>
      <c r="BJ1" s="37" t="s">
        <v>8</v>
      </c>
      <c r="BK1" s="45"/>
      <c r="BL1" s="34" t="s">
        <v>9</v>
      </c>
      <c r="BM1" s="12"/>
      <c r="BN1" s="10"/>
      <c r="BO1" s="11"/>
      <c r="BP1" s="22"/>
      <c r="BQ1" s="37" t="s">
        <v>10</v>
      </c>
      <c r="BR1" s="9"/>
      <c r="BS1" s="9"/>
      <c r="BT1" s="17"/>
      <c r="BU1" s="9"/>
    </row>
    <row r="2" spans="1:73" s="14" customFormat="1" ht="24" x14ac:dyDescent="0.25">
      <c r="A2" s="9" t="s">
        <v>0</v>
      </c>
      <c r="B2" s="10" t="s">
        <v>11</v>
      </c>
      <c r="C2" s="10" t="s">
        <v>12</v>
      </c>
      <c r="D2" s="22" t="s">
        <v>13</v>
      </c>
      <c r="E2" s="24" t="s">
        <v>14</v>
      </c>
      <c r="F2" s="19" t="s">
        <v>15</v>
      </c>
      <c r="G2" s="18" t="s">
        <v>16</v>
      </c>
      <c r="H2" s="10" t="s">
        <v>17</v>
      </c>
      <c r="I2" s="11" t="s">
        <v>18</v>
      </c>
      <c r="J2" s="12" t="s">
        <v>19</v>
      </c>
      <c r="K2" s="22" t="s">
        <v>20</v>
      </c>
      <c r="L2" s="28" t="s">
        <v>21</v>
      </c>
      <c r="M2" s="9" t="s">
        <v>22</v>
      </c>
      <c r="N2" s="13" t="s">
        <v>23</v>
      </c>
      <c r="O2" s="11" t="s">
        <v>24</v>
      </c>
      <c r="P2" s="11" t="s">
        <v>25</v>
      </c>
      <c r="Q2" s="10" t="s">
        <v>26</v>
      </c>
      <c r="R2" s="11" t="s">
        <v>27</v>
      </c>
      <c r="S2" s="10" t="s">
        <v>28</v>
      </c>
      <c r="T2" s="10" t="s">
        <v>29</v>
      </c>
      <c r="U2" s="10" t="s">
        <v>30</v>
      </c>
      <c r="V2" s="10" t="s">
        <v>31</v>
      </c>
      <c r="W2" s="10" t="s">
        <v>32</v>
      </c>
      <c r="X2" s="31" t="s">
        <v>33</v>
      </c>
      <c r="Y2" s="34" t="s">
        <v>34</v>
      </c>
      <c r="Z2" s="11" t="s">
        <v>35</v>
      </c>
      <c r="AA2" s="12" t="s">
        <v>36</v>
      </c>
      <c r="AB2" s="12" t="s">
        <v>37</v>
      </c>
      <c r="AC2" s="12" t="s">
        <v>38</v>
      </c>
      <c r="AD2" s="22" t="s">
        <v>39</v>
      </c>
      <c r="AE2" s="37" t="s">
        <v>40</v>
      </c>
      <c r="AF2" s="9" t="s">
        <v>41</v>
      </c>
      <c r="AG2" s="10" t="s">
        <v>42</v>
      </c>
      <c r="AH2" s="12" t="s">
        <v>43</v>
      </c>
      <c r="AI2" s="10" t="s">
        <v>44</v>
      </c>
      <c r="AJ2" s="9" t="s">
        <v>45</v>
      </c>
      <c r="AK2" s="11" t="s">
        <v>46</v>
      </c>
      <c r="AL2" s="10" t="s">
        <v>47</v>
      </c>
      <c r="AM2" s="10" t="s">
        <v>48</v>
      </c>
      <c r="AN2" s="10" t="s">
        <v>49</v>
      </c>
      <c r="AO2" s="38" t="s">
        <v>50</v>
      </c>
      <c r="AP2" s="40" t="s">
        <v>51</v>
      </c>
      <c r="AQ2" s="10" t="s">
        <v>52</v>
      </c>
      <c r="AR2" s="11" t="s">
        <v>53</v>
      </c>
      <c r="AS2" s="42" t="s">
        <v>54</v>
      </c>
      <c r="AT2" s="44" t="s">
        <v>55</v>
      </c>
      <c r="AU2" s="18" t="s">
        <v>56</v>
      </c>
      <c r="AV2" s="9" t="s">
        <v>57</v>
      </c>
      <c r="AW2" s="10" t="s">
        <v>58</v>
      </c>
      <c r="AX2" s="10" t="s">
        <v>59</v>
      </c>
      <c r="AY2" s="10" t="s">
        <v>60</v>
      </c>
      <c r="AZ2" s="10" t="s">
        <v>61</v>
      </c>
      <c r="BA2" s="9" t="s">
        <v>62</v>
      </c>
      <c r="BB2" s="45" t="s">
        <v>63</v>
      </c>
      <c r="BC2" s="44" t="s">
        <v>64</v>
      </c>
      <c r="BD2" s="9" t="s">
        <v>65</v>
      </c>
      <c r="BE2" s="11" t="s">
        <v>66</v>
      </c>
      <c r="BF2" s="9" t="s">
        <v>67</v>
      </c>
      <c r="BG2" s="9" t="s">
        <v>68</v>
      </c>
      <c r="BH2" s="11" t="s">
        <v>69</v>
      </c>
      <c r="BI2" s="42" t="s">
        <v>70</v>
      </c>
      <c r="BJ2" s="37" t="s">
        <v>71</v>
      </c>
      <c r="BK2" s="45" t="s">
        <v>72</v>
      </c>
      <c r="BL2" s="34" t="s">
        <v>73</v>
      </c>
      <c r="BM2" s="12" t="s">
        <v>74</v>
      </c>
      <c r="BN2" s="10" t="s">
        <v>75</v>
      </c>
      <c r="BO2" s="11" t="s">
        <v>76</v>
      </c>
      <c r="BP2" s="22" t="s">
        <v>77</v>
      </c>
      <c r="BQ2" s="37" t="s">
        <v>78</v>
      </c>
      <c r="BR2" s="9" t="s">
        <v>79</v>
      </c>
      <c r="BS2" s="9" t="s">
        <v>80</v>
      </c>
      <c r="BT2" s="17" t="s">
        <v>81</v>
      </c>
      <c r="BU2" s="9" t="s">
        <v>82</v>
      </c>
    </row>
    <row r="3" spans="1:73" ht="24" x14ac:dyDescent="0.25">
      <c r="A3" s="1" t="s">
        <v>96</v>
      </c>
      <c r="B3" s="2">
        <v>34.497208469999997</v>
      </c>
      <c r="C3" s="2">
        <v>-83.549977670000004</v>
      </c>
      <c r="D3" s="23" t="s">
        <v>97</v>
      </c>
      <c r="E3" s="26" t="s">
        <v>98</v>
      </c>
      <c r="F3" s="16" t="s">
        <v>85</v>
      </c>
      <c r="G3" s="2" t="s">
        <v>99</v>
      </c>
      <c r="H3" s="2" t="s">
        <v>100</v>
      </c>
      <c r="I3" s="3">
        <v>106647.29</v>
      </c>
      <c r="J3" s="4">
        <f t="shared" ref="J3:J10" si="0">I3/4046.856</f>
        <v>26.353122028557475</v>
      </c>
      <c r="K3" s="23" t="s">
        <v>101</v>
      </c>
      <c r="L3" s="29" t="s">
        <v>85</v>
      </c>
      <c r="M3" s="1" t="s">
        <v>102</v>
      </c>
      <c r="N3" s="5">
        <v>6.8400000000000002E-2</v>
      </c>
      <c r="O3" s="3">
        <v>599184</v>
      </c>
      <c r="P3" s="3">
        <v>1300.5999999999999</v>
      </c>
      <c r="Q3" s="2">
        <v>115</v>
      </c>
      <c r="R3" s="3">
        <v>169.5</v>
      </c>
      <c r="S3" s="2">
        <v>115</v>
      </c>
      <c r="T3" s="2" t="s">
        <v>102</v>
      </c>
      <c r="U3" s="2">
        <v>115</v>
      </c>
      <c r="V3" s="2">
        <v>10</v>
      </c>
      <c r="W3" s="2" t="s">
        <v>84</v>
      </c>
      <c r="X3" s="32" t="s">
        <v>85</v>
      </c>
      <c r="Y3" s="25" t="s">
        <v>85</v>
      </c>
      <c r="Z3" s="3">
        <v>51825.7</v>
      </c>
      <c r="AA3" s="4">
        <v>5.56</v>
      </c>
      <c r="AB3" s="4">
        <v>68.400000000000006</v>
      </c>
      <c r="AC3" s="4">
        <v>50.94</v>
      </c>
      <c r="AD3" s="36" t="s">
        <v>85</v>
      </c>
      <c r="AE3" s="26" t="s">
        <v>86</v>
      </c>
      <c r="AF3" s="1" t="s">
        <v>87</v>
      </c>
      <c r="AG3" s="2" t="s">
        <v>103</v>
      </c>
      <c r="AH3" s="4">
        <v>0.19500000000000001</v>
      </c>
      <c r="AI3" s="2">
        <v>112</v>
      </c>
      <c r="AJ3" s="1" t="s">
        <v>87</v>
      </c>
      <c r="AK3" s="3">
        <v>3629.9</v>
      </c>
      <c r="AL3" s="2" t="s">
        <v>90</v>
      </c>
      <c r="AM3" s="2">
        <v>3</v>
      </c>
      <c r="AN3" s="2" t="s">
        <v>90</v>
      </c>
      <c r="AO3" s="39">
        <v>0.35</v>
      </c>
      <c r="AP3" s="41">
        <v>24.5</v>
      </c>
      <c r="AQ3" s="2">
        <v>24</v>
      </c>
      <c r="AR3" s="3">
        <v>4154</v>
      </c>
      <c r="AS3" s="43">
        <v>2717</v>
      </c>
      <c r="AT3" s="30" t="s">
        <v>87</v>
      </c>
      <c r="AU3" s="15" t="s">
        <v>85</v>
      </c>
      <c r="AV3" s="1" t="s">
        <v>87</v>
      </c>
      <c r="AW3" s="2">
        <v>0</v>
      </c>
      <c r="AX3" s="2">
        <v>2</v>
      </c>
      <c r="AY3" s="2">
        <v>1</v>
      </c>
      <c r="AZ3" s="2">
        <v>0</v>
      </c>
      <c r="BA3" s="1" t="s">
        <v>87</v>
      </c>
      <c r="BB3" s="46" t="s">
        <v>91</v>
      </c>
      <c r="BC3" s="30" t="s">
        <v>104</v>
      </c>
      <c r="BD3" s="16" t="s">
        <v>85</v>
      </c>
      <c r="BE3" s="15" t="s">
        <v>85</v>
      </c>
      <c r="BF3" s="1" t="s">
        <v>92</v>
      </c>
      <c r="BG3" s="1" t="s">
        <v>105</v>
      </c>
      <c r="BH3" s="3">
        <v>2067</v>
      </c>
      <c r="BI3" s="43">
        <v>5231</v>
      </c>
      <c r="BJ3" s="26">
        <v>1</v>
      </c>
      <c r="BK3" s="46" t="s">
        <v>93</v>
      </c>
      <c r="BL3" s="35">
        <v>778</v>
      </c>
      <c r="BM3" s="4">
        <v>136.4</v>
      </c>
      <c r="BN3" s="2" t="s">
        <v>94</v>
      </c>
      <c r="BO3" s="3">
        <v>1249</v>
      </c>
      <c r="BP3" s="23" t="s">
        <v>106</v>
      </c>
      <c r="BQ3" s="26">
        <v>1</v>
      </c>
      <c r="BR3" s="1" t="s">
        <v>107</v>
      </c>
      <c r="BS3" s="1" t="s">
        <v>108</v>
      </c>
      <c r="BT3" s="20" t="s">
        <v>109</v>
      </c>
      <c r="BU3" s="1" t="s">
        <v>110</v>
      </c>
    </row>
    <row r="4" spans="1:73" ht="36" x14ac:dyDescent="0.25">
      <c r="A4" s="1" t="s">
        <v>111</v>
      </c>
      <c r="B4" s="2">
        <v>41.314744480000002</v>
      </c>
      <c r="C4" s="2">
        <v>-81.537039320000005</v>
      </c>
      <c r="D4" s="23" t="s">
        <v>97</v>
      </c>
      <c r="E4" s="26" t="s">
        <v>112</v>
      </c>
      <c r="F4" s="1" t="s">
        <v>113</v>
      </c>
      <c r="G4" s="2" t="s">
        <v>114</v>
      </c>
      <c r="H4" s="2" t="s">
        <v>115</v>
      </c>
      <c r="I4" s="3">
        <v>463.24</v>
      </c>
      <c r="J4" s="4">
        <f t="shared" si="0"/>
        <v>0.11446910885882769</v>
      </c>
      <c r="K4" s="23" t="s">
        <v>116</v>
      </c>
      <c r="L4" s="30" t="s">
        <v>117</v>
      </c>
      <c r="M4" s="1" t="s">
        <v>118</v>
      </c>
      <c r="N4" s="5">
        <v>9.9500000000000005E-2</v>
      </c>
      <c r="O4" s="3">
        <v>871620</v>
      </c>
      <c r="P4" s="3">
        <v>1090.9000000000001</v>
      </c>
      <c r="Q4" s="15" t="s">
        <v>85</v>
      </c>
      <c r="R4" s="3">
        <v>893.1</v>
      </c>
      <c r="S4" s="2">
        <v>345</v>
      </c>
      <c r="T4" s="15" t="s">
        <v>85</v>
      </c>
      <c r="U4" s="2">
        <v>345</v>
      </c>
      <c r="V4" s="2">
        <v>23</v>
      </c>
      <c r="W4" s="2" t="s">
        <v>84</v>
      </c>
      <c r="X4" s="32" t="s">
        <v>85</v>
      </c>
      <c r="Y4" s="35">
        <v>534.6</v>
      </c>
      <c r="Z4" s="3">
        <v>24864.2</v>
      </c>
      <c r="AA4" s="4">
        <v>11.23</v>
      </c>
      <c r="AB4" s="4">
        <v>99.5</v>
      </c>
      <c r="AC4" s="4">
        <v>102.88</v>
      </c>
      <c r="AD4" s="23" t="s">
        <v>84</v>
      </c>
      <c r="AE4" s="26" t="s">
        <v>86</v>
      </c>
      <c r="AF4" s="1" t="s">
        <v>87</v>
      </c>
      <c r="AG4" s="2" t="s">
        <v>88</v>
      </c>
      <c r="AH4" s="4">
        <v>9.5000000000000001E-2</v>
      </c>
      <c r="AI4" s="2">
        <v>112</v>
      </c>
      <c r="AJ4" s="1" t="s">
        <v>87</v>
      </c>
      <c r="AK4" s="3">
        <v>1699.4</v>
      </c>
      <c r="AL4" s="2" t="s">
        <v>89</v>
      </c>
      <c r="AM4" s="2">
        <v>3</v>
      </c>
      <c r="AN4" s="2" t="s">
        <v>90</v>
      </c>
      <c r="AO4" s="39">
        <v>3.77</v>
      </c>
      <c r="AP4" s="41">
        <v>24.1</v>
      </c>
      <c r="AQ4" s="2">
        <v>8</v>
      </c>
      <c r="AR4" s="3">
        <v>5538</v>
      </c>
      <c r="AS4" s="43">
        <v>4258</v>
      </c>
      <c r="AT4" s="30" t="s">
        <v>119</v>
      </c>
      <c r="AU4" s="2" t="s">
        <v>120</v>
      </c>
      <c r="AV4" s="1" t="s">
        <v>121</v>
      </c>
      <c r="AW4" s="2">
        <v>7</v>
      </c>
      <c r="AX4" s="2">
        <v>2</v>
      </c>
      <c r="AY4" s="2">
        <v>4</v>
      </c>
      <c r="AZ4" s="2">
        <v>2</v>
      </c>
      <c r="BA4" s="1" t="s">
        <v>87</v>
      </c>
      <c r="BB4" s="46" t="s">
        <v>91</v>
      </c>
      <c r="BC4" s="30" t="s">
        <v>92</v>
      </c>
      <c r="BD4" s="1" t="s">
        <v>122</v>
      </c>
      <c r="BE4" s="3">
        <v>1308955</v>
      </c>
      <c r="BF4" s="1" t="s">
        <v>92</v>
      </c>
      <c r="BG4" s="1" t="s">
        <v>123</v>
      </c>
      <c r="BH4" s="3">
        <v>7099</v>
      </c>
      <c r="BI4" s="43">
        <v>21809</v>
      </c>
      <c r="BJ4" s="26">
        <v>4</v>
      </c>
      <c r="BK4" s="46" t="s">
        <v>93</v>
      </c>
      <c r="BL4" s="35">
        <v>1137</v>
      </c>
      <c r="BM4" s="4">
        <v>196.8</v>
      </c>
      <c r="BN4" s="2" t="s">
        <v>94</v>
      </c>
      <c r="BO4" s="3">
        <v>87</v>
      </c>
      <c r="BP4" s="23" t="s">
        <v>124</v>
      </c>
      <c r="BQ4" s="26">
        <v>6</v>
      </c>
      <c r="BR4" s="1" t="s">
        <v>125</v>
      </c>
      <c r="BS4" s="1" t="s">
        <v>126</v>
      </c>
      <c r="BT4" s="21" t="s">
        <v>127</v>
      </c>
      <c r="BU4" s="1" t="s">
        <v>128</v>
      </c>
    </row>
    <row r="5" spans="1:73" ht="36" x14ac:dyDescent="0.25">
      <c r="A5" s="1" t="s">
        <v>129</v>
      </c>
      <c r="B5" s="2">
        <v>41.217063090000003</v>
      </c>
      <c r="C5" s="2">
        <v>-81.442508169999996</v>
      </c>
      <c r="D5" s="23" t="s">
        <v>97</v>
      </c>
      <c r="E5" s="26" t="s">
        <v>130</v>
      </c>
      <c r="F5" s="1" t="s">
        <v>113</v>
      </c>
      <c r="G5" s="2" t="s">
        <v>131</v>
      </c>
      <c r="H5" s="2" t="s">
        <v>132</v>
      </c>
      <c r="I5" s="3">
        <v>3254.56</v>
      </c>
      <c r="J5" s="4">
        <f t="shared" si="0"/>
        <v>0.80421937425003498</v>
      </c>
      <c r="K5" s="23" t="s">
        <v>133</v>
      </c>
      <c r="L5" s="30" t="s">
        <v>117</v>
      </c>
      <c r="M5" s="1" t="s">
        <v>134</v>
      </c>
      <c r="N5" s="5">
        <v>9.9500000000000005E-2</v>
      </c>
      <c r="O5" s="3">
        <v>871620</v>
      </c>
      <c r="P5" s="3">
        <v>1054.0999999999999</v>
      </c>
      <c r="Q5" s="2">
        <v>138</v>
      </c>
      <c r="R5" s="3">
        <v>814.1</v>
      </c>
      <c r="S5" s="15" t="s">
        <v>85</v>
      </c>
      <c r="T5" s="15" t="s">
        <v>85</v>
      </c>
      <c r="U5" s="2">
        <v>138</v>
      </c>
      <c r="V5" s="2">
        <v>21</v>
      </c>
      <c r="W5" s="2" t="s">
        <v>84</v>
      </c>
      <c r="X5" s="32" t="s">
        <v>85</v>
      </c>
      <c r="Y5" s="35">
        <v>724</v>
      </c>
      <c r="Z5" s="3">
        <v>30645.3</v>
      </c>
      <c r="AA5" s="4">
        <v>11.23</v>
      </c>
      <c r="AB5" s="4">
        <v>99.5</v>
      </c>
      <c r="AC5" s="4">
        <v>102.88</v>
      </c>
      <c r="AD5" s="23" t="s">
        <v>84</v>
      </c>
      <c r="AE5" s="26" t="s">
        <v>86</v>
      </c>
      <c r="AF5" s="1" t="s">
        <v>87</v>
      </c>
      <c r="AG5" s="2" t="s">
        <v>88</v>
      </c>
      <c r="AH5" s="4">
        <v>8.5000000000000006E-2</v>
      </c>
      <c r="AI5" s="2">
        <v>112</v>
      </c>
      <c r="AJ5" s="1" t="s">
        <v>87</v>
      </c>
      <c r="AK5" s="3">
        <v>2007.5</v>
      </c>
      <c r="AL5" s="2" t="s">
        <v>135</v>
      </c>
      <c r="AM5" s="2">
        <v>5</v>
      </c>
      <c r="AN5" s="2" t="s">
        <v>90</v>
      </c>
      <c r="AO5" s="39">
        <v>1.29</v>
      </c>
      <c r="AP5" s="41">
        <v>24</v>
      </c>
      <c r="AQ5" s="2">
        <v>8</v>
      </c>
      <c r="AR5" s="3">
        <v>5448</v>
      </c>
      <c r="AS5" s="43">
        <v>4240</v>
      </c>
      <c r="AT5" s="30" t="s">
        <v>119</v>
      </c>
      <c r="AU5" s="2" t="s">
        <v>120</v>
      </c>
      <c r="AV5" s="1" t="s">
        <v>121</v>
      </c>
      <c r="AW5" s="2">
        <v>1</v>
      </c>
      <c r="AX5" s="2">
        <v>3</v>
      </c>
      <c r="AY5" s="2">
        <v>3</v>
      </c>
      <c r="AZ5" s="2">
        <v>0</v>
      </c>
      <c r="BA5" s="1" t="s">
        <v>87</v>
      </c>
      <c r="BB5" s="46" t="s">
        <v>91</v>
      </c>
      <c r="BC5" s="30" t="s">
        <v>92</v>
      </c>
      <c r="BD5" s="1" t="s">
        <v>136</v>
      </c>
      <c r="BE5" s="3">
        <v>8385</v>
      </c>
      <c r="BF5" s="1" t="s">
        <v>137</v>
      </c>
      <c r="BG5" s="16" t="s">
        <v>85</v>
      </c>
      <c r="BH5" s="3">
        <v>6095</v>
      </c>
      <c r="BI5" s="43">
        <v>16758</v>
      </c>
      <c r="BJ5" s="26">
        <v>4</v>
      </c>
      <c r="BK5" s="46" t="s">
        <v>93</v>
      </c>
      <c r="BL5" s="35">
        <v>944</v>
      </c>
      <c r="BM5" s="4">
        <v>86.3</v>
      </c>
      <c r="BN5" s="2" t="s">
        <v>94</v>
      </c>
      <c r="BO5" s="3">
        <v>256</v>
      </c>
      <c r="BP5" s="23" t="s">
        <v>138</v>
      </c>
      <c r="BQ5" s="26">
        <v>3</v>
      </c>
      <c r="BR5" s="1" t="s">
        <v>139</v>
      </c>
      <c r="BS5" s="1" t="s">
        <v>140</v>
      </c>
      <c r="BT5" s="21" t="s">
        <v>127</v>
      </c>
      <c r="BU5" s="1" t="s">
        <v>141</v>
      </c>
    </row>
    <row r="6" spans="1:73" ht="36" x14ac:dyDescent="0.25">
      <c r="A6" s="1" t="s">
        <v>142</v>
      </c>
      <c r="B6" s="2">
        <v>40.059448529999997</v>
      </c>
      <c r="C6" s="2">
        <v>-82.404873050000006</v>
      </c>
      <c r="D6" s="23" t="s">
        <v>97</v>
      </c>
      <c r="E6" s="26" t="s">
        <v>143</v>
      </c>
      <c r="F6" s="1" t="s">
        <v>113</v>
      </c>
      <c r="G6" s="2" t="s">
        <v>144</v>
      </c>
      <c r="H6" s="2" t="s">
        <v>145</v>
      </c>
      <c r="I6" s="3">
        <v>1113.45</v>
      </c>
      <c r="J6" s="4">
        <f t="shared" si="0"/>
        <v>0.27513951571293865</v>
      </c>
      <c r="K6" s="23" t="s">
        <v>146</v>
      </c>
      <c r="L6" s="30" t="s">
        <v>117</v>
      </c>
      <c r="M6" s="1" t="s">
        <v>147</v>
      </c>
      <c r="N6" s="5">
        <v>9.9500000000000005E-2</v>
      </c>
      <c r="O6" s="3">
        <v>871620</v>
      </c>
      <c r="P6" s="3">
        <v>928.1</v>
      </c>
      <c r="Q6" s="15" t="s">
        <v>85</v>
      </c>
      <c r="R6" s="3">
        <v>605.70000000000005</v>
      </c>
      <c r="S6" s="2">
        <v>69</v>
      </c>
      <c r="T6" s="2" t="s">
        <v>148</v>
      </c>
      <c r="U6" s="2">
        <v>69</v>
      </c>
      <c r="V6" s="2">
        <v>21</v>
      </c>
      <c r="W6" s="2" t="s">
        <v>84</v>
      </c>
      <c r="X6" s="33">
        <v>710.04</v>
      </c>
      <c r="Y6" s="35">
        <v>2707.6</v>
      </c>
      <c r="Z6" s="3">
        <v>2707.6</v>
      </c>
      <c r="AA6" s="4">
        <v>11.23</v>
      </c>
      <c r="AB6" s="4">
        <v>99.5</v>
      </c>
      <c r="AC6" s="4">
        <v>102.88</v>
      </c>
      <c r="AD6" s="23" t="s">
        <v>84</v>
      </c>
      <c r="AE6" s="26" t="s">
        <v>86</v>
      </c>
      <c r="AF6" s="1" t="s">
        <v>87</v>
      </c>
      <c r="AG6" s="2" t="s">
        <v>88</v>
      </c>
      <c r="AH6" s="4">
        <v>8.5000000000000006E-2</v>
      </c>
      <c r="AI6" s="2">
        <v>112</v>
      </c>
      <c r="AJ6" s="1" t="s">
        <v>87</v>
      </c>
      <c r="AK6" s="3">
        <v>3160.8</v>
      </c>
      <c r="AL6" s="2" t="s">
        <v>135</v>
      </c>
      <c r="AM6" s="2">
        <v>0</v>
      </c>
      <c r="AN6" s="2" t="s">
        <v>90</v>
      </c>
      <c r="AO6" s="39">
        <v>0.84</v>
      </c>
      <c r="AP6" s="41">
        <v>24.6</v>
      </c>
      <c r="AQ6" s="2">
        <v>11</v>
      </c>
      <c r="AR6" s="3">
        <v>5045</v>
      </c>
      <c r="AS6" s="43">
        <v>3940</v>
      </c>
      <c r="AT6" s="30" t="s">
        <v>87</v>
      </c>
      <c r="AU6" s="15" t="s">
        <v>85</v>
      </c>
      <c r="AV6" s="1" t="s">
        <v>149</v>
      </c>
      <c r="AW6" s="2">
        <v>5</v>
      </c>
      <c r="AX6" s="2">
        <v>16</v>
      </c>
      <c r="AY6" s="2">
        <v>16</v>
      </c>
      <c r="AZ6" s="2">
        <v>1</v>
      </c>
      <c r="BA6" s="1" t="s">
        <v>87</v>
      </c>
      <c r="BB6" s="46" t="s">
        <v>150</v>
      </c>
      <c r="BC6" s="30" t="s">
        <v>92</v>
      </c>
      <c r="BD6" s="1" t="s">
        <v>151</v>
      </c>
      <c r="BE6" s="3">
        <v>49934</v>
      </c>
      <c r="BF6" s="1" t="s">
        <v>92</v>
      </c>
      <c r="BG6" s="1" t="s">
        <v>152</v>
      </c>
      <c r="BH6" s="3">
        <v>2889</v>
      </c>
      <c r="BI6" s="43">
        <v>10538</v>
      </c>
      <c r="BJ6" s="26">
        <v>3</v>
      </c>
      <c r="BK6" s="46" t="s">
        <v>93</v>
      </c>
      <c r="BL6" s="35">
        <v>3135</v>
      </c>
      <c r="BM6" s="4">
        <v>541.4</v>
      </c>
      <c r="BN6" s="2" t="s">
        <v>94</v>
      </c>
      <c r="BO6" s="3">
        <v>182</v>
      </c>
      <c r="BP6" s="23" t="s">
        <v>153</v>
      </c>
      <c r="BQ6" s="26">
        <v>8</v>
      </c>
      <c r="BR6" s="1" t="s">
        <v>154</v>
      </c>
      <c r="BS6" s="1" t="s">
        <v>155</v>
      </c>
      <c r="BT6" s="17" t="s">
        <v>95</v>
      </c>
      <c r="BU6" s="1" t="s">
        <v>156</v>
      </c>
    </row>
    <row r="7" spans="1:73" ht="36" x14ac:dyDescent="0.25">
      <c r="A7" s="1" t="s">
        <v>157</v>
      </c>
      <c r="B7" s="2">
        <v>30.85154</v>
      </c>
      <c r="C7" s="2">
        <v>-95.400120000000001</v>
      </c>
      <c r="D7" s="23" t="s">
        <v>97</v>
      </c>
      <c r="E7" s="26" t="s">
        <v>158</v>
      </c>
      <c r="F7" s="1" t="s">
        <v>159</v>
      </c>
      <c r="G7" s="2" t="s">
        <v>160</v>
      </c>
      <c r="H7" s="15" t="s">
        <v>85</v>
      </c>
      <c r="I7" s="3">
        <v>2327.9899999999998</v>
      </c>
      <c r="J7" s="4">
        <f t="shared" si="0"/>
        <v>0.57525891704572629</v>
      </c>
      <c r="K7" s="23" t="s">
        <v>161</v>
      </c>
      <c r="L7" s="30" t="s">
        <v>162</v>
      </c>
      <c r="M7" s="1" t="s">
        <v>163</v>
      </c>
      <c r="N7" s="5">
        <v>6.3299999999999995E-2</v>
      </c>
      <c r="O7" s="3">
        <v>554508</v>
      </c>
      <c r="P7" s="3">
        <v>1467.8</v>
      </c>
      <c r="Q7" s="2">
        <v>138</v>
      </c>
      <c r="R7" s="3">
        <v>802.7</v>
      </c>
      <c r="S7" s="2">
        <v>69</v>
      </c>
      <c r="T7" s="2" t="s">
        <v>164</v>
      </c>
      <c r="U7" s="2">
        <v>138</v>
      </c>
      <c r="V7" s="2">
        <v>2</v>
      </c>
      <c r="W7" s="2" t="s">
        <v>165</v>
      </c>
      <c r="X7" s="33">
        <v>150</v>
      </c>
      <c r="Y7" s="35">
        <v>544.70000000000005</v>
      </c>
      <c r="Z7" s="3">
        <v>544.70000000000005</v>
      </c>
      <c r="AA7" s="4">
        <v>3.12</v>
      </c>
      <c r="AB7" s="4">
        <v>63.3</v>
      </c>
      <c r="AC7" s="4">
        <v>28.58</v>
      </c>
      <c r="AD7" s="23" t="s">
        <v>84</v>
      </c>
      <c r="AE7" s="26" t="s">
        <v>166</v>
      </c>
      <c r="AF7" s="1" t="s">
        <v>167</v>
      </c>
      <c r="AG7" s="2" t="s">
        <v>88</v>
      </c>
      <c r="AH7" s="4">
        <v>4.4999999999999998E-2</v>
      </c>
      <c r="AI7" s="2">
        <v>112</v>
      </c>
      <c r="AJ7" s="1" t="s">
        <v>87</v>
      </c>
      <c r="AK7" s="3">
        <v>1640</v>
      </c>
      <c r="AL7" s="2" t="s">
        <v>90</v>
      </c>
      <c r="AM7" s="2">
        <v>2</v>
      </c>
      <c r="AN7" s="2" t="s">
        <v>90</v>
      </c>
      <c r="AO7" s="39">
        <v>0.85</v>
      </c>
      <c r="AP7" s="41">
        <v>26.2</v>
      </c>
      <c r="AQ7" s="2">
        <v>104</v>
      </c>
      <c r="AR7" s="3">
        <v>2693</v>
      </c>
      <c r="AS7" s="43">
        <v>1460</v>
      </c>
      <c r="AT7" s="30" t="s">
        <v>87</v>
      </c>
      <c r="AU7" s="15" t="s">
        <v>85</v>
      </c>
      <c r="AV7" s="1" t="s">
        <v>87</v>
      </c>
      <c r="AW7" s="2">
        <v>0</v>
      </c>
      <c r="AX7" s="2">
        <v>0</v>
      </c>
      <c r="AY7" s="2">
        <v>2</v>
      </c>
      <c r="AZ7" s="2">
        <v>0</v>
      </c>
      <c r="BA7" s="1" t="s">
        <v>87</v>
      </c>
      <c r="BB7" s="46" t="s">
        <v>91</v>
      </c>
      <c r="BC7" s="30" t="s">
        <v>92</v>
      </c>
      <c r="BD7" s="1" t="s">
        <v>168</v>
      </c>
      <c r="BE7" s="3">
        <v>6492</v>
      </c>
      <c r="BF7" s="1" t="s">
        <v>169</v>
      </c>
      <c r="BG7" s="16" t="s">
        <v>85</v>
      </c>
      <c r="BH7" s="3">
        <v>10865</v>
      </c>
      <c r="BI7" s="43">
        <v>3010</v>
      </c>
      <c r="BJ7" s="26">
        <v>1</v>
      </c>
      <c r="BK7" s="46" t="s">
        <v>93</v>
      </c>
      <c r="BL7" s="35">
        <v>315</v>
      </c>
      <c r="BM7" s="4">
        <v>32.200000000000003</v>
      </c>
      <c r="BN7" s="2" t="s">
        <v>170</v>
      </c>
      <c r="BO7" s="3">
        <v>9750</v>
      </c>
      <c r="BP7" s="23" t="s">
        <v>171</v>
      </c>
      <c r="BQ7" s="26">
        <v>9</v>
      </c>
      <c r="BR7" s="1" t="s">
        <v>172</v>
      </c>
      <c r="BS7" s="1" t="s">
        <v>173</v>
      </c>
      <c r="BT7" s="17" t="s">
        <v>174</v>
      </c>
      <c r="BU7" s="1" t="s">
        <v>175</v>
      </c>
    </row>
    <row r="8" spans="1:73" ht="36" x14ac:dyDescent="0.25">
      <c r="A8" s="1" t="s">
        <v>176</v>
      </c>
      <c r="B8" s="2">
        <v>36.214283000000002</v>
      </c>
      <c r="C8" s="2">
        <v>-93.079052000000004</v>
      </c>
      <c r="D8" s="23" t="s">
        <v>97</v>
      </c>
      <c r="E8" s="26" t="s">
        <v>177</v>
      </c>
      <c r="F8" s="16" t="s">
        <v>85</v>
      </c>
      <c r="G8" s="2" t="s">
        <v>178</v>
      </c>
      <c r="H8" s="2" t="s">
        <v>179</v>
      </c>
      <c r="I8" s="3">
        <v>40473.46</v>
      </c>
      <c r="J8" s="4">
        <f t="shared" si="0"/>
        <v>10.00121081649557</v>
      </c>
      <c r="K8" s="23" t="s">
        <v>180</v>
      </c>
      <c r="L8" s="30" t="s">
        <v>181</v>
      </c>
      <c r="M8" s="1" t="s">
        <v>182</v>
      </c>
      <c r="N8" s="5">
        <v>6.2E-2</v>
      </c>
      <c r="O8" s="3">
        <v>543120</v>
      </c>
      <c r="P8" s="3">
        <v>960.6</v>
      </c>
      <c r="Q8" s="2">
        <v>161</v>
      </c>
      <c r="R8" s="3">
        <v>960.6</v>
      </c>
      <c r="S8" s="2">
        <v>161</v>
      </c>
      <c r="T8" s="2" t="s">
        <v>183</v>
      </c>
      <c r="U8" s="2">
        <v>161</v>
      </c>
      <c r="V8" s="2">
        <v>3</v>
      </c>
      <c r="W8" s="2" t="s">
        <v>84</v>
      </c>
      <c r="X8" s="32" t="s">
        <v>85</v>
      </c>
      <c r="Y8" s="35">
        <v>5124.3</v>
      </c>
      <c r="Z8" s="3">
        <v>62989.5</v>
      </c>
      <c r="AA8" s="4">
        <v>9.2799999999999994</v>
      </c>
      <c r="AB8" s="4">
        <v>62</v>
      </c>
      <c r="AC8" s="4">
        <v>85.01</v>
      </c>
      <c r="AD8" s="23" t="s">
        <v>184</v>
      </c>
      <c r="AE8" s="26" t="s">
        <v>86</v>
      </c>
      <c r="AF8" s="1" t="s">
        <v>87</v>
      </c>
      <c r="AG8" s="2" t="s">
        <v>185</v>
      </c>
      <c r="AH8" s="4">
        <v>0.22500000000000001</v>
      </c>
      <c r="AI8" s="2">
        <v>112</v>
      </c>
      <c r="AJ8" s="1" t="s">
        <v>186</v>
      </c>
      <c r="AK8" s="15" t="s">
        <v>85</v>
      </c>
      <c r="AL8" s="15" t="s">
        <v>85</v>
      </c>
      <c r="AM8" s="2">
        <v>0</v>
      </c>
      <c r="AN8" s="15" t="s">
        <v>85</v>
      </c>
      <c r="AO8" s="39">
        <v>2.58</v>
      </c>
      <c r="AP8" s="41">
        <v>25.6</v>
      </c>
      <c r="AQ8" s="2">
        <v>38</v>
      </c>
      <c r="AR8" s="3">
        <v>4294</v>
      </c>
      <c r="AS8" s="43">
        <v>2981</v>
      </c>
      <c r="AT8" s="30" t="s">
        <v>87</v>
      </c>
      <c r="AU8" s="15" t="s">
        <v>85</v>
      </c>
      <c r="AV8" s="1" t="s">
        <v>87</v>
      </c>
      <c r="AW8" s="2">
        <v>0</v>
      </c>
      <c r="AX8" s="2">
        <v>0</v>
      </c>
      <c r="AY8" s="2">
        <v>3</v>
      </c>
      <c r="AZ8" s="2">
        <v>0</v>
      </c>
      <c r="BA8" s="1" t="s">
        <v>87</v>
      </c>
      <c r="BB8" s="46" t="s">
        <v>91</v>
      </c>
      <c r="BC8" s="30" t="s">
        <v>92</v>
      </c>
      <c r="BD8" s="1" t="s">
        <v>187</v>
      </c>
      <c r="BE8" s="3">
        <v>17455</v>
      </c>
      <c r="BF8" s="1" t="s">
        <v>92</v>
      </c>
      <c r="BG8" s="1" t="s">
        <v>188</v>
      </c>
      <c r="BH8" s="3">
        <v>2947</v>
      </c>
      <c r="BI8" s="43">
        <v>13468</v>
      </c>
      <c r="BJ8" s="26">
        <v>3</v>
      </c>
      <c r="BK8" s="46" t="s">
        <v>93</v>
      </c>
      <c r="BL8" s="35">
        <v>388</v>
      </c>
      <c r="BM8" s="4">
        <v>38.4</v>
      </c>
      <c r="BN8" s="2" t="s">
        <v>170</v>
      </c>
      <c r="BO8" s="3">
        <v>1158</v>
      </c>
      <c r="BP8" s="23" t="s">
        <v>189</v>
      </c>
      <c r="BQ8" s="26">
        <v>2</v>
      </c>
      <c r="BR8" s="1" t="s">
        <v>190</v>
      </c>
      <c r="BS8" s="1" t="s">
        <v>191</v>
      </c>
      <c r="BT8" s="20" t="s">
        <v>192</v>
      </c>
      <c r="BU8" s="1" t="s">
        <v>193</v>
      </c>
    </row>
    <row r="9" spans="1:73" ht="36" x14ac:dyDescent="0.25">
      <c r="A9" s="1" t="s">
        <v>194</v>
      </c>
      <c r="B9" s="2">
        <v>31.177482919999999</v>
      </c>
      <c r="C9" s="2">
        <v>-83.783713550000002</v>
      </c>
      <c r="D9" s="23" t="s">
        <v>97</v>
      </c>
      <c r="E9" s="26" t="s">
        <v>195</v>
      </c>
      <c r="F9" s="16" t="s">
        <v>85</v>
      </c>
      <c r="G9" s="2" t="s">
        <v>196</v>
      </c>
      <c r="H9" s="2" t="s">
        <v>197</v>
      </c>
      <c r="I9" s="3">
        <v>5286.65</v>
      </c>
      <c r="J9" s="4">
        <f t="shared" si="0"/>
        <v>1.3063598012877156</v>
      </c>
      <c r="K9" s="23" t="s">
        <v>198</v>
      </c>
      <c r="L9" s="29" t="s">
        <v>85</v>
      </c>
      <c r="M9" s="1" t="s">
        <v>199</v>
      </c>
      <c r="N9" s="5">
        <v>6.8400000000000002E-2</v>
      </c>
      <c r="O9" s="3">
        <v>599184</v>
      </c>
      <c r="P9" s="3">
        <v>565.6</v>
      </c>
      <c r="Q9" s="2">
        <v>115</v>
      </c>
      <c r="R9" s="3">
        <v>302.89999999999998</v>
      </c>
      <c r="S9" s="2">
        <v>115</v>
      </c>
      <c r="T9" s="2" t="s">
        <v>102</v>
      </c>
      <c r="U9" s="2">
        <v>115</v>
      </c>
      <c r="V9" s="2">
        <v>15</v>
      </c>
      <c r="W9" s="2" t="s">
        <v>84</v>
      </c>
      <c r="X9" s="33">
        <v>130</v>
      </c>
      <c r="Y9" s="35">
        <v>4850.7</v>
      </c>
      <c r="Z9" s="3">
        <v>4850.7</v>
      </c>
      <c r="AA9" s="4">
        <v>5.56</v>
      </c>
      <c r="AB9" s="4">
        <v>68.400000000000006</v>
      </c>
      <c r="AC9" s="4">
        <v>50.94</v>
      </c>
      <c r="AD9" s="23" t="s">
        <v>84</v>
      </c>
      <c r="AE9" s="26" t="s">
        <v>86</v>
      </c>
      <c r="AF9" s="1" t="s">
        <v>87</v>
      </c>
      <c r="AG9" s="2" t="s">
        <v>88</v>
      </c>
      <c r="AH9" s="4">
        <v>6.5000000000000002E-2</v>
      </c>
      <c r="AI9" s="2">
        <v>112</v>
      </c>
      <c r="AJ9" s="1" t="s">
        <v>200</v>
      </c>
      <c r="AK9" s="3">
        <v>2624.8</v>
      </c>
      <c r="AL9" s="2" t="s">
        <v>90</v>
      </c>
      <c r="AM9" s="2">
        <v>1</v>
      </c>
      <c r="AN9" s="2" t="s">
        <v>90</v>
      </c>
      <c r="AO9" s="39">
        <v>0.94</v>
      </c>
      <c r="AP9" s="41">
        <v>26.4</v>
      </c>
      <c r="AQ9" s="2">
        <v>69</v>
      </c>
      <c r="AR9" s="3">
        <v>2658</v>
      </c>
      <c r="AS9" s="43">
        <v>1372</v>
      </c>
      <c r="AT9" s="30" t="s">
        <v>87</v>
      </c>
      <c r="AU9" s="15" t="s">
        <v>85</v>
      </c>
      <c r="AV9" s="1" t="s">
        <v>87</v>
      </c>
      <c r="AW9" s="2">
        <v>0</v>
      </c>
      <c r="AX9" s="2">
        <v>2</v>
      </c>
      <c r="AY9" s="2">
        <v>32</v>
      </c>
      <c r="AZ9" s="2">
        <v>2</v>
      </c>
      <c r="BA9" s="1" t="s">
        <v>201</v>
      </c>
      <c r="BB9" s="46" t="s">
        <v>202</v>
      </c>
      <c r="BC9" s="30" t="s">
        <v>92</v>
      </c>
      <c r="BD9" s="1" t="s">
        <v>203</v>
      </c>
      <c r="BE9" s="3">
        <v>17067</v>
      </c>
      <c r="BF9" s="1" t="s">
        <v>92</v>
      </c>
      <c r="BG9" s="1" t="s">
        <v>204</v>
      </c>
      <c r="BH9" s="3">
        <v>2852</v>
      </c>
      <c r="BI9" s="43">
        <v>13760</v>
      </c>
      <c r="BJ9" s="26">
        <v>1</v>
      </c>
      <c r="BK9" s="46" t="s">
        <v>93</v>
      </c>
      <c r="BL9" s="35">
        <v>1285</v>
      </c>
      <c r="BM9" s="4">
        <v>188.2</v>
      </c>
      <c r="BN9" s="2" t="s">
        <v>94</v>
      </c>
      <c r="BO9" s="3">
        <v>775</v>
      </c>
      <c r="BP9" s="23" t="s">
        <v>205</v>
      </c>
      <c r="BQ9" s="26">
        <v>4</v>
      </c>
      <c r="BR9" s="1" t="s">
        <v>206</v>
      </c>
      <c r="BS9" s="1" t="s">
        <v>207</v>
      </c>
      <c r="BT9" s="21" t="s">
        <v>127</v>
      </c>
      <c r="BU9" s="1" t="s">
        <v>208</v>
      </c>
    </row>
    <row r="10" spans="1:73" ht="36" x14ac:dyDescent="0.25">
      <c r="A10" s="1" t="s">
        <v>209</v>
      </c>
      <c r="B10" s="2">
        <v>41.698331500000002</v>
      </c>
      <c r="C10" s="2">
        <v>-93.054485650000004</v>
      </c>
      <c r="D10" s="23" t="s">
        <v>97</v>
      </c>
      <c r="E10" s="26" t="s">
        <v>210</v>
      </c>
      <c r="F10" s="1" t="s">
        <v>211</v>
      </c>
      <c r="G10" s="2" t="s">
        <v>212</v>
      </c>
      <c r="H10" s="2" t="s">
        <v>213</v>
      </c>
      <c r="I10" s="3">
        <v>1731</v>
      </c>
      <c r="J10" s="4">
        <f t="shared" si="0"/>
        <v>0.42773945996595875</v>
      </c>
      <c r="K10" s="23" t="s">
        <v>146</v>
      </c>
      <c r="L10" s="30" t="s">
        <v>181</v>
      </c>
      <c r="M10" s="1" t="s">
        <v>214</v>
      </c>
      <c r="N10" s="5">
        <v>6.2600000000000003E-2</v>
      </c>
      <c r="O10" s="3">
        <v>548376</v>
      </c>
      <c r="P10" s="3">
        <v>784.2</v>
      </c>
      <c r="Q10" s="2">
        <v>161</v>
      </c>
      <c r="R10" s="3">
        <v>751.7</v>
      </c>
      <c r="S10" s="15" t="s">
        <v>85</v>
      </c>
      <c r="T10" s="2" t="s">
        <v>215</v>
      </c>
      <c r="U10" s="2">
        <v>161</v>
      </c>
      <c r="V10" s="2">
        <v>4</v>
      </c>
      <c r="W10" s="2" t="s">
        <v>84</v>
      </c>
      <c r="X10" s="32" t="s">
        <v>85</v>
      </c>
      <c r="Y10" s="35">
        <v>4438.6000000000004</v>
      </c>
      <c r="Z10" s="3">
        <v>4438.6000000000004</v>
      </c>
      <c r="AA10" s="4">
        <v>6.69</v>
      </c>
      <c r="AB10" s="4">
        <v>62.6</v>
      </c>
      <c r="AC10" s="4">
        <v>61.29</v>
      </c>
      <c r="AD10" s="23" t="s">
        <v>84</v>
      </c>
      <c r="AE10" s="26" t="s">
        <v>86</v>
      </c>
      <c r="AF10" s="1" t="s">
        <v>87</v>
      </c>
      <c r="AG10" s="2" t="s">
        <v>88</v>
      </c>
      <c r="AH10" s="4">
        <v>4.4999999999999998E-2</v>
      </c>
      <c r="AI10" s="2">
        <v>112</v>
      </c>
      <c r="AJ10" s="1" t="s">
        <v>87</v>
      </c>
      <c r="AK10" s="3">
        <v>2844.3</v>
      </c>
      <c r="AL10" s="2" t="s">
        <v>90</v>
      </c>
      <c r="AM10" s="2">
        <v>0</v>
      </c>
      <c r="AN10" s="2" t="s">
        <v>216</v>
      </c>
      <c r="AO10" s="39">
        <v>2.88</v>
      </c>
      <c r="AP10" s="41">
        <v>26.7</v>
      </c>
      <c r="AQ10" s="2">
        <v>16</v>
      </c>
      <c r="AR10" s="3">
        <v>5312</v>
      </c>
      <c r="AS10" s="43">
        <v>4331</v>
      </c>
      <c r="AT10" s="30" t="s">
        <v>87</v>
      </c>
      <c r="AU10" s="15" t="s">
        <v>85</v>
      </c>
      <c r="AV10" s="1" t="s">
        <v>87</v>
      </c>
      <c r="AW10" s="2">
        <v>1</v>
      </c>
      <c r="AX10" s="2">
        <v>0</v>
      </c>
      <c r="AY10" s="2">
        <v>23</v>
      </c>
      <c r="AZ10" s="2">
        <v>2</v>
      </c>
      <c r="BA10" s="1" t="s">
        <v>87</v>
      </c>
      <c r="BB10" s="46" t="s">
        <v>150</v>
      </c>
      <c r="BC10" s="30" t="s">
        <v>92</v>
      </c>
      <c r="BD10" s="1" t="s">
        <v>217</v>
      </c>
      <c r="BE10" s="3">
        <v>16518</v>
      </c>
      <c r="BF10" s="1" t="s">
        <v>92</v>
      </c>
      <c r="BG10" s="1" t="s">
        <v>218</v>
      </c>
      <c r="BH10" s="3">
        <v>274</v>
      </c>
      <c r="BI10" s="43">
        <v>16283</v>
      </c>
      <c r="BJ10" s="26">
        <v>3</v>
      </c>
      <c r="BK10" s="46" t="s">
        <v>93</v>
      </c>
      <c r="BL10" s="35">
        <v>2685</v>
      </c>
      <c r="BM10" s="4">
        <v>494.5</v>
      </c>
      <c r="BN10" s="2" t="s">
        <v>94</v>
      </c>
      <c r="BO10" s="3">
        <v>426</v>
      </c>
      <c r="BP10" s="23" t="s">
        <v>219</v>
      </c>
      <c r="BQ10" s="26">
        <v>5</v>
      </c>
      <c r="BR10" s="1" t="s">
        <v>220</v>
      </c>
      <c r="BS10" s="1" t="s">
        <v>221</v>
      </c>
      <c r="BT10" s="21" t="s">
        <v>127</v>
      </c>
      <c r="BU10" s="1" t="s">
        <v>222</v>
      </c>
    </row>
    <row r="11" spans="1:73" ht="36" x14ac:dyDescent="0.25">
      <c r="A11" s="1" t="s">
        <v>223</v>
      </c>
      <c r="B11" s="2">
        <v>29.636252240000001</v>
      </c>
      <c r="C11" s="2">
        <v>-95.598181319999995</v>
      </c>
      <c r="D11" s="23" t="s">
        <v>224</v>
      </c>
      <c r="E11" s="25" t="s">
        <v>83</v>
      </c>
      <c r="F11" s="16" t="s">
        <v>83</v>
      </c>
      <c r="G11" s="15" t="s">
        <v>83</v>
      </c>
      <c r="H11" s="15" t="s">
        <v>83</v>
      </c>
      <c r="I11" s="15" t="s">
        <v>83</v>
      </c>
      <c r="J11" s="15" t="s">
        <v>83</v>
      </c>
      <c r="K11" s="23" t="s">
        <v>225</v>
      </c>
      <c r="L11" s="30" t="s">
        <v>226</v>
      </c>
      <c r="M11" s="1" t="s">
        <v>227</v>
      </c>
      <c r="N11" s="5">
        <v>6.3299999999999995E-2</v>
      </c>
      <c r="O11" s="3">
        <v>554508</v>
      </c>
      <c r="P11" s="3">
        <v>913.6</v>
      </c>
      <c r="Q11" s="2">
        <v>138</v>
      </c>
      <c r="R11" s="15" t="s">
        <v>83</v>
      </c>
      <c r="S11" s="15" t="s">
        <v>83</v>
      </c>
      <c r="T11" s="15" t="s">
        <v>83</v>
      </c>
      <c r="U11" s="15" t="s">
        <v>83</v>
      </c>
      <c r="V11" s="2">
        <v>18</v>
      </c>
      <c r="W11" s="2" t="s">
        <v>84</v>
      </c>
      <c r="X11" s="33">
        <v>3320.46</v>
      </c>
      <c r="Y11" s="35">
        <v>615.1</v>
      </c>
      <c r="Z11" s="3">
        <v>726.7</v>
      </c>
      <c r="AA11" s="4">
        <v>3.12</v>
      </c>
      <c r="AB11" s="4">
        <v>63.3</v>
      </c>
      <c r="AC11" s="4">
        <v>28.58</v>
      </c>
      <c r="AD11" s="23" t="s">
        <v>84</v>
      </c>
      <c r="AE11" s="26" t="s">
        <v>86</v>
      </c>
      <c r="AF11" s="1" t="s">
        <v>87</v>
      </c>
      <c r="AG11" s="2" t="s">
        <v>166</v>
      </c>
      <c r="AH11" s="4">
        <v>4.4999999999999998E-2</v>
      </c>
      <c r="AI11" s="2">
        <v>136</v>
      </c>
      <c r="AJ11" s="1" t="s">
        <v>87</v>
      </c>
      <c r="AK11" s="3">
        <v>3892.1</v>
      </c>
      <c r="AL11" s="2" t="s">
        <v>89</v>
      </c>
      <c r="AM11" s="2">
        <v>1</v>
      </c>
      <c r="AN11" s="2" t="s">
        <v>228</v>
      </c>
      <c r="AO11" s="39">
        <v>1.37</v>
      </c>
      <c r="AP11" s="41">
        <v>27.1</v>
      </c>
      <c r="AQ11" s="2">
        <v>106</v>
      </c>
      <c r="AR11" s="3">
        <v>1994</v>
      </c>
      <c r="AS11" s="43">
        <v>1032</v>
      </c>
      <c r="AT11" s="30" t="s">
        <v>229</v>
      </c>
      <c r="AU11" s="2" t="s">
        <v>230</v>
      </c>
      <c r="AV11" s="1" t="s">
        <v>87</v>
      </c>
      <c r="AW11" s="2">
        <v>1</v>
      </c>
      <c r="AX11" s="2">
        <v>2</v>
      </c>
      <c r="AY11" s="2">
        <v>5</v>
      </c>
      <c r="AZ11" s="2">
        <v>0</v>
      </c>
      <c r="BA11" s="1" t="s">
        <v>87</v>
      </c>
      <c r="BB11" s="46" t="s">
        <v>150</v>
      </c>
      <c r="BC11" s="30" t="s">
        <v>92</v>
      </c>
      <c r="BD11" s="1" t="s">
        <v>231</v>
      </c>
      <c r="BE11" s="3">
        <v>90909</v>
      </c>
      <c r="BF11" s="1" t="s">
        <v>92</v>
      </c>
      <c r="BG11" s="1" t="s">
        <v>232</v>
      </c>
      <c r="BH11" s="3">
        <v>2299</v>
      </c>
      <c r="BI11" s="43">
        <v>1239</v>
      </c>
      <c r="BJ11" s="26">
        <v>4</v>
      </c>
      <c r="BK11" s="46" t="s">
        <v>93</v>
      </c>
      <c r="BL11" s="35">
        <v>1677</v>
      </c>
      <c r="BM11" s="4">
        <v>296.39999999999998</v>
      </c>
      <c r="BN11" s="2" t="s">
        <v>94</v>
      </c>
      <c r="BO11" s="15" t="s">
        <v>83</v>
      </c>
      <c r="BP11" s="36" t="s">
        <v>83</v>
      </c>
      <c r="BQ11" s="26">
        <v>7</v>
      </c>
      <c r="BR11" s="1" t="s">
        <v>233</v>
      </c>
      <c r="BS11" s="1" t="s">
        <v>234</v>
      </c>
      <c r="BT11" s="21" t="s">
        <v>235</v>
      </c>
      <c r="BU11" s="1" t="s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cols>
    <col min="1" max="1" width="34" customWidth="1"/>
    <col min="2" max="2" width="130" customWidth="1"/>
  </cols>
  <sheetData>
    <row r="1" spans="1:2" ht="16.5" x14ac:dyDescent="0.25">
      <c r="A1" s="6" t="s">
        <v>237</v>
      </c>
      <c r="B1" s="7"/>
    </row>
    <row r="2" spans="1:2" ht="38.25" x14ac:dyDescent="0.25">
      <c r="A2" s="8" t="s">
        <v>238</v>
      </c>
      <c r="B2" s="7" t="s">
        <v>239</v>
      </c>
    </row>
    <row r="3" spans="1:2" x14ac:dyDescent="0.25">
      <c r="A3" s="8"/>
      <c r="B3" s="7"/>
    </row>
    <row r="4" spans="1:2" ht="25.5" x14ac:dyDescent="0.25">
      <c r="A4" s="8" t="s">
        <v>240</v>
      </c>
      <c r="B4" s="7" t="s">
        <v>241</v>
      </c>
    </row>
    <row r="5" spans="1:2" ht="51" x14ac:dyDescent="0.25">
      <c r="A5" s="8" t="s">
        <v>242</v>
      </c>
      <c r="B5" s="7" t="s">
        <v>243</v>
      </c>
    </row>
    <row r="6" spans="1:2" ht="38.25" x14ac:dyDescent="0.25">
      <c r="A6" s="8" t="s">
        <v>244</v>
      </c>
      <c r="B6" s="7" t="s">
        <v>245</v>
      </c>
    </row>
    <row r="7" spans="1:2" ht="25.5" x14ac:dyDescent="0.25">
      <c r="A7" s="8" t="s">
        <v>246</v>
      </c>
      <c r="B7" s="7" t="s">
        <v>247</v>
      </c>
    </row>
    <row r="8" spans="1:2" ht="25.5" x14ac:dyDescent="0.25">
      <c r="A8" s="8" t="s">
        <v>248</v>
      </c>
      <c r="B8" s="7" t="s">
        <v>249</v>
      </c>
    </row>
    <row r="9" spans="1:2" ht="38.25" x14ac:dyDescent="0.25">
      <c r="A9" s="8" t="s">
        <v>250</v>
      </c>
      <c r="B9" s="7" t="s">
        <v>251</v>
      </c>
    </row>
    <row r="10" spans="1:2" ht="25.5" x14ac:dyDescent="0.25">
      <c r="A10" s="8" t="s">
        <v>252</v>
      </c>
      <c r="B10" s="7" t="s">
        <v>253</v>
      </c>
    </row>
    <row r="11" spans="1:2" ht="25.5" x14ac:dyDescent="0.25">
      <c r="A11" s="8" t="s">
        <v>254</v>
      </c>
      <c r="B11" s="7" t="s">
        <v>255</v>
      </c>
    </row>
    <row r="12" spans="1:2" x14ac:dyDescent="0.25">
      <c r="A12" s="8" t="s">
        <v>256</v>
      </c>
      <c r="B12" s="7" t="s">
        <v>257</v>
      </c>
    </row>
    <row r="13" spans="1:2" ht="25.5" x14ac:dyDescent="0.25">
      <c r="A13" s="8" t="s">
        <v>258</v>
      </c>
      <c r="B13" s="7" t="s">
        <v>259</v>
      </c>
    </row>
    <row r="14" spans="1:2" ht="25.5" x14ac:dyDescent="0.25">
      <c r="A14" s="8" t="s">
        <v>260</v>
      </c>
      <c r="B14" s="7" t="s">
        <v>261</v>
      </c>
    </row>
    <row r="15" spans="1:2" x14ac:dyDescent="0.25">
      <c r="A15" s="8" t="s">
        <v>262</v>
      </c>
      <c r="B15" s="7" t="s">
        <v>263</v>
      </c>
    </row>
    <row r="16" spans="1:2" ht="25.5" x14ac:dyDescent="0.25">
      <c r="A16" s="8" t="s">
        <v>78</v>
      </c>
      <c r="B16" s="7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Screen</vt:lpstr>
      <vt:lpstr>Notes &amp; Caveats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Tucker Adams</cp:lastModifiedBy>
  <dcterms:created xsi:type="dcterms:W3CDTF">2026-08-11T22:59:43Z</dcterms:created>
  <dcterms:modified xsi:type="dcterms:W3CDTF">2026-08-11T23:10:35Z</dcterms:modified>
</cp:coreProperties>
</file>